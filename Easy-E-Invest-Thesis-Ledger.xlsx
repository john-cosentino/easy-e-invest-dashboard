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6d19a72133c4220" /></Relationships>
</file>

<file path=xl/workbook.xml><?xml version="1.0" encoding="utf-8"?>
<x:workbook xmlns:x="http://schemas.openxmlformats.org/spreadsheetml/2006/main">
  <x:sheets>
    <x:sheet xmlns:r="http://schemas.openxmlformats.org/officeDocument/2006/relationships" name="Summary" sheetId="1" r:id="R26e1f658723d49a1"/>
    <x:sheet xmlns:r="http://schemas.openxmlformats.org/officeDocument/2006/relationships" name="Thesis Ledger" sheetId="2" r:id="R584549dcc0294165"/>
    <x:sheet xmlns:r="http://schemas.openxmlformats.org/officeDocument/2006/relationships" name="Evidence Log" sheetId="3" r:id="R8f8a0f60b0594095"/>
    <x:sheet xmlns:r="http://schemas.openxmlformats.org/officeDocument/2006/relationships" name="Source Registry" sheetId="4" r:id="R55220931ec374974"/>
    <x:sheet xmlns:r="http://schemas.openxmlformats.org/officeDocument/2006/relationships" name="Paper Trades" sheetId="5" r:id="R7f8548315b9e4471"/>
    <x:sheet xmlns:r="http://schemas.openxmlformats.org/officeDocument/2006/relationships" name="Scan Runs" sheetId="6" r:id="R40fe9279a6ab4331"/>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6">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5fda1d976b24225" /><Relationship Type="http://schemas.openxmlformats.org/officeDocument/2006/relationships/theme" Target="/xl/theme/theme1.xml" Id="R7e36e806bd654404" /><Relationship Type="http://schemas.openxmlformats.org/officeDocument/2006/relationships/sharedStrings" Target="/xl/sharedStrings.xml" Id="Rea62f539274c4844" /><Relationship Type="http://schemas.openxmlformats.org/officeDocument/2006/relationships/worksheet" Target="/xl/worksheets/sheet1.xml" Id="R26e1f658723d49a1" /><Relationship Type="http://schemas.openxmlformats.org/officeDocument/2006/relationships/worksheet" Target="/xl/worksheets/sheet2.xml" Id="R584549dcc0294165" /><Relationship Type="http://schemas.openxmlformats.org/officeDocument/2006/relationships/worksheet" Target="/xl/worksheets/sheet3.xml" Id="R8f8a0f60b0594095" /><Relationship Type="http://schemas.openxmlformats.org/officeDocument/2006/relationships/worksheet" Target="/xl/worksheets/sheet4.xml" Id="R55220931ec374974" /><Relationship Type="http://schemas.openxmlformats.org/officeDocument/2006/relationships/worksheet" Target="/xl/worksheets/sheet5.xml" Id="R7f8548315b9e4471" /><Relationship Type="http://schemas.openxmlformats.org/officeDocument/2006/relationships/worksheet" Target="/xl/worksheets/sheet6.xml" Id="R40fe9279a6ab4331"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90ecd41debd459e" /></Relationships>
</file>

<file path=xl/worksheets/_rels/sheet3.xml.rels>&#65279;<?xml version="1.0" encoding="utf-8"?><Relationships xmlns="http://schemas.openxmlformats.org/package/2006/relationships"><Relationship Type="http://schemas.openxmlformats.org/officeDocument/2006/relationships/table" Target="/xl/tables/table2.xml" Id="Reac579f2a7534e64" /></Relationships>
</file>

<file path=xl/worksheets/_rels/sheet4.xml.rels>&#65279;<?xml version="1.0" encoding="utf-8"?><Relationships xmlns="http://schemas.openxmlformats.org/package/2006/relationships"><Relationship Type="http://schemas.openxmlformats.org/officeDocument/2006/relationships/table" Target="/xl/tables/table3.xml" Id="R26dca87fc87e4917" /></Relationships>
</file>

<file path=xl/worksheets/_rels/sheet5.xml.rels>&#65279;<?xml version="1.0" encoding="utf-8"?><Relationships xmlns="http://schemas.openxmlformats.org/package/2006/relationships"><Relationship Type="http://schemas.openxmlformats.org/officeDocument/2006/relationships/table" Target="/xl/tables/table4.xml" Id="R7a2ff97612764e74" /></Relationships>
</file>

<file path=xl/worksheets/_rels/sheet6.xml.rels>&#65279;<?xml version="1.0" encoding="utf-8"?><Relationships xmlns="http://schemas.openxmlformats.org/package/2006/relationships"><Relationship Type="http://schemas.openxmlformats.org/officeDocument/2006/relationships/table" Target="/xl/tables/table5.xml" Id="R96864de5bdd847ef"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10</x:v>
      </x:c>
      <x:c r="C6" s="1"/>
      <x:c r="D6" s="1"/>
      <x:c r="E6" s="1"/>
      <x:c r="F6" s="1"/>
      <x:c r="G6" s="1"/>
      <x:c r="H6" s="1"/>
      <x:c r="I6" s="1"/>
      <x:c r="J6" s="1"/>
    </x:row>
    <x:row r="7">
      <x:c r="A7" s="1" t="str">
        <x:v>Open theses</x:v>
      </x:c>
      <x:c r="B7" s="40" t="n">
        <x:f>COUNTIFS('Thesis Ledger'!A6:A200,"&lt;&gt;",'Thesis Ledger'!F6:F200,"&lt;&gt;Closed",'Thesis Ledger'!F6:F200,"&lt;&gt;Invalidated")</x:f>
        <x:v>8</x:v>
      </x:c>
      <x:c r="C7" s="1"/>
      <x:c r="D7" s="1"/>
      <x:c r="E7" s="1"/>
      <x:c r="F7" s="1"/>
      <x:c r="G7" s="1"/>
      <x:c r="H7" s="1"/>
      <x:c r="I7" s="1"/>
      <x:c r="J7" s="1"/>
    </x:row>
    <x:row r="8">
      <x:c r="A8" s="1" t="str">
        <x:v>Evaluated theses</x:v>
      </x:c>
      <x:c r="B8" s="40" t="n">
        <x:f>COUNT('Thesis Ledger'!AE6:AE200)</x:f>
        <x:v>2</x:v>
      </x:c>
      <x:c r="C8" s="1"/>
      <x:c r="D8" s="1"/>
      <x:c r="E8" s="1"/>
      <x:c r="F8" s="1"/>
      <x:c r="G8" s="1"/>
      <x:c r="H8" s="1"/>
      <x:c r="I8" s="1"/>
      <x:c r="J8" s="1"/>
    </x:row>
    <x:row r="9">
      <x:c r="A9" s="1" t="str">
        <x:v>Average prediction score</x:v>
      </x:c>
      <x:c r="B9" s="55" t="n">
        <x:f>IFERROR(AVERAGE('Thesis Ledger'!AE6:AE200),"")</x:f>
        <x:v>0.8</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Developing</x:v>
      </x:c>
      <x:c r="E14" s="1" t="n">
        <x:f>'Thesis Ledger'!K7</x:f>
        <x:v>3</x:v>
      </x:c>
      <x:c r="F14" s="1" t="n">
        <x:f>'Thesis Ledger'!L7</x:f>
        <x:v>3</x:v>
      </x:c>
      <x:c r="G14" s="1" t="str">
        <x:f>'Thesis Ledger'!M7</x:f>
        <x:v>WAIT</x:v>
      </x:c>
      <x:c r="H14" s="13" t="n">
        <x:f>'Thesis Ledger'!D7</x:f>
        <x:v>46275</x:v>
      </x:c>
      <x:c r="I14" s="1" t="str">
        <x:f>'Thesis Ledger'!H7</x:f>
        <x:v>Coal demand from fuel switching</x:v>
      </x:c>
      <x:c r="J14" s="13" t="n">
        <x:f>'Thesis Ledger'!W7</x:f>
        <x:v>46296</x:v>
      </x:c>
    </x:row>
    <x:row r="15">
      <x:c r="A15" s="1" t="str">
        <x:f>'Thesis Ledger'!A8</x:f>
        <x:v>EEI-2026-003</x:v>
      </x:c>
      <x:c r="B15" s="1" t="str">
        <x:f>'Thesis Ledger'!B8</x:f>
        <x:v>2026 midterm political shift</x:v>
      </x:c>
      <x:c r="C15" s="1" t="str">
        <x:f>'Thesis Ledger'!C8</x:f>
        <x:v>Multi-sector</x:v>
      </x:c>
      <x:c r="D15" s="1" t="str">
        <x:f>'Thesis Ledger'!F8</x:f>
        <x:v>Developing</x:v>
      </x:c>
      <x:c r="E15" s="1" t="n">
        <x:f>'Thesis Ledger'!K8</x:f>
        <x:v>3</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Developing</x:v>
      </x:c>
      <x:c r="G7" s="27" t="str">
        <x:v>Supply chain</x:v>
      </x:c>
      <x:c r="H7" s="27" t="str">
        <x:v>Coal demand from fuel switching</x:v>
      </x:c>
      <x:c r="I7" s="27" t="str">
        <x:v>Up</x:v>
      </x:c>
      <x:c r="J7" s="27" t="str">
        <x:v>Weeks to months</x:v>
      </x:c>
      <x:c r="K7" s="27" t="n">
        <x:v>3</x:v>
      </x:c>
      <x:c r="L7" s="27" t="n">
        <x:v>3</x:v>
      </x:c>
      <x:c r="M7" s="27" t="str">
        <x:v>WAIT</x:v>
      </x:c>
      <x:c r="N7" s="29" t="str">
        <x:v>Gas and LNG disruption may cause utilities or industrial users to substitute coal.</x:v>
      </x:c>
      <x:c r="O7" s="29" t="str">
        <x:v>Constrained gas availability and higher gas prices improve the relative economics of coal where switching is feasible.</x:v>
      </x:c>
      <x:c r="P7" s="29" t="str">
        <x:v>IEA demand revisions and gas or LNG disruption evidence.</x:v>
      </x:c>
      <x:c r="Q7" s="29" t="str">
        <x:v>De-escalation, restored gas supply, emissions restrictions, limited switching capacity, or coal already repriced.</x:v>
      </x:c>
      <x:c r="R7" s="29" t="str"/>
      <x:c r="S7" s="29" t="str">
        <x:v>Needs continuing coal-price, producer and utility-demand confirmation.</x:v>
      </x:c>
      <x:c r="T7" s="29" t="str">
        <x:v>Direct coal exposure where available; coal producers after mapping review</x:v>
      </x:c>
      <x:c r="U7" s="29" t="str">
        <x:v>Gas normalization or demand data failing to show substitution.</x:v>
      </x:c>
      <x:c r="V7" s="43" t="n">
        <x:v>46275</x:v>
      </x:c>
      <x:c r="W7" s="43" t="n">
        <x:v>46296</x:v>
      </x:c>
      <x:c r="X7" s="43"/>
      <x:c r="Y7" s="29"/>
      <x:c r="Z7" s="29"/>
      <x:c r="AA7" s="29"/>
      <x:c r="AB7" s="29"/>
      <x:c r="AC7" s="29"/>
      <x:c r="AD7" s="29" t="str">
        <x:v>Second-order thesis; instrument mapping remains incomplete.</x:v>
      </x:c>
      <x:c r="AE7" s="31" t="str">
        <x:f>IF(COUNTA(Y7:AC7)=0,"",COUNTIF(Y7:AC7,"Yes")/COUNTA(Y7:AC7))</x:f>
      </x:c>
    </x:row>
    <x:row r="8">
      <x:c r="A8" s="27" t="str">
        <x:v>EEI-2026-003</x:v>
      </x:c>
      <x:c r="B8" s="27" t="str">
        <x:v>2026 midterm political shift</x:v>
      </x:c>
      <x:c r="C8" s="27" t="str">
        <x:v>Multi-sector</x:v>
      </x:c>
      <x:c r="D8" s="30" t="n">
        <x:v>46274</x:v>
      </x:c>
      <x:c r="E8" s="30" t="n">
        <x:v>46274.5</x:v>
      </x:c>
      <x:c r="F8" s="27" t="str">
        <x:v>Developing</x:v>
      </x:c>
      <x:c r="G8" s="27" t="str">
        <x:v>Political and policy</x:v>
      </x:c>
      <x:c r="H8" s="27" t="str">
        <x:v>Market breadth, policy expectations and sector leadership</x:v>
      </x:c>
      <x:c r="I8" s="27" t="str">
        <x:v>Mixed to up</x:v>
      </x:c>
      <x:c r="J8" s="27" t="str">
        <x:v>Weeks to months</x:v>
      </x:c>
      <x:c r="K8" s="27" t="n">
        <x:v>3</x:v>
      </x:c>
      <x:c r="L8" s="27" t="n">
        <x:v>1</x:v>
      </x:c>
      <x:c r="M8" s="27" t="str">
        <x:v>WAIT</x:v>
      </x:c>
      <x:c r="N8" s="29" t="str">
        <x:v>Congressional control remains unsettled. September 18 reporting on a major advertising escalation in a competitive Ohio Senate race confirms that the contest is active and consequential, but it does not establish Senate control or a specific investable policy outcome.</x:v>
      </x:c>
      <x:c r="O8" s="29" t="str">
        <x:v>Expected changes in fiscal, regulatory and sector policy could alter risk appetite and relative performance.</x:v>
      </x:c>
      <x:c r="P8" s="29" t="str">
        <x:v>The September 17 post-Fed session supplied the strongest breadth confirmation of the review, and FactSet's earnings work continues to show rising aggregate Q3 and full-year 2026 S&amp;P 500 estimates. Weekly fund-flow data also showed $568 million of small-cap inflows despite broad U.S. equity redemptions.</x:v>
      </x:c>
      <x:c r="Q8" s="29" t="str">
        <x:v>Friday failed to extend Thursday's broadening. Reuters reported negative NYSE and Nasdaq breadth, materials down about 1.4% and the 10-year Treasury yield near 5%. At about 10:50 a.m. ET, RSP lagged SPY, while IWM and XBI fell more sharply; U.S. equity funds also recorded a fourth weekly outflow. The move is not election-specific, and congressional control remains unresolved.</x:v>
      </x:c>
      <x:c r="R8" s="29"/>
      <x:c r="S8" s="29" t="str">
        <x:v>At about 10:50 a.m. ET on September 18, SPY was down 0.41%, RSP 0.46%, IWM 0.76%, XLI 0.09%, XLB 1.33%, XLV 0.41%, XBI 0.72% and XLF 0.28%; CPER was up 0.68%. Reuters reported decliners ahead on both major exchanges, materials leading sector losses and the 10-year yield near 5%. This reverses much of Thursday's breadth improvement and leaves no durable market confirmation.</x:v>
      </x:c>
      <x:c r="T8" s="29" t="str">
        <x:v>RSP versus SPY remains the core breadth test. XLI is the most resilient conditional cyclical watch today, but needs sustained relative strength. CPER is positive while XLB is weak, a divergence that argues against chasing a broad materials expression. IWM and XBI failed to follow through; XLF and XLV remain unconfirmed. SPY remains conditional on sustained participation rather than technology-only leadership.</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Open. September 18 reversed much of the prior session's breadth improvement: exchange breadth was negative, equal weight still lagged, and small caps and biotech failed to follow through as the 10-year yield approached 5%. The election trigger remains unresolved and the market move is not election-specific. Classification remains Developing; confidence stays 3/5 and trading edge 1/5. Entry Window remains WAIT and inactive until Actionable.</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x:v>
      </x:c>
      <x:c r="Q10" s="29" t="str">
        <x:v>Legacy portfolio revenue still fell 4%; major exclusivity losses remain multi-year; long-term debt was about $42.1 billion at quarter-end; and one strong quarter does not prove the portfolio can offset the full patent cliff.</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Motley Fool is trigger only. SEC results independently support the economic mechanism, but patent-cliff and leverage contradictions keep the thesis Developing at 3/5 confidence and 3/5 trading edge. Entry Window WAIT.</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Asian diesel refining margins exceeded $87 per barrel on September 16 while European and U.S. diesel prices remained near records, separating the refined-products shortage from the already-mature crude thesis.</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Disrupted Middle East and Russian product flows, low European inventories and constrained Hormuz traffic remain the core physical support. ExxonMobil's 275,000-bpd Joliet refinery remained offline after flooding and a power outage. On September 18, Saudi Aramco also halted October term crude deliveries to at least two European refiners after the East-West pipeline attack, forcing replacement-barrel searches and adding feedstock uncertainty to an already tight refined-products market.</x:v>
      </x:c>
      <x:c r="Q14" s="29" t="str">
        <x:v>Crude-supply adaptation through Saudi rerouting and expected pipeline repair could normalize feedstock availability. Aramco plans to restore roughly 1.0-1.5 million bpd of Gulf exports through ship-to-ship transfers near Oman, while Chinese refined-product exports rose 12.7% year over year in August. France also called for a G7 energy meeting that may consider additional strategic-reserve releases or restriction relief. Demand destruction, subsidies, policy intervention, exports and refinery restarts can compress cracks quickly.</x:v>
      </x:c>
      <x:c r="R14" s="29"/>
      <x:c r="S14" s="29" t="str">
        <x:v>Strong cross-market confirmation remained in place through Friday: record diesel and gasoil futures, record Asian cracks, very low European inventories, refinery outages and regional export rationing all point to a product-specific shortage even as crude eased. Weekend delivery-cancellation and policy headlines have not yet received a new market session.</x:v>
      </x:c>
      <x:c r="T14" s="29" t="str">
        <x:v>Conditional only after an orderly consolidation or retracement while physical shortages and crack spreads remain elevated. CRAK is the diversified refining expression; VLO, MPC and PSX add company-specific execution and valuation risk. Direct diesel/gasoil futures are cleaner but introduce leverage, roll, liquidity and contract-specification risks.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46296</x:v>
      </x:c>
      <x:c r="X14" s="43"/>
      <x:c r="Y14" s="29"/>
      <x:c r="Z14" s="29"/>
      <x:c r="AA14" s="29"/>
      <x:c r="AB14" s="29"/>
      <x:c r="AC14" s="29"/>
      <x:c r="AD14" s="29" t="str">
        <x:v>Open. September 19 strengthened the physical mechanism but not the entry: Aramco halted October term deliveries to at least two European refiners after the East-West pipeline attack, while North Sea replacement sourcing underscored feedstock scarcity. Countervailing evidence also strengthened because a planned G7 energy meeting may consider reserve releases or restriction relief. The thesis remains Actionable at confidence 5/5, trading edge 1/5 and Entry Window WAIT. No weekend market session has confirmed a better reward-to-invalidation setup.</x:v>
      </x:c>
      <x:c r="AE14" s="31" t="str">
        <x:f>IF(COUNTA(Y14:AC14)=0,"",COUNTIF(Y14:AC14,"Yes")/COUNTA(Y14:AC14))</x:f>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x:c r="B16" s="27"/>
      <x:c r="C16" s="27"/>
      <x:c r="D16" s="30"/>
      <x:c r="E16" s="30"/>
      <x:c r="F16" s="27"/>
      <x:c r="G16" s="27"/>
      <x:c r="H16" s="27"/>
      <x:c r="I16" s="27"/>
      <x:c r="J16" s="27"/>
      <x:c r="K16" s="27"/>
      <x:c r="L16" s="27"/>
      <x:c r="M16" s="27"/>
      <x:c r="N16" s="29"/>
      <x:c r="O16" s="29"/>
      <x:c r="P16" s="29"/>
      <x:c r="Q16" s="29"/>
      <x:c r="R16" s="29"/>
      <x:c r="S16" s="29"/>
      <x:c r="T16" s="29"/>
      <x:c r="U16" s="29"/>
      <x:c r="V16" s="43"/>
      <x:c r="W16" s="43"/>
      <x:c r="X16" s="43"/>
      <x:c r="Y16" s="29"/>
      <x:c r="Z16" s="29"/>
      <x:c r="AA16" s="29"/>
      <x:c r="AB16" s="29"/>
      <x:c r="AC16" s="29"/>
      <x:c r="AD16" s="29"/>
      <x:c r="AE16" s="31" t="str">
        <x:f>IF(COUNTA(Y16:AC16)=0,"",COUNTIF(Y16:AC16,"Yes")/COUNTA(Y16:AC16))</x:f>
      </x:c>
    </x:row>
    <x:row r="17">
      <x:c r="A17" s="27"/>
      <x:c r="B17" s="27"/>
      <x:c r="C17" s="27"/>
      <x:c r="D17" s="30"/>
      <x:c r="E17" s="30"/>
      <x:c r="F17" s="27"/>
      <x:c r="G17" s="27"/>
      <x:c r="H17" s="27"/>
      <x:c r="I17" s="27"/>
      <x:c r="J17" s="27"/>
      <x:c r="K17" s="27"/>
      <x:c r="L17" s="27"/>
      <x:c r="M17" s="27"/>
      <x:c r="N17" s="29"/>
      <x:c r="O17" s="29"/>
      <x:c r="P17" s="29"/>
      <x:c r="Q17" s="29"/>
      <x:c r="R17" s="29"/>
      <x:c r="S17" s="29"/>
      <x:c r="T17" s="29"/>
      <x:c r="U17" s="29"/>
      <x:c r="V17" s="43"/>
      <x:c r="W17" s="43"/>
      <x:c r="X17" s="43"/>
      <x:c r="Y17" s="29"/>
      <x:c r="Z17" s="29"/>
      <x:c r="AA17" s="29"/>
      <x:c r="AB17" s="29"/>
      <x:c r="AC17" s="29"/>
      <x:c r="AD17" s="29"/>
      <x:c r="AE17" s="31" t="str">
        <x:f>IF(COUNTA(Y17:AC17)=0,"",COUNTIF(Y17:AC17,"Yes")/COUNTA(Y17:AC17))</x:f>
      </x:c>
    </x:row>
    <x:row r="18">
      <x:c r="A18" s="27"/>
      <x:c r="B18" s="27"/>
      <x:c r="C18" s="27"/>
      <x:c r="D18" s="30"/>
      <x:c r="E18" s="30"/>
      <x:c r="F18" s="27"/>
      <x:c r="G18" s="27"/>
      <x:c r="H18" s="27"/>
      <x:c r="I18" s="27"/>
      <x:c r="J18" s="27"/>
      <x:c r="K18" s="27"/>
      <x:c r="L18" s="27"/>
      <x:c r="M18" s="27"/>
      <x:c r="N18" s="29"/>
      <x:c r="O18" s="29"/>
      <x:c r="P18" s="29"/>
      <x:c r="Q18" s="29"/>
      <x:c r="R18" s="29"/>
      <x:c r="S18" s="29"/>
      <x:c r="T18" s="29"/>
      <x:c r="U18" s="29"/>
      <x:c r="V18" s="43"/>
      <x:c r="W18" s="43"/>
      <x:c r="X18" s="43"/>
      <x:c r="Y18" s="29"/>
      <x:c r="Z18" s="29"/>
      <x:c r="AA18" s="29"/>
      <x:c r="AB18" s="29"/>
      <x:c r="AC18" s="29"/>
      <x:c r="AD18" s="29"/>
      <x:c r="AE18" s="31" t="str">
        <x:f>IF(COUNTA(Y18:AC18)=0,"",COUNTIF(Y18:AC18,"Yes")/COUNTA(Y18:AC18))</x:f>
      </x:c>
    </x:row>
    <x:row r="19">
      <x:c r="A19" s="27"/>
      <x:c r="B19" s="27"/>
      <x:c r="C19" s="27"/>
      <x:c r="D19" s="30"/>
      <x:c r="E19" s="30"/>
      <x:c r="F19" s="27"/>
      <x:c r="G19" s="27"/>
      <x:c r="H19" s="27"/>
      <x:c r="I19" s="27"/>
      <x:c r="J19" s="27"/>
      <x:c r="K19" s="27"/>
      <x:c r="L19" s="27"/>
      <x:c r="M19" s="27"/>
      <x:c r="N19" s="29"/>
      <x:c r="O19" s="29"/>
      <x:c r="P19" s="29"/>
      <x:c r="Q19" s="29"/>
      <x:c r="R19" s="29"/>
      <x:c r="S19" s="29"/>
      <x:c r="T19" s="29"/>
      <x:c r="U19" s="29"/>
      <x:c r="V19" s="43"/>
      <x:c r="W19" s="43"/>
      <x:c r="X19" s="43"/>
      <x:c r="Y19" s="29"/>
      <x:c r="Z19" s="29"/>
      <x:c r="AA19" s="29"/>
      <x:c r="AB19" s="29"/>
      <x:c r="AC19" s="29"/>
      <x:c r="AD19" s="29"/>
      <x:c r="AE19" s="31" t="str">
        <x:f>IF(COUNTA(Y19:AC19)=0,"",COUNTIF(Y19:AC19,"Yes")/COUNTA(Y19:AC19))</x:f>
      </x:c>
    </x:row>
    <x:row r="20">
      <x:c r="A20" s="27"/>
      <x:c r="B20" s="27"/>
      <x:c r="C20" s="27"/>
      <x:c r="D20" s="30"/>
      <x:c r="E20" s="30"/>
      <x:c r="F20" s="27"/>
      <x:c r="G20" s="27"/>
      <x:c r="H20" s="27"/>
      <x:c r="I20" s="27"/>
      <x:c r="J20" s="27"/>
      <x:c r="K20" s="27"/>
      <x:c r="L20" s="27"/>
      <x:c r="M20" s="27"/>
      <x:c r="N20" s="29"/>
      <x:c r="O20" s="29"/>
      <x:c r="P20" s="29"/>
      <x:c r="Q20" s="29"/>
      <x:c r="R20" s="29"/>
      <x:c r="S20" s="29"/>
      <x:c r="T20" s="29"/>
      <x:c r="U20" s="29"/>
      <x:c r="V20" s="43"/>
      <x:c r="W20" s="43"/>
      <x:c r="X20" s="43"/>
      <x:c r="Y20" s="29"/>
      <x:c r="Z20" s="29"/>
      <x:c r="AA20" s="29"/>
      <x:c r="AB20" s="29"/>
      <x:c r="AC20" s="29"/>
      <x:c r="AD20" s="29"/>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b90ecd41debd459e"/>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C129" s="21"/>
      <x:c r="G129" s="44"/>
      <x:c r="H129" s="44"/>
      <x:c r="I129" s="44"/>
      <x:c r="J129" s="44"/>
      <x:c r="K129" s="44"/>
    </x:row>
    <x:row r="130">
      <x:c r="C130" s="21"/>
      <x:c r="G130" s="44"/>
      <x:c r="H130" s="44"/>
      <x:c r="I130" s="44"/>
      <x:c r="J130" s="44"/>
      <x:c r="K130" s="44"/>
    </x:row>
    <x:row r="131">
      <x:c r="C131" s="21"/>
      <x:c r="G131" s="44"/>
      <x:c r="H131" s="44"/>
      <x:c r="I131" s="44"/>
      <x:c r="J131" s="44"/>
      <x:c r="K131" s="44"/>
    </x:row>
    <x:row r="132">
      <x:c r="C132" s="21"/>
      <x:c r="G132" s="44"/>
      <x:c r="H132" s="44"/>
      <x:c r="I132" s="44"/>
      <x:c r="J132" s="44"/>
      <x:c r="K132" s="44"/>
    </x:row>
    <x:row r="133">
      <x:c r="C133" s="21"/>
      <x:c r="G133" s="44"/>
      <x:c r="H133" s="44"/>
      <x:c r="I133" s="44"/>
      <x:c r="J133" s="44"/>
      <x:c r="K133" s="44"/>
    </x:row>
    <x:row r="134">
      <x:c r="C134" s="21"/>
      <x:c r="G134" s="44"/>
      <x:c r="H134" s="44"/>
      <x:c r="I134" s="44"/>
      <x:c r="J134" s="44"/>
      <x:c r="K134" s="44"/>
    </x:row>
    <x:row r="135">
      <x:c r="C135" s="21"/>
      <x:c r="G135" s="44"/>
      <x:c r="H135" s="44"/>
      <x:c r="I135" s="44"/>
      <x:c r="J135" s="44"/>
      <x:c r="K135" s="44"/>
    </x:row>
    <x:row r="136">
      <x:c r="C136" s="21"/>
      <x:c r="G136" s="44"/>
      <x:c r="H136" s="44"/>
      <x:c r="I136" s="44"/>
      <x:c r="J136" s="44"/>
      <x:c r="K136" s="44"/>
    </x:row>
    <x:row r="137">
      <x:c r="C137" s="21"/>
      <x:c r="G137" s="44"/>
      <x:c r="H137" s="44"/>
      <x:c r="I137" s="44"/>
      <x:c r="J137" s="44"/>
      <x:c r="K137" s="44"/>
    </x:row>
    <x:row r="138">
      <x:c r="C138" s="21"/>
      <x:c r="G138" s="44"/>
      <x:c r="H138" s="44"/>
      <x:c r="I138" s="44"/>
      <x:c r="J138" s="44"/>
      <x:c r="K138" s="44"/>
    </x:row>
    <x:row r="139">
      <x:c r="C139" s="21"/>
      <x:c r="G139" s="44"/>
      <x:c r="H139" s="44"/>
      <x:c r="I139" s="44"/>
      <x:c r="J139" s="44"/>
      <x:c r="K139" s="44"/>
    </x:row>
    <x:row r="140">
      <x:c r="C140" s="21"/>
      <x:c r="G140" s="44"/>
      <x:c r="H140" s="44"/>
      <x:c r="I140" s="44"/>
      <x:c r="J140" s="44"/>
      <x:c r="K140" s="44"/>
    </x:row>
    <x:row r="141">
      <x:c r="C141" s="21"/>
      <x:c r="G141" s="44"/>
      <x:c r="H141" s="44"/>
      <x:c r="I141" s="44"/>
      <x:c r="J141" s="44"/>
      <x:c r="K141" s="44"/>
    </x:row>
    <x:row r="142">
      <x:c r="C142" s="21"/>
      <x:c r="G142" s="44"/>
      <x:c r="H142" s="44"/>
      <x:c r="I142" s="44"/>
      <x:c r="J142" s="44"/>
      <x:c r="K142" s="44"/>
    </x:row>
    <x:row r="143">
      <x:c r="C143" s="21"/>
      <x:c r="G143" s="44"/>
      <x:c r="H143" s="44"/>
      <x:c r="I143" s="44"/>
      <x:c r="J143" s="44"/>
      <x:c r="K143" s="44"/>
    </x:row>
    <x:row r="144">
      <x:c r="C144" s="21"/>
      <x:c r="G144" s="44"/>
      <x:c r="H144" s="44"/>
      <x:c r="I144" s="44"/>
      <x:c r="J144" s="44"/>
      <x:c r="K144" s="44"/>
    </x:row>
    <x:row r="145">
      <x:c r="C145" s="21"/>
      <x:c r="G145" s="44"/>
      <x:c r="H145" s="44"/>
      <x:c r="I145" s="44"/>
      <x:c r="J145" s="44"/>
      <x:c r="K145" s="44"/>
    </x:row>
    <x:row r="146">
      <x:c r="C146" s="21"/>
      <x:c r="G146" s="44"/>
      <x:c r="H146" s="44"/>
      <x:c r="I146" s="44"/>
      <x:c r="J146" s="44"/>
      <x:c r="K146" s="44"/>
    </x:row>
    <x:row r="147">
      <x:c r="C147" s="21"/>
      <x:c r="G147" s="44"/>
      <x:c r="H147" s="44"/>
      <x:c r="I147" s="44"/>
      <x:c r="J147" s="44"/>
      <x:c r="K147" s="44"/>
    </x:row>
    <x:row r="148">
      <x:c r="C148" s="21"/>
      <x:c r="G148" s="44"/>
      <x:c r="H148" s="44"/>
      <x:c r="I148" s="44"/>
      <x:c r="J148" s="44"/>
      <x:c r="K148" s="44"/>
    </x:row>
    <x:row r="149">
      <x:c r="C149" s="21"/>
      <x:c r="G149" s="44"/>
      <x:c r="H149" s="44"/>
      <x:c r="I149" s="44"/>
      <x:c r="J149" s="44"/>
      <x:c r="K149" s="44"/>
    </x:row>
    <x:row r="150">
      <x:c r="C150" s="21"/>
      <x:c r="G150" s="44"/>
      <x:c r="H150" s="44"/>
      <x:c r="I150" s="44"/>
      <x:c r="J150" s="44"/>
      <x:c r="K150" s="44"/>
    </x:row>
    <x:row r="151">
      <x:c r="C151" s="21"/>
      <x:c r="G151" s="44"/>
      <x:c r="H151" s="44"/>
      <x:c r="I151" s="44"/>
      <x:c r="J151" s="44"/>
      <x:c r="K151" s="44"/>
    </x:row>
    <x:row r="152">
      <x:c r="C152" s="21"/>
      <x:c r="G152" s="44"/>
      <x:c r="H152" s="44"/>
      <x:c r="I152" s="44"/>
      <x:c r="J152" s="44"/>
      <x:c r="K152" s="44"/>
    </x:row>
    <x:row r="153">
      <x:c r="C153" s="21"/>
      <x:c r="G153" s="44"/>
      <x:c r="H153" s="44"/>
      <x:c r="I153" s="44"/>
      <x:c r="J153" s="44"/>
      <x:c r="K153" s="44"/>
    </x:row>
    <x:row r="154">
      <x:c r="C154" s="21"/>
      <x:c r="G154" s="44"/>
      <x:c r="H154" s="44"/>
      <x:c r="I154" s="44"/>
      <x:c r="J154" s="44"/>
      <x:c r="K154" s="44"/>
    </x:row>
    <x:row r="155">
      <x:c r="C155" s="21"/>
      <x:c r="G155" s="44"/>
      <x:c r="H155" s="44"/>
      <x:c r="I155" s="44"/>
      <x:c r="J155" s="44"/>
      <x:c r="K155" s="44"/>
    </x:row>
    <x:row r="156">
      <x:c r="C156" s="21"/>
      <x:c r="G156" s="44"/>
      <x:c r="H156" s="44"/>
      <x:c r="I156" s="44"/>
      <x:c r="J156" s="44"/>
      <x:c r="K156" s="44"/>
    </x:row>
    <x:row r="157">
      <x:c r="C157" s="21"/>
      <x:c r="G157" s="44"/>
      <x:c r="H157" s="44"/>
      <x:c r="I157" s="44"/>
      <x:c r="J157" s="44"/>
      <x:c r="K157" s="44"/>
    </x:row>
    <x:row r="158">
      <x:c r="C158" s="21"/>
      <x:c r="G158" s="44"/>
      <x:c r="H158" s="44"/>
      <x:c r="I158" s="44"/>
      <x:c r="J158" s="44"/>
      <x:c r="K158" s="44"/>
    </x:row>
    <x:row r="159">
      <x:c r="C159" s="21"/>
      <x:c r="G159" s="44"/>
      <x:c r="H159" s="44"/>
      <x:c r="I159" s="44"/>
      <x:c r="J159" s="44"/>
      <x:c r="K159" s="44"/>
    </x:row>
    <x:row r="160">
      <x:c r="C160" s="21"/>
      <x:c r="G160" s="44"/>
      <x:c r="H160" s="44"/>
      <x:c r="I160" s="44"/>
      <x:c r="J160" s="44"/>
      <x:c r="K160" s="44"/>
    </x:row>
    <x:row r="161">
      <x:c r="C161" s="21"/>
      <x:c r="G161" s="44"/>
      <x:c r="H161" s="44"/>
      <x:c r="I161" s="44"/>
      <x:c r="J161" s="44"/>
      <x:c r="K161" s="44"/>
    </x:row>
    <x:row r="162">
      <x:c r="C162" s="21"/>
      <x:c r="G162" s="44"/>
      <x:c r="H162" s="44"/>
      <x:c r="I162" s="44"/>
      <x:c r="J162" s="44"/>
      <x:c r="K162" s="44"/>
    </x:row>
    <x:row r="163">
      <x:c r="C163" s="21"/>
      <x:c r="G163" s="44"/>
      <x:c r="H163" s="44"/>
      <x:c r="I163" s="44"/>
      <x:c r="J163" s="44"/>
      <x:c r="K163" s="44"/>
    </x:row>
    <x:row r="164">
      <x:c r="C164" s="21"/>
      <x:c r="G164" s="44"/>
      <x:c r="H164" s="44"/>
      <x:c r="I164" s="44"/>
      <x:c r="J164" s="44"/>
      <x:c r="K164" s="44"/>
    </x:row>
    <x:row r="165">
      <x:c r="C165" s="21"/>
      <x:c r="G165" s="44"/>
      <x:c r="H165" s="44"/>
      <x:c r="I165" s="44"/>
      <x:c r="J165" s="44"/>
      <x:c r="K165" s="44"/>
    </x:row>
    <x:row r="166">
      <x:c r="C166" s="21"/>
      <x:c r="G166" s="44"/>
      <x:c r="H166" s="44"/>
      <x:c r="I166" s="44"/>
      <x:c r="J166" s="44"/>
      <x:c r="K166" s="44"/>
    </x:row>
    <x:row r="167">
      <x:c r="C167" s="21"/>
      <x:c r="G167" s="44"/>
      <x:c r="H167" s="44"/>
      <x:c r="I167" s="44"/>
      <x:c r="J167" s="44"/>
      <x:c r="K167" s="44"/>
    </x:row>
    <x:row r="168">
      <x:c r="C168" s="21"/>
      <x:c r="G168" s="44"/>
      <x:c r="H168" s="44"/>
      <x:c r="I168" s="44"/>
      <x:c r="J168" s="44"/>
      <x:c r="K168" s="44"/>
    </x:row>
    <x:row r="169">
      <x:c r="C169" s="21"/>
      <x:c r="G169" s="44"/>
      <x:c r="H169" s="44"/>
      <x:c r="I169" s="44"/>
      <x:c r="J169" s="44"/>
      <x:c r="K169" s="44"/>
    </x:row>
    <x:row r="170">
      <x:c r="C170" s="21"/>
      <x:c r="G170" s="44"/>
      <x:c r="H170" s="44"/>
      <x:c r="I170" s="44"/>
      <x:c r="J170" s="44"/>
      <x:c r="K170" s="44"/>
    </x:row>
    <x:row r="171">
      <x:c r="C171" s="21"/>
      <x:c r="G171" s="44"/>
      <x:c r="H171" s="44"/>
      <x:c r="I171" s="44"/>
      <x:c r="J171" s="44"/>
      <x:c r="K171" s="44"/>
    </x:row>
    <x:row r="172">
      <x:c r="C172" s="21"/>
      <x:c r="G172" s="44"/>
      <x:c r="H172" s="44"/>
      <x:c r="I172" s="44"/>
      <x:c r="J172" s="44"/>
      <x:c r="K172" s="44"/>
    </x:row>
    <x:row r="173">
      <x:c r="C173" s="21"/>
      <x:c r="G173" s="44"/>
      <x:c r="H173" s="44"/>
      <x:c r="I173" s="44"/>
      <x:c r="J173" s="44"/>
      <x:c r="K173" s="44"/>
    </x:row>
    <x:row r="174">
      <x:c r="C174" s="21"/>
      <x:c r="G174" s="44"/>
      <x:c r="H174" s="44"/>
      <x:c r="I174" s="44"/>
      <x:c r="J174" s="44"/>
      <x:c r="K174" s="44"/>
    </x:row>
    <x:row r="175">
      <x:c r="C175" s="21"/>
      <x:c r="G175" s="44"/>
      <x:c r="H175" s="44"/>
      <x:c r="I175" s="44"/>
      <x:c r="J175" s="44"/>
      <x:c r="K175" s="44"/>
    </x:row>
    <x:row r="176">
      <x:c r="C176" s="21"/>
      <x:c r="G176" s="44"/>
      <x:c r="H176" s="44"/>
      <x:c r="I176" s="44"/>
      <x:c r="J176" s="44"/>
      <x:c r="K176" s="44"/>
    </x:row>
    <x:row r="177">
      <x:c r="C177" s="21"/>
      <x:c r="G177" s="44"/>
      <x:c r="H177" s="44"/>
      <x:c r="I177" s="44"/>
      <x:c r="J177" s="44"/>
      <x:c r="K177" s="44"/>
    </x:row>
    <x:row r="178">
      <x:c r="C178" s="21"/>
      <x:c r="G178" s="44"/>
      <x:c r="H178" s="44"/>
      <x:c r="I178" s="44"/>
      <x:c r="J178" s="44"/>
      <x:c r="K178" s="44"/>
    </x:row>
    <x:row r="179">
      <x:c r="C179" s="21"/>
      <x:c r="G179" s="44"/>
      <x:c r="H179" s="44"/>
      <x:c r="I179" s="44"/>
      <x:c r="J179" s="44"/>
      <x:c r="K179" s="44"/>
    </x:row>
    <x:row r="180">
      <x:c r="C180" s="21"/>
      <x:c r="G180" s="44"/>
      <x:c r="H180" s="44"/>
      <x:c r="I180" s="44"/>
      <x:c r="J180" s="44"/>
      <x:c r="K180" s="44"/>
    </x:row>
    <x:row r="181">
      <x:c r="C181" s="21"/>
      <x:c r="G181" s="44"/>
      <x:c r="H181" s="44"/>
      <x:c r="I181" s="44"/>
      <x:c r="J181" s="44"/>
      <x:c r="K181" s="44"/>
    </x:row>
    <x:row r="182">
      <x:c r="C182" s="21"/>
      <x:c r="G182" s="44"/>
      <x:c r="H182" s="44"/>
      <x:c r="I182" s="44"/>
      <x:c r="J182" s="44"/>
      <x:c r="K182" s="44"/>
    </x:row>
    <x:row r="183">
      <x:c r="C183" s="21"/>
      <x:c r="G183" s="44"/>
      <x:c r="H183" s="44"/>
      <x:c r="I183" s="44"/>
      <x:c r="J183" s="44"/>
      <x:c r="K183" s="44"/>
    </x:row>
    <x:row r="184">
      <x:c r="C184" s="21"/>
      <x:c r="G184" s="44"/>
      <x:c r="H184" s="44"/>
      <x:c r="I184" s="44"/>
      <x:c r="J184" s="44"/>
      <x:c r="K184" s="44"/>
    </x:row>
    <x:row r="185">
      <x:c r="C185" s="21"/>
      <x:c r="G185" s="44"/>
      <x:c r="H185" s="44"/>
      <x:c r="I185" s="44"/>
      <x:c r="J185" s="44"/>
      <x:c r="K185" s="44"/>
    </x:row>
    <x:row r="186">
      <x:c r="C186" s="21"/>
      <x:c r="G186" s="44"/>
      <x:c r="H186" s="44"/>
      <x:c r="I186" s="44"/>
      <x:c r="J186" s="44"/>
      <x:c r="K186" s="44"/>
    </x:row>
    <x:row r="187">
      <x:c r="C187" s="21"/>
      <x:c r="G187" s="44"/>
      <x:c r="H187" s="44"/>
      <x:c r="I187" s="44"/>
      <x:c r="J187" s="44"/>
      <x:c r="K187" s="44"/>
    </x:row>
    <x:row r="188">
      <x:c r="C188" s="21"/>
      <x:c r="G188" s="44"/>
      <x:c r="H188" s="44"/>
      <x:c r="I188" s="44"/>
      <x:c r="J188" s="44"/>
      <x:c r="K188" s="44"/>
    </x:row>
    <x:row r="189">
      <x:c r="C189" s="21"/>
      <x:c r="G189" s="44"/>
      <x:c r="H189" s="44"/>
      <x:c r="I189" s="44"/>
      <x:c r="J189" s="44"/>
      <x:c r="K189" s="44"/>
    </x:row>
    <x:row r="190">
      <x:c r="C190" s="21"/>
      <x:c r="G190" s="44"/>
      <x:c r="H190" s="44"/>
      <x:c r="I190" s="44"/>
      <x:c r="J190" s="44"/>
      <x:c r="K190" s="44"/>
    </x:row>
    <x:row r="191">
      <x:c r="C191" s="21"/>
      <x:c r="G191" s="44"/>
      <x:c r="H191" s="44"/>
      <x:c r="I191" s="44"/>
      <x:c r="J191" s="44"/>
      <x:c r="K191" s="44"/>
    </x:row>
    <x:row r="192">
      <x:c r="C192" s="21"/>
      <x:c r="G192" s="44"/>
      <x:c r="H192" s="44"/>
      <x:c r="I192" s="44"/>
      <x:c r="J192" s="44"/>
      <x:c r="K192" s="44"/>
    </x:row>
    <x:row r="193">
      <x:c r="C193" s="21"/>
      <x:c r="G193" s="44"/>
      <x:c r="H193" s="44"/>
      <x:c r="I193" s="44"/>
      <x:c r="J193" s="44"/>
      <x:c r="K193" s="44"/>
    </x:row>
    <x:row r="194">
      <x:c r="C194" s="21"/>
      <x:c r="G194" s="44"/>
      <x:c r="H194" s="44"/>
      <x:c r="I194" s="44"/>
      <x:c r="J194" s="44"/>
      <x:c r="K194" s="44"/>
    </x:row>
    <x:row r="195">
      <x:c r="C195" s="21"/>
      <x:c r="G195" s="44"/>
      <x:c r="H195" s="44"/>
      <x:c r="I195" s="44"/>
      <x:c r="J195" s="44"/>
      <x:c r="K195" s="44"/>
    </x:row>
    <x:row r="196">
      <x:c r="C196" s="21"/>
      <x:c r="G196" s="44"/>
      <x:c r="H196" s="44"/>
      <x:c r="I196" s="44"/>
      <x:c r="J196" s="44"/>
      <x:c r="K196" s="44"/>
    </x:row>
    <x:row r="197">
      <x:c r="C197" s="21"/>
      <x:c r="G197" s="44"/>
      <x:c r="H197" s="44"/>
      <x:c r="I197" s="44"/>
      <x:c r="J197" s="44"/>
      <x:c r="K197" s="44"/>
    </x:row>
    <x:row r="198">
      <x:c r="C198" s="21"/>
      <x:c r="G198" s="44"/>
      <x:c r="H198" s="44"/>
      <x:c r="I198" s="44"/>
      <x:c r="J198" s="44"/>
      <x:c r="K198" s="44"/>
    </x:row>
    <x:row r="199">
      <x:c r="C199" s="21"/>
      <x:c r="G199" s="44"/>
      <x:c r="H199" s="44"/>
      <x:c r="I199" s="44"/>
      <x:c r="J199" s="44"/>
      <x:c r="K199" s="44"/>
    </x:row>
    <x:row r="200">
      <x:c r="C200" s="21"/>
      <x:c r="G200" s="44"/>
      <x:c r="H200" s="44"/>
      <x:c r="I200" s="44"/>
      <x:c r="J200" s="44"/>
      <x:c r="K200" s="44"/>
    </x:row>
    <x:row r="201">
      <x:c r="C201" s="21"/>
      <x:c r="G201" s="44"/>
      <x:c r="H201" s="44"/>
      <x:c r="I201" s="44"/>
      <x:c r="J201" s="44"/>
      <x:c r="K201" s="44"/>
    </x:row>
    <x:row r="202">
      <x:c r="C202" s="21"/>
      <x:c r="G202" s="44"/>
      <x:c r="H202" s="44"/>
      <x:c r="I202" s="44"/>
      <x:c r="J202" s="44"/>
      <x:c r="K202" s="44"/>
    </x:row>
    <x:row r="203">
      <x:c r="C203" s="21"/>
      <x:c r="G203" s="44"/>
      <x:c r="H203" s="44"/>
      <x:c r="I203" s="44"/>
      <x:c r="J203" s="44"/>
      <x:c r="K203" s="44"/>
    </x:row>
    <x:row r="204">
      <x:c r="C204" s="21"/>
      <x:c r="G204" s="44"/>
      <x:c r="H204" s="44"/>
      <x:c r="I204" s="44"/>
      <x:c r="J204" s="44"/>
      <x:c r="K204" s="44"/>
    </x:row>
    <x:row r="205">
      <x:c r="C205" s="21"/>
      <x:c r="G205" s="44"/>
      <x:c r="H205" s="44"/>
      <x:c r="I205" s="44"/>
      <x:c r="J205" s="44"/>
      <x:c r="K205" s="44"/>
    </x:row>
    <x:row r="206">
      <x:c r="C206" s="21"/>
      <x:c r="G206" s="44"/>
      <x:c r="H206" s="44"/>
      <x:c r="I206" s="44"/>
      <x:c r="J206" s="44"/>
      <x:c r="K206" s="44"/>
    </x:row>
    <x:row r="207">
      <x:c r="C207" s="21"/>
      <x:c r="G207" s="44"/>
      <x:c r="H207" s="44"/>
      <x:c r="I207" s="44"/>
      <x:c r="J207" s="44"/>
      <x:c r="K207" s="44"/>
    </x:row>
    <x:row r="208">
      <x:c r="C208" s="21"/>
      <x:c r="G208" s="44"/>
      <x:c r="H208" s="44"/>
      <x:c r="I208" s="44"/>
      <x:c r="J208" s="44"/>
      <x:c r="K208" s="44"/>
    </x:row>
    <x:row r="209">
      <x:c r="C209" s="21"/>
      <x:c r="G209" s="44"/>
      <x:c r="H209" s="44"/>
      <x:c r="I209" s="44"/>
      <x:c r="J209" s="44"/>
      <x:c r="K209" s="44"/>
    </x:row>
    <x:row r="210">
      <x:c r="C210" s="21"/>
      <x:c r="G210" s="44"/>
      <x:c r="H210" s="44"/>
      <x:c r="I210" s="44"/>
      <x:c r="J210" s="44"/>
      <x:c r="K210" s="44"/>
    </x:row>
    <x:row r="211">
      <x:c r="C211" s="21"/>
      <x:c r="G211" s="44"/>
      <x:c r="H211" s="44"/>
      <x:c r="I211" s="44"/>
      <x:c r="J211" s="44"/>
      <x:c r="K211" s="44"/>
    </x:row>
    <x:row r="212">
      <x:c r="C212" s="21"/>
      <x:c r="G212" s="44"/>
      <x:c r="H212" s="44"/>
      <x:c r="I212" s="44"/>
      <x:c r="J212" s="44"/>
      <x:c r="K212" s="44"/>
    </x:row>
    <x:row r="213">
      <x:c r="C213" s="21"/>
      <x:c r="G213" s="44"/>
      <x:c r="H213" s="44"/>
      <x:c r="I213" s="44"/>
      <x:c r="J213" s="44"/>
      <x:c r="K213" s="44"/>
    </x:row>
    <x:row r="214">
      <x:c r="C214" s="21"/>
      <x:c r="G214" s="44"/>
      <x:c r="H214" s="44"/>
      <x:c r="I214" s="44"/>
      <x:c r="J214" s="44"/>
      <x:c r="K214" s="44"/>
    </x:row>
    <x:row r="215">
      <x:c r="C215" s="21"/>
      <x:c r="G215" s="44"/>
      <x:c r="H215" s="44"/>
      <x:c r="I215" s="44"/>
      <x:c r="J215" s="44"/>
      <x:c r="K215" s="44"/>
    </x:row>
    <x:row r="216">
      <x:c r="C216" s="21"/>
      <x:c r="G216" s="44"/>
      <x:c r="H216" s="44"/>
      <x:c r="I216" s="44"/>
      <x:c r="J216" s="44"/>
      <x:c r="K216" s="44"/>
    </x:row>
    <x:row r="217">
      <x:c r="C217" s="21"/>
      <x:c r="G217" s="44"/>
      <x:c r="H217" s="44"/>
      <x:c r="I217" s="44"/>
      <x:c r="J217" s="44"/>
      <x:c r="K217" s="44"/>
    </x:row>
    <x:row r="218">
      <x:c r="C218" s="21"/>
      <x:c r="G218" s="44"/>
      <x:c r="H218" s="44"/>
      <x:c r="I218" s="44"/>
      <x:c r="J218" s="44"/>
      <x:c r="K218" s="44"/>
    </x:row>
    <x:row r="219">
      <x:c r="C219" s="21"/>
      <x:c r="G219" s="44"/>
      <x:c r="H219" s="44"/>
      <x:c r="I219" s="44"/>
      <x:c r="J219" s="44"/>
      <x:c r="K219" s="44"/>
    </x:row>
    <x:row r="220">
      <x:c r="C220" s="21"/>
      <x:c r="G220" s="44"/>
      <x:c r="H220" s="44"/>
      <x:c r="I220" s="44"/>
      <x:c r="J220" s="44"/>
      <x:c r="K220" s="44"/>
    </x:row>
    <x:row r="221">
      <x:c r="C221" s="21"/>
      <x:c r="G221" s="44"/>
      <x:c r="H221" s="44"/>
      <x:c r="I221" s="44"/>
      <x:c r="J221" s="44"/>
      <x:c r="K221" s="44"/>
    </x:row>
    <x:row r="222">
      <x:c r="C222" s="21"/>
      <x:c r="G222" s="44"/>
      <x:c r="H222" s="44"/>
      <x:c r="I222" s="44"/>
      <x:c r="J222" s="44"/>
      <x:c r="K222" s="44"/>
    </x:row>
    <x:row r="223">
      <x:c r="C223" s="21"/>
      <x:c r="G223" s="44"/>
      <x:c r="H223" s="44"/>
      <x:c r="I223" s="44"/>
      <x:c r="J223" s="44"/>
      <x:c r="K223" s="44"/>
    </x:row>
    <x:row r="224">
      <x:c r="C224" s="21"/>
      <x:c r="G224" s="44"/>
      <x:c r="H224" s="44"/>
      <x:c r="I224" s="44"/>
      <x:c r="J224" s="44"/>
      <x:c r="K224" s="44"/>
    </x:row>
    <x:row r="225">
      <x:c r="C225" s="21"/>
      <x:c r="G225" s="44"/>
      <x:c r="H225" s="44"/>
      <x:c r="I225" s="44"/>
      <x:c r="J225" s="44"/>
      <x:c r="K225" s="44"/>
    </x:row>
    <x:row r="226">
      <x:c r="C226" s="21"/>
      <x:c r="G226" s="44"/>
      <x:c r="H226" s="44"/>
      <x:c r="I226" s="44"/>
      <x:c r="J226" s="44"/>
      <x:c r="K226" s="44"/>
    </x:row>
    <x:row r="227">
      <x:c r="C227" s="21"/>
      <x:c r="G227" s="44"/>
      <x:c r="H227" s="44"/>
      <x:c r="I227" s="44"/>
      <x:c r="J227" s="44"/>
      <x:c r="K227" s="44"/>
    </x:row>
    <x:row r="228">
      <x:c r="C228" s="21"/>
      <x:c r="G228" s="44"/>
      <x:c r="H228" s="44"/>
      <x:c r="I228" s="44"/>
      <x:c r="J228" s="44"/>
      <x:c r="K228" s="44"/>
    </x:row>
    <x:row r="229">
      <x:c r="C229" s="21"/>
      <x:c r="G229" s="44"/>
      <x:c r="H229" s="44"/>
      <x:c r="I229" s="44"/>
      <x:c r="J229" s="44"/>
      <x:c r="K229" s="44"/>
    </x:row>
    <x:row r="230">
      <x:c r="C230" s="21"/>
      <x:c r="G230" s="44"/>
      <x:c r="H230" s="44"/>
      <x:c r="I230" s="44"/>
      <x:c r="J230" s="44"/>
      <x:c r="K230" s="44"/>
    </x:row>
    <x:row r="231">
      <x:c r="C231" s="21"/>
      <x:c r="G231" s="44"/>
      <x:c r="H231" s="44"/>
      <x:c r="I231" s="44"/>
      <x:c r="J231" s="44"/>
      <x:c r="K231" s="44"/>
    </x:row>
    <x:row r="232">
      <x:c r="C232" s="21"/>
      <x:c r="G232" s="44"/>
      <x:c r="H232" s="44"/>
      <x:c r="I232" s="44"/>
      <x:c r="J232" s="44"/>
      <x:c r="K232" s="44"/>
    </x:row>
    <x:row r="233">
      <x:c r="C233" s="21"/>
      <x:c r="G233" s="44"/>
      <x:c r="H233" s="44"/>
      <x:c r="I233" s="44"/>
      <x:c r="J233" s="44"/>
      <x:c r="K233" s="44"/>
    </x:row>
    <x:row r="234">
      <x:c r="C234" s="21"/>
      <x:c r="G234" s="44"/>
      <x:c r="H234" s="44"/>
      <x:c r="I234" s="44"/>
      <x:c r="J234" s="44"/>
      <x:c r="K234" s="44"/>
    </x:row>
    <x:row r="235">
      <x:c r="C235" s="21"/>
      <x:c r="G235" s="44"/>
      <x:c r="H235" s="44"/>
      <x:c r="I235" s="44"/>
      <x:c r="J235" s="44"/>
      <x:c r="K235" s="44"/>
    </x:row>
    <x:row r="236">
      <x:c r="C236" s="21"/>
      <x:c r="G236" s="44"/>
      <x:c r="H236" s="44"/>
      <x:c r="I236" s="44"/>
      <x:c r="J236" s="44"/>
      <x:c r="K236" s="44"/>
    </x:row>
    <x:row r="237">
      <x:c r="C237" s="21"/>
      <x:c r="G237" s="44"/>
      <x:c r="H237" s="44"/>
      <x:c r="I237" s="44"/>
      <x:c r="J237" s="44"/>
      <x:c r="K237" s="44"/>
    </x:row>
    <x:row r="238">
      <x:c r="C238" s="21"/>
      <x:c r="G238" s="44"/>
      <x:c r="H238" s="44"/>
      <x:c r="I238" s="44"/>
      <x:c r="J238" s="44"/>
      <x:c r="K238" s="44"/>
    </x:row>
    <x:row r="239">
      <x:c r="C239" s="21"/>
      <x:c r="G239" s="44"/>
      <x:c r="H239" s="44"/>
      <x:c r="I239" s="44"/>
      <x:c r="J239" s="44"/>
      <x:c r="K239" s="44"/>
    </x:row>
    <x:row r="240">
      <x:c r="C240" s="21"/>
      <x:c r="G240" s="44"/>
      <x:c r="H240" s="44"/>
      <x:c r="I240" s="44"/>
      <x:c r="J240" s="44"/>
      <x:c r="K240" s="44"/>
    </x:row>
    <x:row r="241">
      <x:c r="C241" s="21"/>
      <x:c r="G241" s="44"/>
      <x:c r="H241" s="44"/>
      <x:c r="I241" s="44"/>
      <x:c r="J241" s="44"/>
      <x:c r="K241" s="44"/>
    </x:row>
    <x:row r="242">
      <x:c r="C242" s="21"/>
      <x:c r="G242" s="44"/>
      <x:c r="H242" s="44"/>
      <x:c r="I242" s="44"/>
      <x:c r="J242" s="44"/>
      <x:c r="K242" s="44"/>
    </x:row>
    <x:row r="243">
      <x:c r="C243" s="21"/>
      <x:c r="G243" s="44"/>
      <x:c r="H243" s="44"/>
      <x:c r="I243" s="44"/>
      <x:c r="J243" s="44"/>
      <x:c r="K243" s="44"/>
    </x:row>
    <x:row r="244">
      <x:c r="C244" s="21"/>
      <x:c r="G244" s="44"/>
      <x:c r="H244" s="44"/>
      <x:c r="I244" s="44"/>
      <x:c r="J244" s="44"/>
      <x:c r="K244" s="44"/>
    </x:row>
    <x:row r="245">
      <x:c r="C245" s="21"/>
      <x:c r="G245" s="44"/>
      <x:c r="H245" s="44"/>
      <x:c r="I245" s="44"/>
      <x:c r="J245" s="44"/>
      <x:c r="K245" s="44"/>
    </x:row>
    <x:row r="246">
      <x:c r="C246" s="21"/>
      <x:c r="G246" s="44"/>
      <x:c r="H246" s="44"/>
      <x:c r="I246" s="44"/>
      <x:c r="J246" s="44"/>
      <x:c r="K246" s="44"/>
    </x:row>
    <x:row r="247">
      <x:c r="C247" s="21"/>
      <x:c r="G247" s="44"/>
      <x:c r="H247" s="44"/>
      <x:c r="I247" s="44"/>
      <x:c r="J247" s="44"/>
      <x:c r="K247" s="44"/>
    </x:row>
    <x:row r="248">
      <x:c r="C248" s="21"/>
      <x:c r="G248" s="44"/>
      <x:c r="H248" s="44"/>
      <x:c r="I248" s="44"/>
      <x:c r="J248" s="44"/>
      <x:c r="K248" s="44"/>
    </x:row>
    <x:row r="249">
      <x:c r="C249" s="21"/>
      <x:c r="G249" s="44"/>
      <x:c r="H249" s="44"/>
      <x:c r="I249" s="44"/>
      <x:c r="J249" s="44"/>
      <x:c r="K249" s="44"/>
    </x:row>
    <x:row r="250">
      <x:c r="C250" s="21"/>
      <x:c r="G250" s="44"/>
      <x:c r="H250" s="44"/>
      <x:c r="I250" s="44"/>
      <x:c r="J250" s="44"/>
      <x:c r="K250" s="44"/>
    </x:row>
    <x:row r="251">
      <x:c r="C251" s="21"/>
      <x:c r="G251" s="44"/>
      <x:c r="H251" s="44"/>
      <x:c r="I251" s="44"/>
      <x:c r="J251" s="44"/>
      <x:c r="K251" s="44"/>
    </x:row>
    <x:row r="252">
      <x:c r="C252" s="21"/>
      <x:c r="G252" s="44"/>
      <x:c r="H252" s="44"/>
      <x:c r="I252" s="44"/>
      <x:c r="J252" s="44"/>
      <x:c r="K252" s="44"/>
    </x:row>
    <x:row r="253">
      <x:c r="C253" s="21"/>
      <x:c r="G253" s="44"/>
      <x:c r="H253" s="44"/>
      <x:c r="I253" s="44"/>
      <x:c r="J253" s="44"/>
      <x:c r="K253" s="44"/>
    </x:row>
    <x:row r="254">
      <x:c r="C254" s="21"/>
      <x:c r="G254" s="44"/>
      <x:c r="H254" s="44"/>
      <x:c r="I254" s="44"/>
      <x:c r="J254" s="44"/>
      <x:c r="K254" s="44"/>
    </x:row>
    <x:row r="255">
      <x:c r="C255" s="21"/>
      <x:c r="G255" s="44"/>
      <x:c r="H255" s="44"/>
      <x:c r="I255" s="44"/>
      <x:c r="J255" s="44"/>
      <x:c r="K255" s="44"/>
    </x:row>
    <x:row r="256">
      <x:c r="C256" s="21"/>
      <x:c r="G256" s="44"/>
      <x:c r="H256" s="44"/>
      <x:c r="I256" s="44"/>
      <x:c r="J256" s="44"/>
      <x:c r="K256" s="44"/>
    </x:row>
    <x:row r="257">
      <x:c r="C257" s="21"/>
      <x:c r="G257" s="44"/>
      <x:c r="H257" s="44"/>
      <x:c r="I257" s="44"/>
      <x:c r="J257" s="44"/>
      <x:c r="K257" s="44"/>
    </x:row>
    <x:row r="258">
      <x:c r="C258" s="21"/>
      <x:c r="G258" s="44"/>
      <x:c r="H258" s="44"/>
      <x:c r="I258" s="44"/>
      <x:c r="J258" s="44"/>
      <x:c r="K258" s="44"/>
    </x:row>
    <x:row r="259">
      <x:c r="C259" s="21"/>
      <x:c r="G259" s="44"/>
      <x:c r="H259" s="44"/>
      <x:c r="I259" s="44"/>
      <x:c r="J259" s="44"/>
      <x:c r="K259" s="44"/>
    </x:row>
    <x:row r="260">
      <x:c r="C260" s="21"/>
      <x:c r="G260" s="44"/>
      <x:c r="H260" s="44"/>
      <x:c r="I260" s="44"/>
      <x:c r="J260" s="44"/>
      <x:c r="K260" s="44"/>
    </x:row>
    <x:row r="261">
      <x:c r="C261" s="21"/>
      <x:c r="G261" s="44"/>
      <x:c r="H261" s="44"/>
      <x:c r="I261" s="44"/>
      <x:c r="J261" s="44"/>
      <x:c r="K261" s="44"/>
    </x:row>
    <x:row r="262">
      <x:c r="C262" s="21"/>
      <x:c r="G262" s="44"/>
      <x:c r="H262" s="44"/>
      <x:c r="I262" s="44"/>
      <x:c r="J262" s="44"/>
      <x:c r="K262" s="44"/>
    </x:row>
    <x:row r="263">
      <x:c r="C263" s="21"/>
      <x:c r="G263" s="44"/>
      <x:c r="H263" s="44"/>
      <x:c r="I263" s="44"/>
      <x:c r="J263" s="44"/>
      <x:c r="K263" s="44"/>
    </x:row>
    <x:row r="264">
      <x:c r="C264" s="21"/>
      <x:c r="G264" s="44"/>
      <x:c r="H264" s="44"/>
      <x:c r="I264" s="44"/>
      <x:c r="J264" s="44"/>
      <x:c r="K264" s="44"/>
    </x:row>
    <x:row r="265">
      <x:c r="C265" s="21"/>
      <x:c r="G265" s="44"/>
      <x:c r="H265" s="44"/>
      <x:c r="I265" s="44"/>
      <x:c r="J265" s="44"/>
      <x:c r="K265" s="44"/>
    </x:row>
    <x:row r="266">
      <x:c r="C266" s="21"/>
      <x:c r="G266" s="44"/>
      <x:c r="H266" s="44"/>
      <x:c r="I266" s="44"/>
      <x:c r="J266" s="44"/>
      <x:c r="K266" s="44"/>
    </x:row>
    <x:row r="267">
      <x:c r="C267" s="21"/>
      <x:c r="G267" s="44"/>
      <x:c r="H267" s="44"/>
      <x:c r="I267" s="44"/>
      <x:c r="J267" s="44"/>
      <x:c r="K267" s="44"/>
    </x:row>
    <x:row r="268">
      <x:c r="C268" s="21"/>
      <x:c r="G268" s="44"/>
      <x:c r="H268" s="44"/>
      <x:c r="I268" s="44"/>
      <x:c r="J268" s="44"/>
      <x:c r="K268" s="44"/>
    </x:row>
    <x:row r="269">
      <x:c r="C269" s="21"/>
      <x:c r="G269" s="44"/>
      <x:c r="H269" s="44"/>
      <x:c r="I269" s="44"/>
      <x:c r="J269" s="44"/>
      <x:c r="K269" s="44"/>
    </x:row>
    <x:row r="270">
      <x:c r="C270" s="21"/>
      <x:c r="G270" s="44"/>
      <x:c r="H270" s="44"/>
      <x:c r="I270" s="44"/>
      <x:c r="J270" s="44"/>
      <x:c r="K270" s="44"/>
    </x:row>
    <x:row r="271">
      <x:c r="C271" s="21"/>
      <x:c r="G271" s="44"/>
      <x:c r="H271" s="44"/>
      <x:c r="I271" s="44"/>
      <x:c r="J271" s="44"/>
      <x:c r="K271" s="44"/>
    </x:row>
    <x:row r="272">
      <x:c r="C272" s="21"/>
      <x:c r="G272" s="44"/>
      <x:c r="H272" s="44"/>
      <x:c r="I272" s="44"/>
      <x:c r="J272" s="44"/>
      <x:c r="K272" s="44"/>
    </x:row>
    <x:row r="273">
      <x:c r="C273" s="21"/>
      <x:c r="G273" s="44"/>
      <x:c r="H273" s="44"/>
      <x:c r="I273" s="44"/>
      <x:c r="J273" s="44"/>
      <x:c r="K273" s="44"/>
    </x:row>
    <x:row r="274">
      <x:c r="C274" s="21"/>
      <x:c r="G274" s="44"/>
      <x:c r="H274" s="44"/>
      <x:c r="I274" s="44"/>
      <x:c r="J274" s="44"/>
      <x:c r="K274" s="44"/>
    </x:row>
    <x:row r="275">
      <x:c r="C275" s="21"/>
      <x:c r="G275" s="44"/>
      <x:c r="H275" s="44"/>
      <x:c r="I275" s="44"/>
      <x:c r="J275" s="44"/>
      <x:c r="K275" s="44"/>
    </x:row>
    <x:row r="276">
      <x:c r="C276" s="21"/>
      <x:c r="G276" s="44"/>
      <x:c r="H276" s="44"/>
      <x:c r="I276" s="44"/>
      <x:c r="J276" s="44"/>
      <x:c r="K276" s="44"/>
    </x:row>
    <x:row r="277">
      <x:c r="C277" s="21"/>
      <x:c r="G277" s="44"/>
      <x:c r="H277" s="44"/>
      <x:c r="I277" s="44"/>
      <x:c r="J277" s="44"/>
      <x:c r="K277" s="44"/>
    </x:row>
    <x:row r="278">
      <x:c r="C278" s="21"/>
      <x:c r="G278" s="44"/>
      <x:c r="H278" s="44"/>
      <x:c r="I278" s="44"/>
      <x:c r="J278" s="44"/>
      <x:c r="K278" s="44"/>
    </x:row>
    <x:row r="279">
      <x:c r="C279" s="21"/>
      <x:c r="G279" s="44"/>
      <x:c r="H279" s="44"/>
      <x:c r="I279" s="44"/>
      <x:c r="J279" s="44"/>
      <x:c r="K279" s="44"/>
    </x:row>
    <x:row r="280">
      <x:c r="C280" s="21"/>
      <x:c r="G280" s="44"/>
      <x:c r="H280" s="44"/>
      <x:c r="I280" s="44"/>
      <x:c r="J280" s="44"/>
      <x:c r="K280" s="44"/>
    </x:row>
    <x:row r="281">
      <x:c r="C281" s="21"/>
      <x:c r="G281" s="44"/>
      <x:c r="H281" s="44"/>
      <x:c r="I281" s="44"/>
      <x:c r="J281" s="44"/>
      <x:c r="K281" s="44"/>
    </x:row>
    <x:row r="282">
      <x:c r="C282" s="21"/>
      <x:c r="G282" s="44"/>
      <x:c r="H282" s="44"/>
      <x:c r="I282" s="44"/>
      <x:c r="J282" s="44"/>
      <x:c r="K282" s="44"/>
    </x:row>
    <x:row r="283">
      <x:c r="C283" s="21"/>
      <x:c r="G283" s="44"/>
      <x:c r="H283" s="44"/>
      <x:c r="I283" s="44"/>
      <x:c r="J283" s="44"/>
      <x:c r="K283" s="44"/>
    </x:row>
    <x:row r="284">
      <x:c r="C284" s="21"/>
      <x:c r="G284" s="44"/>
      <x:c r="H284" s="44"/>
      <x:c r="I284" s="44"/>
      <x:c r="J284" s="44"/>
      <x:c r="K284" s="44"/>
    </x:row>
    <x:row r="285">
      <x:c r="C285" s="21"/>
      <x:c r="G285" s="44"/>
      <x:c r="H285" s="44"/>
      <x:c r="I285" s="44"/>
      <x:c r="J285" s="44"/>
      <x:c r="K285" s="44"/>
    </x:row>
    <x:row r="286">
      <x:c r="C286" s="21"/>
      <x:c r="G286" s="44"/>
      <x:c r="H286" s="44"/>
      <x:c r="I286" s="44"/>
      <x:c r="J286" s="44"/>
      <x:c r="K286" s="44"/>
    </x:row>
    <x:row r="287">
      <x:c r="C287" s="21"/>
      <x:c r="G287" s="44"/>
      <x:c r="H287" s="44"/>
      <x:c r="I287" s="44"/>
      <x:c r="J287" s="44"/>
      <x:c r="K287" s="44"/>
    </x:row>
    <x:row r="288">
      <x:c r="C288" s="21"/>
      <x:c r="G288" s="44"/>
      <x:c r="H288" s="44"/>
      <x:c r="I288" s="44"/>
      <x:c r="J288" s="44"/>
      <x:c r="K288" s="44"/>
    </x:row>
    <x:row r="289">
      <x:c r="C289" s="21"/>
      <x:c r="G289" s="44"/>
      <x:c r="H289" s="44"/>
      <x:c r="I289" s="44"/>
      <x:c r="J289" s="44"/>
      <x:c r="K289" s="44"/>
    </x:row>
    <x:row r="290">
      <x:c r="C290" s="21"/>
      <x:c r="G290" s="44"/>
      <x:c r="H290" s="44"/>
      <x:c r="I290" s="44"/>
      <x:c r="J290" s="44"/>
      <x:c r="K290" s="44"/>
    </x:row>
    <x:row r="291">
      <x:c r="C291" s="21"/>
      <x:c r="G291" s="44"/>
      <x:c r="H291" s="44"/>
      <x:c r="I291" s="44"/>
      <x:c r="J291" s="44"/>
      <x:c r="K291" s="44"/>
    </x:row>
    <x:row r="292">
      <x:c r="C292" s="21"/>
      <x:c r="G292" s="44"/>
      <x:c r="H292" s="44"/>
      <x:c r="I292" s="44"/>
      <x:c r="J292" s="44"/>
      <x:c r="K292" s="44"/>
    </x:row>
    <x:row r="293">
      <x:c r="C293" s="21"/>
      <x:c r="G293" s="44"/>
      <x:c r="H293" s="44"/>
      <x:c r="I293" s="44"/>
      <x:c r="J293" s="44"/>
      <x:c r="K293" s="44"/>
    </x:row>
    <x:row r="294">
      <x:c r="C294" s="21"/>
      <x:c r="G294" s="44"/>
      <x:c r="H294" s="44"/>
      <x:c r="I294" s="44"/>
      <x:c r="J294" s="44"/>
      <x:c r="K294" s="44"/>
    </x:row>
    <x:row r="295">
      <x:c r="C295" s="21"/>
      <x:c r="G295" s="44"/>
      <x:c r="H295" s="44"/>
      <x:c r="I295" s="44"/>
      <x:c r="J295" s="44"/>
      <x:c r="K295" s="44"/>
    </x:row>
    <x:row r="296">
      <x:c r="C296" s="21"/>
      <x:c r="G296" s="44"/>
      <x:c r="H296" s="44"/>
      <x:c r="I296" s="44"/>
      <x:c r="J296" s="44"/>
      <x:c r="K296" s="44"/>
    </x:row>
    <x:row r="297">
      <x:c r="C297" s="21"/>
      <x:c r="G297" s="44"/>
      <x:c r="H297" s="44"/>
      <x:c r="I297" s="44"/>
      <x:c r="J297" s="44"/>
      <x:c r="K297" s="44"/>
    </x:row>
    <x:row r="298">
      <x:c r="C298" s="21"/>
      <x:c r="G298" s="44"/>
      <x:c r="H298" s="44"/>
      <x:c r="I298" s="44"/>
      <x:c r="J298" s="44"/>
      <x:c r="K298" s="44"/>
    </x:row>
    <x:row r="299">
      <x:c r="C299" s="21"/>
      <x:c r="G299" s="44"/>
      <x:c r="H299" s="44"/>
      <x:c r="I299" s="44"/>
      <x:c r="J299" s="44"/>
      <x:c r="K299" s="44"/>
    </x:row>
    <x:row r="300">
      <x:c r="C300" s="21"/>
      <x:c r="G300" s="44"/>
      <x:c r="H300" s="44"/>
      <x:c r="I300" s="44"/>
      <x:c r="J300" s="44"/>
      <x:c r="K300" s="44"/>
    </x:row>
    <x:row r="301">
      <x:c r="C301" s="21"/>
      <x:c r="G301" s="44"/>
      <x:c r="H301" s="44"/>
      <x:c r="I301" s="44"/>
      <x:c r="J301" s="44"/>
      <x:c r="K301" s="44"/>
    </x:row>
    <x:row r="302">
      <x:c r="C302" s="21"/>
      <x:c r="G302" s="44"/>
      <x:c r="H302" s="44"/>
      <x:c r="I302" s="44"/>
      <x:c r="J302" s="44"/>
      <x:c r="K302" s="44"/>
    </x:row>
    <x:row r="303">
      <x:c r="C303" s="21"/>
      <x:c r="G303" s="44"/>
      <x:c r="H303" s="44"/>
      <x:c r="I303" s="44"/>
      <x:c r="J303" s="44"/>
      <x:c r="K303" s="44"/>
    </x:row>
    <x:row r="304">
      <x:c r="C304" s="21"/>
      <x:c r="G304" s="44"/>
      <x:c r="H304" s="44"/>
      <x:c r="I304" s="44"/>
      <x:c r="J304" s="44"/>
      <x:c r="K304" s="44"/>
    </x:row>
    <x:row r="305">
      <x:c r="C305" s="21"/>
      <x:c r="G305" s="44"/>
      <x:c r="H305" s="44"/>
      <x:c r="I305" s="44"/>
      <x:c r="J305" s="44"/>
      <x:c r="K305" s="44"/>
    </x:row>
    <x:row r="306">
      <x:c r="C306" s="21"/>
      <x:c r="G306" s="44"/>
      <x:c r="H306" s="44"/>
      <x:c r="I306" s="44"/>
      <x:c r="J306" s="44"/>
      <x:c r="K306" s="44"/>
    </x:row>
    <x:row r="307">
      <x:c r="C307" s="21"/>
      <x:c r="G307" s="44"/>
      <x:c r="H307" s="44"/>
      <x:c r="I307" s="44"/>
      <x:c r="J307" s="44"/>
      <x:c r="K307" s="44"/>
    </x:row>
    <x:row r="308">
      <x:c r="C308" s="21"/>
      <x:c r="G308" s="44"/>
      <x:c r="H308" s="44"/>
      <x:c r="I308" s="44"/>
      <x:c r="J308" s="44"/>
      <x:c r="K308" s="44"/>
    </x:row>
    <x:row r="309">
      <x:c r="C309" s="21"/>
      <x:c r="G309" s="44"/>
      <x:c r="H309" s="44"/>
      <x:c r="I309" s="44"/>
      <x:c r="J309" s="44"/>
      <x:c r="K309" s="44"/>
    </x:row>
    <x:row r="310">
      <x:c r="C310" s="21"/>
      <x:c r="G310" s="44"/>
      <x:c r="H310" s="44"/>
      <x:c r="I310" s="44"/>
      <x:c r="J310" s="44"/>
      <x:c r="K310" s="44"/>
    </x:row>
    <x:row r="311">
      <x:c r="C311" s="21"/>
      <x:c r="G311" s="44"/>
      <x:c r="H311" s="44"/>
      <x:c r="I311" s="44"/>
      <x:c r="J311" s="44"/>
      <x:c r="K311" s="44"/>
    </x:row>
    <x:row r="312">
      <x:c r="C312" s="21"/>
      <x:c r="G312" s="44"/>
      <x:c r="H312" s="44"/>
      <x:c r="I312" s="44"/>
      <x:c r="J312" s="44"/>
      <x:c r="K312" s="44"/>
    </x:row>
    <x:row r="313">
      <x:c r="C313" s="21"/>
      <x:c r="G313" s="44"/>
      <x:c r="H313" s="44"/>
      <x:c r="I313" s="44"/>
      <x:c r="J313" s="44"/>
      <x:c r="K313" s="44"/>
    </x:row>
    <x:row r="314">
      <x:c r="C314" s="21"/>
      <x:c r="G314" s="44"/>
      <x:c r="H314" s="44"/>
      <x:c r="I314" s="44"/>
      <x:c r="J314" s="44"/>
      <x:c r="K314" s="44"/>
    </x:row>
    <x:row r="315">
      <x:c r="C315" s="21"/>
      <x:c r="G315" s="44"/>
      <x:c r="H315" s="44"/>
      <x:c r="I315" s="44"/>
      <x:c r="J315" s="44"/>
      <x:c r="K315" s="44"/>
    </x:row>
    <x:row r="316">
      <x:c r="C316" s="21"/>
      <x:c r="G316" s="44"/>
      <x:c r="H316" s="44"/>
      <x:c r="I316" s="44"/>
      <x:c r="J316" s="44"/>
      <x:c r="K316" s="44"/>
    </x:row>
    <x:row r="317">
      <x:c r="C317" s="21"/>
      <x:c r="G317" s="44"/>
      <x:c r="H317" s="44"/>
      <x:c r="I317" s="44"/>
      <x:c r="J317" s="44"/>
      <x:c r="K317" s="44"/>
    </x:row>
    <x:row r="318">
      <x:c r="C318" s="21"/>
      <x:c r="G318" s="44"/>
      <x:c r="H318" s="44"/>
      <x:c r="I318" s="44"/>
      <x:c r="J318" s="44"/>
      <x:c r="K318" s="44"/>
    </x:row>
    <x:row r="319">
      <x:c r="C319" s="21"/>
      <x:c r="G319" s="44"/>
      <x:c r="H319" s="44"/>
      <x:c r="I319" s="44"/>
      <x:c r="J319" s="44"/>
      <x:c r="K319" s="44"/>
    </x:row>
    <x:row r="320">
      <x:c r="C320" s="21"/>
      <x:c r="G320" s="44"/>
      <x:c r="H320" s="44"/>
      <x:c r="I320" s="44"/>
      <x:c r="J320" s="44"/>
      <x:c r="K320" s="44"/>
    </x:row>
    <x:row r="321">
      <x:c r="C321" s="21"/>
      <x:c r="G321" s="44"/>
      <x:c r="H321" s="44"/>
      <x:c r="I321" s="44"/>
      <x:c r="J321" s="44"/>
      <x:c r="K321" s="44"/>
    </x:row>
    <x:row r="322">
      <x:c r="C322" s="21"/>
      <x:c r="G322" s="44"/>
      <x:c r="H322" s="44"/>
      <x:c r="I322" s="44"/>
      <x:c r="J322" s="44"/>
      <x:c r="K322" s="44"/>
    </x:row>
    <x:row r="323">
      <x:c r="C323" s="21"/>
      <x:c r="G323" s="44"/>
      <x:c r="H323" s="44"/>
      <x:c r="I323" s="44"/>
      <x:c r="J323" s="44"/>
      <x:c r="K323" s="44"/>
    </x:row>
    <x:row r="324">
      <x:c r="C324" s="21"/>
      <x:c r="G324" s="44"/>
      <x:c r="H324" s="44"/>
      <x:c r="I324" s="44"/>
      <x:c r="J324" s="44"/>
      <x:c r="K324" s="44"/>
    </x:row>
    <x:row r="325">
      <x:c r="C325" s="21"/>
      <x:c r="G325" s="44"/>
      <x:c r="H325" s="44"/>
      <x:c r="I325" s="44"/>
      <x:c r="J325" s="44"/>
      <x:c r="K325" s="44"/>
    </x:row>
    <x:row r="326">
      <x:c r="C326" s="21"/>
      <x:c r="G326" s="44"/>
      <x:c r="H326" s="44"/>
      <x:c r="I326" s="44"/>
      <x:c r="J326" s="44"/>
      <x:c r="K326" s="44"/>
    </x:row>
    <x:row r="327">
      <x:c r="C327" s="21"/>
      <x:c r="G327" s="44"/>
      <x:c r="H327" s="44"/>
      <x:c r="I327" s="44"/>
      <x:c r="J327" s="44"/>
      <x:c r="K327" s="44"/>
    </x:row>
    <x:row r="328">
      <x:c r="C328" s="21"/>
      <x:c r="G328" s="44"/>
      <x:c r="H328" s="44"/>
      <x:c r="I328" s="44"/>
      <x:c r="J328" s="44"/>
      <x:c r="K328" s="44"/>
    </x:row>
    <x:row r="329">
      <x:c r="C329" s="21"/>
      <x:c r="G329" s="44"/>
      <x:c r="H329" s="44"/>
      <x:c r="I329" s="44"/>
      <x:c r="J329" s="44"/>
      <x:c r="K329" s="44"/>
    </x:row>
    <x:row r="330">
      <x:c r="C330" s="21"/>
      <x:c r="G330" s="44"/>
      <x:c r="H330" s="44"/>
      <x:c r="I330" s="44"/>
      <x:c r="J330" s="44"/>
      <x:c r="K330" s="44"/>
    </x:row>
    <x:row r="331">
      <x:c r="C331" s="21"/>
      <x:c r="G331" s="44"/>
      <x:c r="H331" s="44"/>
      <x:c r="I331" s="44"/>
      <x:c r="J331" s="44"/>
      <x:c r="K331" s="44"/>
    </x:row>
    <x:row r="332">
      <x:c r="C332" s="21"/>
      <x:c r="G332" s="44"/>
      <x:c r="H332" s="44"/>
      <x:c r="I332" s="44"/>
      <x:c r="J332" s="44"/>
      <x:c r="K332" s="44"/>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eac579f2a7534e64"/>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26dca87fc87e4917"/>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60.55</x:v>
      </x:c>
      <x:c r="K6" s="46" t="n">
        <x:f>I6*J6</x:f>
        <x:v>1058.381401852823</x:v>
      </x:c>
      <x:c r="L6" s="46" t="n">
        <x:f>K6-H6</x:f>
        <x:v>58.381401852823046</x:v>
      </x:c>
      <x:c r="M6" s="48" t="n">
        <x:f>L6/H6</x:f>
        <x:v>0.05838140185282305</x:v>
      </x:c>
      <x:c r="N6" s="30"/>
      <x:c r="O6" s="32"/>
      <x:c r="P6" s="32" t="str">
        <x:f>IF(OR(I6="",O6=""),"",I6*O6)</x:f>
      </x:c>
      <x:c r="Q6" s="32" t="str">
        <x:f>IF(P6="","",P6-H6)</x:f>
      </x:c>
      <x:c r="R6" s="29" t="str">
        <x:v>09/18/26 close: $60.55; position value $1,058.38; +$58.38 (+5.84%). BNO remained the cleanest Brent-linked expression and finished the evaluation horizon profitably. It declined 0.59% today as China pressed Iran to curb Houthi attacks and Saudi Arabia pursued partial pipeline restoration, while Hormuz traffic remained severely restricted.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153.87</x:v>
      </x:c>
      <x:c r="K7" s="46" t="n">
        <x:f>I7*J7</x:f>
        <x:v>1064.1078838174274</x:v>
      </x:c>
      <x:c r="L7" s="46" t="n">
        <x:f>K7-H7</x:f>
        <x:v>64.10788381742736</x:v>
      </x:c>
      <x:c r="M7" s="48" t="n">
        <x:f>L7/H7</x:f>
        <x:v>0.06410788381742737</x:v>
      </x:c>
      <x:c r="N7" s="30"/>
      <x:c r="O7" s="32"/>
      <x:c r="P7" s="32" t="str">
        <x:f>IF(OR(I7="",O7=""),"",I7*O7)</x:f>
      </x:c>
      <x:c r="Q7" s="32" t="str">
        <x:f>IF(P7="","",P7-H7)</x:f>
      </x:c>
      <x:c r="R7" s="29" t="str">
        <x:v>09/18/26 close: $153.87; position value $1,064.11; +$64.11 (+6.41%). USO confirmed the predicted crude-price direction over the evaluation horizon. It declined 0.93% today as repair and diplomatic developments reduced part of the immediate scarcity premium.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190.65</x:v>
      </x:c>
      <x:c r="K8" s="46" t="n">
        <x:f>I8*J8</x:f>
        <x:v>983.5431283532811</x:v>
      </x:c>
      <x:c r="L8" s="46" t="n">
        <x:f>K8-H8</x:f>
        <x:v>-16.456871646718923</x:v>
      </x:c>
      <x:c r="M8" s="48" t="n">
        <x:f>L8/H8</x:f>
        <x:v>-0.016456871646718923</x:v>
      </x:c>
      <x:c r="N8" s="30"/>
      <x:c r="O8" s="32"/>
      <x:c r="P8" s="32" t="str">
        <x:f>IF(OR(I8="",O8=""),"",I8*O8)</x:f>
      </x:c>
      <x:c r="Q8" s="32" t="str">
        <x:f>IF(P8="","",P8-H8)</x:f>
      </x:c>
      <x:c r="R8" s="29" t="str">
        <x:v>09/18/26 close: $190.65; position value $983.54; -$16.46 (-1.65%). XOP failed to confirm the thesis as an indirect producer-equity expression and materially trailed BNO and USO, reinforcing the clean-expression rule.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7a2ff97612764e74"/>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x:v>
      </x:c>
    </x:row>
    <x:row r="23">
      <x:c r="A23" s="27"/>
      <x:c r="B23" s="28"/>
      <x:c r="C23" s="27"/>
      <x:c r="D23" s="29"/>
      <x:c r="E23" s="29"/>
      <x:c r="F23" s="29"/>
      <x:c r="G23" s="29"/>
      <x:c r="H23" s="29"/>
      <x:c r="I23" s="29"/>
      <x:c r="J23" s="29"/>
    </x:row>
    <x:row r="24">
      <x:c r="A24" s="27"/>
      <x:c r="B24" s="28"/>
      <x:c r="C24" s="27"/>
      <x:c r="D24" s="29"/>
      <x:c r="E24" s="29"/>
      <x:c r="F24" s="29"/>
      <x:c r="G24" s="29"/>
      <x:c r="H24" s="29"/>
      <x:c r="I24" s="29"/>
      <x:c r="J24" s="29"/>
    </x:row>
    <x:row r="25">
      <x:c r="A25" s="27"/>
      <x:c r="B25" s="28"/>
      <x:c r="C25" s="27"/>
      <x:c r="D25" s="29"/>
      <x:c r="E25" s="29"/>
      <x:c r="F25" s="29"/>
      <x:c r="G25" s="29"/>
      <x:c r="H25" s="29"/>
      <x:c r="I25" s="29"/>
      <x:c r="J25" s="29"/>
    </x:row>
    <x:row r="26">
      <x:c r="A26" s="27"/>
      <x:c r="B26" s="28"/>
      <x:c r="C26" s="27"/>
      <x:c r="D26" s="29"/>
      <x:c r="E26" s="29"/>
      <x:c r="F26" s="29"/>
      <x:c r="G26" s="29"/>
      <x:c r="H26" s="29"/>
      <x:c r="I26" s="29"/>
      <x:c r="J26" s="29"/>
    </x:row>
    <x:row r="27">
      <x:c r="A27" s="27"/>
      <x:c r="B27" s="28"/>
      <x:c r="C27" s="27"/>
      <x:c r="D27" s="29"/>
      <x:c r="E27" s="29"/>
      <x:c r="F27" s="29"/>
      <x:c r="G27" s="29"/>
      <x:c r="H27" s="29"/>
      <x:c r="I27" s="29"/>
      <x:c r="J27" s="29"/>
    </x:row>
    <x:row r="28">
      <x:c r="A28" s="27"/>
      <x:c r="B28" s="28"/>
      <x:c r="C28" s="27"/>
      <x:c r="D28" s="29"/>
      <x:c r="E28" s="29"/>
      <x:c r="F28" s="29"/>
      <x:c r="G28" s="29"/>
      <x:c r="H28" s="29"/>
      <x:c r="I28" s="29"/>
      <x:c r="J28" s="29"/>
    </x:row>
    <x:row r="29">
      <x:c r="A29" s="27"/>
      <x:c r="B29" s="28"/>
      <x:c r="C29" s="27"/>
      <x:c r="D29" s="29"/>
      <x:c r="E29" s="29"/>
      <x:c r="F29" s="29"/>
      <x:c r="G29" s="29"/>
      <x:c r="H29" s="29"/>
      <x:c r="I29" s="29"/>
      <x:c r="J29" s="29"/>
    </x:row>
    <x:row r="30">
      <x:c r="A30" s="27"/>
      <x:c r="B30" s="28"/>
      <x:c r="C30" s="27"/>
      <x:c r="D30" s="29"/>
      <x:c r="E30" s="29"/>
      <x:c r="F30" s="29"/>
      <x:c r="G30" s="29"/>
      <x:c r="H30" s="29"/>
      <x:c r="I30" s="29"/>
      <x:c r="J30" s="29"/>
    </x:row>
    <x:row r="31">
      <x:c r="A31" s="27"/>
      <x:c r="B31" s="28"/>
      <x:c r="C31" s="27"/>
      <x:c r="D31" s="29"/>
      <x:c r="E31" s="29"/>
      <x:c r="F31" s="29"/>
      <x:c r="G31" s="29"/>
      <x:c r="H31" s="29"/>
      <x:c r="I31" s="29"/>
      <x:c r="J31" s="29"/>
    </x:row>
    <x:row r="32">
      <x:c r="A32" s="27"/>
      <x:c r="B32" s="28"/>
      <x:c r="C32" s="27"/>
      <x:c r="D32" s="29"/>
      <x:c r="E32" s="29"/>
      <x:c r="F32" s="29"/>
      <x:c r="G32" s="29"/>
      <x:c r="H32" s="29"/>
      <x:c r="I32" s="29"/>
      <x:c r="J32" s="29"/>
    </x:row>
    <x:row r="33">
      <x:c r="A33" s="27"/>
      <x:c r="B33" s="28"/>
      <x:c r="C33" s="27"/>
      <x:c r="D33" s="29"/>
      <x:c r="E33" s="29"/>
      <x:c r="F33" s="29"/>
      <x:c r="G33" s="29"/>
      <x:c r="H33" s="29"/>
      <x:c r="I33" s="29"/>
      <x:c r="J33" s="29"/>
    </x:row>
    <x:row r="34">
      <x:c r="A34" s="27"/>
      <x:c r="B34" s="28"/>
      <x:c r="C34" s="27"/>
      <x:c r="D34" s="29"/>
      <x:c r="E34" s="29"/>
      <x:c r="F34" s="29"/>
      <x:c r="G34" s="29"/>
      <x:c r="H34" s="29"/>
      <x:c r="I34" s="29"/>
      <x:c r="J34" s="29"/>
    </x:row>
    <x:row r="35">
      <x:c r="A35" s="27"/>
      <x:c r="B35" s="28"/>
      <x:c r="C35" s="27"/>
      <x:c r="D35" s="29"/>
      <x:c r="E35" s="29"/>
      <x:c r="F35" s="29"/>
      <x:c r="G35" s="29"/>
      <x:c r="H35" s="29"/>
      <x:c r="I35" s="29"/>
      <x:c r="J35" s="29"/>
    </x:row>
    <x:row r="36">
      <x:c r="A36" s="27"/>
      <x:c r="B36" s="28"/>
      <x:c r="C36" s="27"/>
      <x:c r="D36" s="29"/>
      <x:c r="E36" s="29"/>
      <x:c r="F36" s="29"/>
      <x:c r="G36" s="29"/>
      <x:c r="H36" s="29"/>
      <x:c r="I36" s="29"/>
      <x:c r="J36" s="29"/>
    </x:row>
    <x:row r="37">
      <x:c r="A37" s="27"/>
      <x:c r="B37" s="28"/>
      <x:c r="C37" s="27"/>
      <x:c r="D37" s="29"/>
      <x:c r="E37" s="29"/>
      <x:c r="F37" s="29"/>
      <x:c r="G37" s="29"/>
      <x:c r="H37" s="29"/>
      <x:c r="I37" s="29"/>
      <x:c r="J37" s="29"/>
    </x:row>
    <x:row r="38">
      <x:c r="A38" s="27"/>
      <x:c r="B38" s="28"/>
      <x:c r="C38" s="27"/>
      <x:c r="D38" s="29"/>
      <x:c r="E38" s="29"/>
      <x:c r="F38" s="29"/>
      <x:c r="G38" s="29"/>
      <x:c r="H38" s="29"/>
      <x:c r="I38" s="29"/>
      <x:c r="J38" s="29"/>
    </x:row>
    <x:row r="39">
      <x:c r="A39" s="27"/>
      <x:c r="B39" s="28"/>
      <x:c r="C39" s="27"/>
      <x:c r="D39" s="29"/>
      <x:c r="E39" s="29"/>
      <x:c r="F39" s="29"/>
      <x:c r="G39" s="29"/>
      <x:c r="H39" s="29"/>
      <x:c r="I39" s="29"/>
      <x:c r="J39" s="29"/>
    </x:row>
    <x:row r="40">
      <x:c r="A40" s="27"/>
      <x:c r="B40" s="28"/>
      <x:c r="C40" s="27"/>
      <x:c r="D40" s="29"/>
      <x:c r="E40" s="29"/>
      <x:c r="F40" s="29"/>
      <x:c r="G40" s="29"/>
      <x:c r="H40" s="29"/>
      <x:c r="I40" s="29"/>
      <x:c r="J40" s="29"/>
    </x:row>
    <x:row r="41">
      <x:c r="A41" s="27"/>
      <x:c r="B41" s="28"/>
      <x:c r="C41" s="27"/>
      <x:c r="D41" s="29"/>
      <x:c r="E41" s="29"/>
      <x:c r="F41" s="29"/>
      <x:c r="G41" s="29"/>
      <x:c r="H41" s="29"/>
      <x:c r="I41" s="29"/>
      <x:c r="J41" s="29"/>
    </x:row>
    <x:row r="42">
      <x:c r="A42" s="27"/>
      <x:c r="B42" s="28"/>
      <x:c r="C42" s="27"/>
      <x:c r="D42" s="29"/>
      <x:c r="E42" s="29"/>
      <x:c r="F42" s="29"/>
      <x:c r="G42" s="29"/>
      <x:c r="H42" s="29"/>
      <x:c r="I42" s="29"/>
      <x:c r="J42" s="29"/>
    </x:row>
    <x:row r="43">
      <x:c r="A43" s="27"/>
      <x:c r="B43" s="28"/>
      <x:c r="C43" s="27"/>
      <x:c r="D43" s="29"/>
      <x:c r="E43" s="29"/>
      <x:c r="F43" s="29"/>
      <x:c r="G43" s="29"/>
      <x:c r="H43" s="29"/>
      <x:c r="I43" s="29"/>
      <x:c r="J43" s="29"/>
    </x:row>
    <x:row r="44">
      <x:c r="A44" s="27"/>
      <x:c r="B44" s="28"/>
      <x:c r="C44" s="27"/>
      <x:c r="D44" s="29"/>
      <x:c r="E44" s="29"/>
      <x:c r="F44" s="29"/>
      <x:c r="G44" s="29"/>
      <x:c r="H44" s="29"/>
      <x:c r="I44" s="29"/>
      <x:c r="J44" s="29"/>
    </x:row>
    <x:row r="45">
      <x:c r="A45" s="27"/>
      <x:c r="B45" s="28"/>
      <x:c r="C45" s="27"/>
      <x:c r="D45" s="29"/>
      <x:c r="E45" s="29"/>
      <x:c r="F45" s="29"/>
      <x:c r="G45" s="29"/>
      <x:c r="H45" s="29"/>
      <x:c r="I45" s="29"/>
      <x:c r="J45" s="29"/>
    </x:row>
    <x:row r="46">
      <x:c r="A46" s="27"/>
      <x:c r="B46" s="28"/>
      <x:c r="C46" s="27"/>
      <x:c r="D46" s="29"/>
      <x:c r="E46" s="29"/>
      <x:c r="F46" s="29"/>
      <x:c r="G46" s="29"/>
      <x:c r="H46" s="29"/>
      <x:c r="I46" s="29"/>
      <x:c r="J46" s="29"/>
    </x:row>
    <x:row r="47">
      <x:c r="A47" s="27"/>
      <x:c r="B47" s="28"/>
      <x:c r="C47" s="27"/>
      <x:c r="D47" s="29"/>
      <x:c r="E47" s="29"/>
      <x:c r="F47" s="29"/>
      <x:c r="G47" s="29"/>
      <x:c r="H47" s="29"/>
      <x:c r="I47" s="29"/>
      <x:c r="J47" s="29"/>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96864de5bdd847ef"/>
  </x:tableParts>
</x:worksheet>
</file>