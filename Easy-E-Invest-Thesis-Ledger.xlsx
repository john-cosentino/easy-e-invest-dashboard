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6e0e4d0c0c43a0" /></Relationships>
</file>

<file path=xl/workbook.xml><?xml version="1.0" encoding="utf-8"?>
<x:workbook xmlns:x="http://schemas.openxmlformats.org/spreadsheetml/2006/main">
  <x:sheets>
    <x:sheet xmlns:r="http://schemas.openxmlformats.org/officeDocument/2006/relationships" name="Summary" sheetId="1" r:id="Rcd3a517728644a98"/>
    <x:sheet xmlns:r="http://schemas.openxmlformats.org/officeDocument/2006/relationships" name="Thesis Ledger" sheetId="2" r:id="Rfd9b7077528e4208"/>
    <x:sheet xmlns:r="http://schemas.openxmlformats.org/officeDocument/2006/relationships" name="Evidence Log" sheetId="3" r:id="R3189f6e5e26745b6"/>
    <x:sheet xmlns:r="http://schemas.openxmlformats.org/officeDocument/2006/relationships" name="Source Registry" sheetId="4" r:id="R876002ec61a74b9a"/>
    <x:sheet xmlns:r="http://schemas.openxmlformats.org/officeDocument/2006/relationships" name="Paper Trades" sheetId="5" r:id="R271678f7c08141d7"/>
    <x:sheet xmlns:r="http://schemas.openxmlformats.org/officeDocument/2006/relationships" name="Scan Runs" sheetId="6" r:id="Rb897388731564606"/>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9b8c592e8748da" /><Relationship Type="http://schemas.openxmlformats.org/officeDocument/2006/relationships/theme" Target="/xl/theme/theme1.xml" Id="R92490ca854d248d4" /><Relationship Type="http://schemas.openxmlformats.org/officeDocument/2006/relationships/sharedStrings" Target="/xl/sharedStrings.xml" Id="R45a7d9d55fba4955" /><Relationship Type="http://schemas.openxmlformats.org/officeDocument/2006/relationships/worksheet" Target="/xl/worksheets/sheet1.xml" Id="Rcd3a517728644a98" /><Relationship Type="http://schemas.openxmlformats.org/officeDocument/2006/relationships/worksheet" Target="/xl/worksheets/sheet2.xml" Id="Rfd9b7077528e4208" /><Relationship Type="http://schemas.openxmlformats.org/officeDocument/2006/relationships/worksheet" Target="/xl/worksheets/sheet3.xml" Id="R3189f6e5e26745b6" /><Relationship Type="http://schemas.openxmlformats.org/officeDocument/2006/relationships/worksheet" Target="/xl/worksheets/sheet4.xml" Id="R876002ec61a74b9a" /><Relationship Type="http://schemas.openxmlformats.org/officeDocument/2006/relationships/worksheet" Target="/xl/worksheets/sheet5.xml" Id="R271678f7c08141d7" /><Relationship Type="http://schemas.openxmlformats.org/officeDocument/2006/relationships/worksheet" Target="/xl/worksheets/sheet6.xml" Id="Rb897388731564606"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4b1ffe1e7ce4ddf" /></Relationships>
</file>

<file path=xl/worksheets/_rels/sheet3.xml.rels>&#65279;<?xml version="1.0" encoding="utf-8"?><Relationships xmlns="http://schemas.openxmlformats.org/package/2006/relationships"><Relationship Type="http://schemas.openxmlformats.org/officeDocument/2006/relationships/table" Target="/xl/tables/table2.xml" Id="R68a5ec6d6140419b" /></Relationships>
</file>

<file path=xl/worksheets/_rels/sheet4.xml.rels>&#65279;<?xml version="1.0" encoding="utf-8"?><Relationships xmlns="http://schemas.openxmlformats.org/package/2006/relationships"><Relationship Type="http://schemas.openxmlformats.org/officeDocument/2006/relationships/table" Target="/xl/tables/table3.xml" Id="R9b431abb174c4ef5" /></Relationships>
</file>

<file path=xl/worksheets/_rels/sheet5.xml.rels>&#65279;<?xml version="1.0" encoding="utf-8"?><Relationships xmlns="http://schemas.openxmlformats.org/package/2006/relationships"><Relationship Type="http://schemas.openxmlformats.org/officeDocument/2006/relationships/table" Target="/xl/tables/table4.xml" Id="R6cd271c6cda345fc" /></Relationships>
</file>

<file path=xl/worksheets/_rels/sheet6.xml.rels>&#65279;<?xml version="1.0" encoding="utf-8"?><Relationships xmlns="http://schemas.openxmlformats.org/package/2006/relationships"><Relationship Type="http://schemas.openxmlformats.org/officeDocument/2006/relationships/table" Target="/xl/tables/table5.xml" Id="Rcc556a314ea44b34"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19</x:v>
      </x:c>
      <x:c r="C6" s="1"/>
      <x:c r="D6" s="1"/>
      <x:c r="E6" s="1"/>
      <x:c r="F6" s="1"/>
      <x:c r="G6" s="1"/>
      <x:c r="H6" s="1"/>
      <x:c r="I6" s="1"/>
      <x:c r="J6" s="1"/>
    </x:row>
    <x:row r="7">
      <x:c r="A7" s="1" t="str">
        <x:v>Open theses</x:v>
      </x:c>
      <x:c r="B7" s="40" t="n">
        <x:f>COUNTIFS('Thesis Ledger'!A6:A200,"&lt;&gt;",'Thesis Ledger'!F6:F200,"&lt;&gt;Closed",'Thesis Ledger'!F6:F200,"&lt;&gt;Invalidated")</x:f>
        <x:v>17</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54b1ffe1e7ce4ddf"/>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x:c r="C481" s="21" t="d">
        <x:v>2026-10-13T11:58:45.000Z</x:v>
      </x:c>
      <x:c r="D481" t="str">
        <x:v>Rejected Motley Fool analyst-target article</x:v>
      </x:c>
      <x:c r="E481" t="str">
        <x:v>The Motley Fool — Geoffrey Seiler</x:v>
      </x:c>
      <x:c r="F481" t="str">
        <x:v>Free editorial trigger; not confirmation</x:v>
      </x:c>
      <x:c r="G481" s="44" t="str">
        <x:v>https://www.fool.com/investing/2026/10/13/analyst-predict-upside-palantir-spacex-buy-stock/</x:v>
      </x:c>
      <x:c r="H481" s="44" t="str">
        <x:v>Published October 13 at 4:14 a.m. ET; cited Barclays targets for PLTR and SpaceX rather than a new primary catalyst.</x:v>
      </x:c>
      <x:c r="I481" s="44" t="str">
        <x:v>Rejected as a new thesis</x:v>
      </x:c>
      <x:c r="J481" s="44" t="n">
        <x:v>2</x:v>
      </x:c>
      <x:c r="K481" s="44" t="str">
        <x:v>Author disclosed no position; Motley Fool owns/recommends PLTR and recommends Barclays. Analyst opinion is not independent confirmation.</x:v>
      </x:c>
    </x:row>
    <x:row r="482">
      <x:c r="A482" t="str">
        <x:v>EV-2026-477</x:v>
      </x:c>
      <x:c r="B482"/>
      <x:c r="C482" s="21" t="d">
        <x:v>2026-10-13T11:58:45.000Z</x:v>
      </x:c>
      <x:c r="D482" t="str">
        <x:v>Rejected Motley Fool pre-earnings setup</x:v>
      </x:c>
      <x:c r="E482" t="str">
        <x:v>The Motley Fool — Daniel Foelber</x:v>
      </x:c>
      <x:c r="F482" t="str">
        <x:v>Free editorial trigger; not confirmation</x:v>
      </x:c>
      <x:c r="G482" s="44" t="str">
        <x:v>https://www.fool.com/investing/2026/10/13/asml-earnings-6-numbers-long-term-investors-should/</x:v>
      </x:c>
      <x:c r="H482" s="44" t="str">
        <x:v>Published October 13 at 6:12 a.m. ET; highlighted six ASML metrics ahead of October 14 results, with no new primary result.</x:v>
      </x:c>
      <x:c r="I482" s="44" t="str">
        <x:v>Rejected today; monitor the primary earnings release</x:v>
      </x:c>
      <x:c r="J482" s="44" t="n">
        <x:v>2</x:v>
      </x:c>
      <x:c r="K482" s="44" t="str">
        <x:v>Author owns ASML, Broadcom and Nvidia; Motley Fool owns/recommends numerous semiconductor names. ASML was already up about 65.4% YTD.</x:v>
      </x:c>
    </x:row>
    <x:row r="483">
      <x:c r="A483" t="str">
        <x:v>EV-2026-478</x:v>
      </x:c>
      <x:c r="B483"/>
      <x:c r="C483" s="21" t="d">
        <x:v>2026-10-13T11:58:45.000Z</x:v>
      </x:c>
      <x:c r="D483" t="str">
        <x:v>Rejected Motley Fool breadth warning</x:v>
      </x:c>
      <x:c r="E483" t="str">
        <x:v>The Motley Fool — Steven Porrello</x:v>
      </x:c>
      <x:c r="F483" t="str">
        <x:v>Free editorial trigger; not confirmation</x:v>
      </x:c>
      <x:c r="G483" s="44" t="str">
        <x:v>https://www.fool.com/investing/2026/10/13/second-time-in-history-stock-market-rare-warning/</x:v>
      </x:c>
      <x:c r="H483" s="44" t="str">
        <x:v>Published October 13 at 6:00 a.m. ET; claimed 44% of S&amp;P 500 stocks were in bear markets and used it as a broad warning.</x:v>
      </x:c>
      <x:c r="I483" s="44" t="str">
        <x:v>Relevant trigger for breadth monitoring, not confirmation or a thesis</x:v>
      </x:c>
      <x:c r="J483" s="44" t="n">
        <x:v>2</x:v>
      </x:c>
      <x:c r="K483" s="44" t="str">
        <x:v>Author disclosed no positions; Motley Fool recommends Schwab and related options. No timing mechanism or primary breadth dataset was independently established.</x:v>
      </x:c>
    </x:row>
    <x:row r="484">
      <x:c r="A484" t="str">
        <x:v>EV-2026-479</x:v>
      </x:c>
      <x:c r="B484"/>
      <x:c r="C484" s="21" t="d">
        <x:v>2026-10-13T11:58:45.000Z</x:v>
      </x:c>
      <x:c r="D484" t="str">
        <x:v>Rejected Motley Fool crash prediction</x:v>
      </x:c>
      <x:c r="E484" t="str">
        <x:v>The Motley Fool — Anthony Di Pizio</x:v>
      </x:c>
      <x:c r="F484" t="str">
        <x:v>Free editorial trigger; not confirmation</x:v>
      </x:c>
      <x:c r="G484" s="44" t="str">
        <x:v>https://www.fool.com/investing/2026/10/13/prediction-stock-market-crash-on-7-decades-history/</x:v>
      </x:c>
      <x:c r="H484" s="44" t="str">
        <x:v>Published October 13 at 5:19 a.m. ET; predicted crash risk from historical valuation patterns without a dated causal catalyst.</x:v>
      </x:c>
      <x:c r="I484" s="44" t="str">
        <x:v>Rejected as a new thesis</x:v>
      </x:c>
      <x:c r="J484" s="44" t="n">
        <x:v>2</x:v>
      </x:c>
      <x:c r="K484" s="44" t="str">
        <x:v>Free editorial, not a paid recommendation. Valuation history alone did not establish direction, timing or an investable edge.</x:v>
      </x:c>
    </x:row>
    <x:row r="485">
      <x:c r="A485" t="str">
        <x:v>EV-2026-480</x:v>
      </x:c>
      <x:c r="B485"/>
      <x:c r="C485" s="21" t="d">
        <x:v>2026-10-13T11:58:45.000Z</x:v>
      </x:c>
      <x:c r="D485" t="str">
        <x:v>Rejected Motley Fool Dutch Bros projection</x:v>
      </x:c>
      <x:c r="E485" t="str">
        <x:v>The Motley Fool — Geoffrey Seiler</x:v>
      </x:c>
      <x:c r="F485" t="str">
        <x:v>Free editorial trigger; not confirmation</x:v>
      </x:c>
      <x:c r="G485" s="44" t="str">
        <x:v>https://www.fool.com/investing/2026/10/13/heres-what-a-10000-investment-in-dutch-bros-stock/</x:v>
      </x:c>
      <x:c r="H485" s="44" t="str">
        <x:v>Published October 13 at 5:50 a.m. ET; relied on 8.3% comps, 1,225 stores, 185 planned openings and a long-range growth model.</x:v>
      </x:c>
      <x:c r="I485" s="44" t="str">
        <x:v>Rejected as a new thesis; no distinct new catalyst</x:v>
      </x:c>
      <x:c r="J485" s="44" t="n">
        <x:v>2</x:v>
      </x:c>
      <x:c r="K485" s="44" t="str">
        <x:v>Author owns BROS; Motley Fool owns/recommends BROS and Starbucks. Current valuation near 52 times earnings and model sensitivity limit edge.</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68a5ec6d6140419b"/>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9b431abb174c4ef5"/>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65.12</x:v>
      </x:c>
      <x:c r="K6" s="46" t="n">
        <x:f>I6*J6</x:f>
        <x:v>1138.2625415137215</x:v>
      </x:c>
      <x:c r="L6" s="46" t="n">
        <x:f>K6-H6</x:f>
        <x:v>138.26254151372154</x:v>
      </x:c>
      <x:c r="M6" s="48" t="n">
        <x:f>L6/H6</x:f>
        <x:v>0.13826254151372155</x:v>
      </x:c>
      <x:c r="N6" s="30"/>
      <x:c r="O6" s="32"/>
      <x:c r="P6" s="32" t="str">
        <x:f>IF(OR(I6="",O6=""),"",I6*O6)</x:f>
      </x:c>
      <x:c r="Q6" s="32" t="str">
        <x:f>IF(P6="","",P6-H6)</x:f>
      </x:c>
      <x:c r="R6" s="29" t="str">
        <x:v>10/12/26 close: $65.12; position value $1,138.26; +$138.26 (+13.83%). BNO gained 1.77% as Brent settled at $106.65 after new tanker attacks and the strike on Riyadh airport restored the crude-risk premium. Direct Brent exposure remains the strongest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151.03</x:v>
      </x:c>
      <x:c r="K7" s="46" t="n">
        <x:f>I7*J7</x:f>
        <x:v>1044.4674965421855</x:v>
      </x:c>
      <x:c r="L7" s="46" t="n">
        <x:f>K7-H7</x:f>
        <x:v>44.46749654218547</x:v>
      </x:c>
      <x:c r="M7" s="48" t="n">
        <x:f>L7/H7</x:f>
        <x:v>0.04446749654218547</x:v>
      </x:c>
      <x:c r="N7" s="30"/>
      <x:c r="O7" s="32"/>
      <x:c r="P7" s="32" t="str">
        <x:f>IF(OR(I7="",O7=""),"",I7*O7)</x:f>
      </x:c>
      <x:c r="Q7" s="32" t="str">
        <x:f>IF(P7="","",P7-H7)</x:f>
      </x:c>
      <x:c r="R7" s="29" t="str">
        <x:v>10/12/26 close: $151.03; position value $1,044.47; +$44.47 (+4.45%). USO gained 1.91% as WTI settled at $93.74. The position remains profitable but trails BNO, while recovered Middle East exports and weaker demand growth remain important offsets.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194.29</x:v>
      </x:c>
      <x:c r="K8" s="46" t="n">
        <x:f>I8*J8</x:f>
        <x:v>1002.3215022699133</x:v>
      </x:c>
      <x:c r="L8" s="46" t="n">
        <x:f>K8-H8</x:f>
        <x:v>2.3215022699132533</x:v>
      </x:c>
      <x:c r="M8" s="48" t="n">
        <x:f>L8/H8</x:f>
        <x:v>0.0023215022699132532</x:v>
      </x:c>
      <x:c r="N8" s="30"/>
      <x:c r="O8" s="32"/>
      <x:c r="P8" s="32" t="str">
        <x:f>IF(OR(I8="",O8=""),"",I8*O8)</x:f>
      </x:c>
      <x:c r="Q8" s="32" t="str">
        <x:f>IF(P8="","",P8-H8)</x:f>
      </x:c>
      <x:c r="R8" s="29" t="str">
        <x:v>10/12/26 close: $194.29; position value $1,002.32; +$2.32 (+0.23%). XOP gained 1.45% and returned slightly above entry, but it still trails both direct crude expressions by a wide margin. Producer-equity participation improved without changing the original expression lesson.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6cd271c6cda345fc"/>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cc556a314ea44b34"/>
  </x:tableParts>
</x:worksheet>
</file>