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d9107b401c8a4fa4" /></Relationships>
</file>

<file path=xl/workbook.xml><?xml version="1.0" encoding="utf-8"?>
<x:workbook xmlns:x="http://schemas.openxmlformats.org/spreadsheetml/2006/main">
  <x:sheets>
    <x:sheet xmlns:r="http://schemas.openxmlformats.org/officeDocument/2006/relationships" name="Summary" sheetId="1" r:id="Rdb1e81d79800422f"/>
    <x:sheet xmlns:r="http://schemas.openxmlformats.org/officeDocument/2006/relationships" name="Thesis Ledger" sheetId="2" r:id="R0fa7fff341d14bcc"/>
    <x:sheet xmlns:r="http://schemas.openxmlformats.org/officeDocument/2006/relationships" name="Evidence Log" sheetId="3" r:id="R77163f7849954e6a"/>
    <x:sheet xmlns:r="http://schemas.openxmlformats.org/officeDocument/2006/relationships" name="Source Registry" sheetId="4" r:id="R06ef8265a5d044d6"/>
    <x:sheet xmlns:r="http://schemas.openxmlformats.org/officeDocument/2006/relationships" name="Paper Trades" sheetId="5" r:id="R6011ffcf6cb04732"/>
    <x:sheet xmlns:r="http://schemas.openxmlformats.org/officeDocument/2006/relationships" name="Scan Runs" sheetId="6" r:id="R07b937076e3e4d20"/>
  </x:sheets>
</x:workbook>
</file>

<file path=xl/sharedStrings.xml><?xml version="1.0" encoding="utf-8"?>
<x:sst xmlns:x="http://schemas.openxmlformats.org/spreadsheetml/2006/main"/>
</file>

<file path=xl/styles.xml><?xml version="1.0" encoding="utf-8"?>
<x:styleSheet xmlns:x="http://schemas.openxmlformats.org/spreadsheetml/2006/main">
  <x:numFmts count="12">
    <x:numFmt numFmtId="200" formatCode="0.0%"/>
    <x:numFmt numFmtId="201" formatCode="mm/dd/yy"/>
    <x:numFmt numFmtId="202" formatCode="mm/dd/yy hh:mm"/>
    <x:numFmt numFmtId="203" formatCode="$#,##0.00"/>
    <x:numFmt numFmtId="204" formatCode="&quot;$&quot;#,##0.00"/>
    <x:numFmt numFmtId="205" formatCode="0.0000"/>
    <x:numFmt numFmtId="206" formatCode="0.00%"/>
    <x:numFmt numFmtId="207" formatCode="mm/dd/yy h:mm AM/PM"/>
    <x:numFmt numFmtId="208" formatCode="mm/dd/yy h:mm"/>
    <x:numFmt numFmtId="209" formatCode="yyyy-mm-dd hh:mm"/>
    <x:numFmt numFmtId="210" formatCode="mm/dd/yyyy hh:mm"/>
    <x:numFmt numFmtId="211" formatCode="0%"/>
  </x:numFmts>
  <x:fonts count="6">
    <x:font>
      <x:sz val="11"/>
      <x:name val="Carlito"/>
    </x:font>
    <x:font>
      <x:sz val="10"/>
      <x:color rgb="FF1F2937"/>
      <x:name val="Arial"/>
    </x:font>
    <x:font>
      <x:b/>
      <x:sz val="15"/>
      <x:color rgb="FF14213D"/>
      <x:name val="Arial"/>
    </x:font>
    <x:font>
      <x:b/>
      <x:sz val="10"/>
      <x:color rgb="FFFFFFFF"/>
      <x:name val="Arial"/>
    </x:font>
    <x:font>
      <x:i/>
      <x:sz val="10"/>
      <x:color rgb="FF374151"/>
      <x:name val="Arial"/>
    </x:font>
    <x:font>
      <x:b/>
      <x:sz val="11"/>
      <x:color rgb="FF14213D"/>
      <x:name val="Arial"/>
    </x:font>
  </x:fonts>
  <x:fills count="5">
    <x:fill>
      <x:patternFill patternType="none"/>
    </x:fill>
    <x:fill>
      <x:patternFill patternType="gray125"/>
    </x:fill>
    <x:fill>
      <x:patternFill patternType="solid">
        <x:fgColor rgb="FF1F4E78"/>
      </x:patternFill>
    </x:fill>
    <x:fill>
      <x:patternFill patternType="solid">
        <x:fgColor rgb="FFFFF8E7"/>
      </x:patternFill>
    </x:fill>
    <x:fill>
      <x:patternFill patternType="solid">
        <x:fgColor rgb="FFDCEAF7"/>
      </x:patternFill>
    </x:fill>
  </x:fills>
  <x:borders count="8">
    <x:border/>
    <x:border>
      <x:bottom style="medium">
        <x:color rgb="FF27C2D1"/>
      </x:bottom>
    </x:border>
    <x:border>
      <x:right style="thin">
        <x:color rgb="FFFFFFFF"/>
      </x:right>
      <x:bottom style="thin">
        <x:color rgb="FFFFFFFF"/>
      </x:bottom>
    </x:border>
    <x:border>
      <x:left style="thin">
        <x:color rgb="FFFFFFFF"/>
      </x:left>
      <x:bottom style="thin">
        <x:color rgb="FFFFFFFF"/>
      </x:bottom>
    </x:border>
    <x:border>
      <x:left style="thin">
        <x:color rgb="FFFFFFFF"/>
      </x:left>
      <x:right style="thin">
        <x:color rgb="FFFFFFFF"/>
      </x:right>
      <x:bottom style="thin">
        <x:color rgb="FFFFFFFF"/>
      </x:bottom>
    </x:border>
    <x:border>
      <x:right style="thin">
        <x:color rgb="FFFFFFFF"/>
      </x:right>
    </x:border>
    <x:border>
      <x:bottom style="thin">
        <x:color rgb="FFC9CED6"/>
      </x:bottom>
    </x:border>
    <x:border>
      <x:right style="thin">
        <x:color rgb="FFFFFFFF"/>
      </x:right>
      <x:bottom style="thin">
        <x:color rgb="FFC9CED6"/>
      </x:bottom>
    </x:border>
  </x:borders>
  <x:cellStyleXfs count="1">
    <x:xf numFmtId="0" fontId="0" fillId="0" borderId="0"/>
  </x:cellStyleXfs>
  <x:cellXfs count="56">
    <x:xf numFmtId="0" fontId="0" fillId="0" borderId="0" xfId="0"/>
    <x:xf numFmtId="0" fontId="1" fillId="0" borderId="0" xfId="0" applyNumberFormat="1" applyFont="1" applyFill="1" applyBorder="1"/>
    <x:xf numFmtId="0" fontId="2" fillId="0" borderId="0" xfId="0" applyNumberFormat="1" applyFont="1" applyFill="1" applyBorder="1"/>
    <x:xf numFmtId="0" fontId="1" fillId="0" borderId="1" xfId="0" applyNumberFormat="1" applyFont="1" applyFill="1" applyBorder="1"/>
    <x:xf numFmtId="0" fontId="1" fillId="2" borderId="0" xfId="0" applyNumberFormat="1" applyFont="1" applyFill="1" applyBorder="1"/>
    <x:xf numFmtId="0" fontId="3" fillId="2" borderId="0" xfId="0" applyNumberFormat="1" applyFont="1" applyFill="1" applyBorder="1"/>
    <x:xf numFmtId="0" fontId="3" fillId="2" borderId="0" xfId="0" applyNumberFormat="1" applyFont="1" applyFill="1" applyBorder="1" applyAlignment="1">
      <x:alignment horizontal="center"/>
    </x:xf>
    <x:xf numFmtId="0" fontId="3" fillId="2" borderId="0" xfId="0" applyNumberFormat="1" applyFont="1" applyFill="1" applyBorder="1" applyAlignment="1">
      <x:alignment horizontal="center" vertical="center"/>
    </x:xf>
    <x:xf numFmtId="0" fontId="3" fillId="2" borderId="0" xfId="0" applyNumberFormat="1" applyFont="1" applyFill="1" applyBorder="1" applyAlignment="1">
      <x:alignment horizontal="center" vertical="center" wrapText="1"/>
    </x:xf>
    <x:xf numFmtId="0" fontId="3" fillId="2" borderId="2" xfId="0" applyNumberFormat="1" applyFont="1" applyFill="1" applyBorder="1" applyAlignment="1">
      <x:alignment horizontal="center" vertical="center" wrapText="1"/>
    </x:xf>
    <x:xf numFmtId="0" fontId="3" fillId="2" borderId="3" xfId="0" applyNumberFormat="1" applyFont="1" applyFill="1" applyBorder="1" applyAlignment="1">
      <x:alignment horizontal="center" vertical="center" wrapText="1"/>
    </x:xf>
    <x:xf numFmtId="200" fontId="1" fillId="0" borderId="0" xfId="0" applyNumberFormat="1" applyFont="1" applyFill="1" applyBorder="1"/>
    <x:xf numFmtId="0" fontId="3" fillId="2" borderId="4" xfId="0" applyNumberFormat="1" applyFont="1" applyFill="1" applyBorder="1" applyAlignment="1">
      <x:alignment horizontal="center" vertical="center" wrapText="1"/>
    </x:xf>
    <x:xf numFmtId="201" fontId="1" fillId="0" borderId="0" xfId="0" applyNumberFormat="1" applyFont="1" applyFill="1" applyBorder="1"/>
    <x:xf numFmtId="0" fontId="1"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wrapText="1"/>
    </x:xf>
    <x:xf numFmtId="0" fontId="4" fillId="3" borderId="0" xfId="0" applyNumberFormat="1" applyFont="1" applyFill="1" applyBorder="1" applyAlignment="1">
      <x:alignment vertical="center" wrapText="1"/>
    </x:xf>
    <x:xf numFmtId="201" fontId="0" fillId="0" borderId="0" xfId="0" applyNumberFormat="1" applyFont="1" applyFill="1" applyBorder="1"/>
    <x:xf numFmtId="200" fontId="0" fillId="0" borderId="0" xfId="0" applyNumberFormat="1" applyFont="1" applyFill="1" applyBorder="1"/>
    <x:xf numFmtId="202" fontId="1" fillId="0" borderId="0" xfId="0" applyNumberFormat="1" applyFont="1" applyFill="1" applyBorder="1"/>
    <x:xf numFmtId="202" fontId="0" fillId="0" borderId="0" xfId="0" applyNumberFormat="1" applyFont="1" applyFill="1" applyBorder="1"/>
    <x:xf numFmtId="203" fontId="1" fillId="0" borderId="0" xfId="0" applyNumberFormat="1" applyFont="1" applyFill="1" applyBorder="1"/>
    <x:xf numFmtId="203" fontId="0" fillId="0" borderId="0" xfId="0" applyNumberFormat="1" applyFont="1" applyFill="1" applyBorder="1"/>
    <x:xf numFmtId="0" fontId="3" fillId="2" borderId="2" xfId="0" applyNumberFormat="1" applyFont="1" applyFill="1" applyBorder="1" applyAlignment="1">
      <x:alignment horizontal="center" vertical="top" wrapText="1"/>
    </x:xf>
    <x:xf numFmtId="0" fontId="3" fillId="2" borderId="4" xfId="0" applyNumberFormat="1" applyFont="1" applyFill="1" applyBorder="1" applyAlignment="1">
      <x:alignment horizontal="center" vertical="top" wrapText="1"/>
    </x:xf>
    <x:xf numFmtId="0" fontId="3" fillId="2" borderId="3" xfId="0" applyNumberFormat="1" applyFont="1" applyFill="1" applyBorder="1" applyAlignment="1">
      <x:alignment horizontal="center" vertical="top" wrapText="1"/>
    </x:xf>
    <x:xf numFmtId="0" fontId="1" fillId="0" borderId="0" xfId="0" applyNumberFormat="1" applyFont="1" applyFill="1" applyBorder="1" applyAlignment="1">
      <x:alignment vertical="top"/>
    </x:xf>
    <x:xf numFmtId="202" fontId="1" fillId="0" borderId="0" xfId="0" applyNumberFormat="1" applyFont="1" applyFill="1" applyBorder="1" applyAlignment="1">
      <x:alignment vertical="top"/>
    </x:xf>
    <x:xf numFmtId="0" fontId="1" fillId="0" borderId="0" xfId="0" applyNumberFormat="1" applyFont="1" applyFill="1" applyBorder="1" applyAlignment="1">
      <x:alignment vertical="top" wrapText="1"/>
    </x:xf>
    <x:xf numFmtId="201" fontId="1" fillId="0" borderId="0" xfId="0" applyNumberFormat="1" applyFont="1" applyFill="1" applyBorder="1" applyAlignment="1">
      <x:alignment vertical="top"/>
    </x:xf>
    <x:xf numFmtId="200" fontId="1" fillId="0" borderId="0" xfId="0" applyNumberFormat="1" applyFont="1" applyFill="1" applyBorder="1" applyAlignment="1">
      <x:alignment vertical="top"/>
    </x:xf>
    <x:xf numFmtId="203" fontId="1" fillId="0" borderId="0" xfId="0" applyNumberFormat="1" applyFont="1" applyFill="1" applyBorder="1" applyAlignment="1">
      <x:alignment vertical="top"/>
    </x:xf>
    <x:xf numFmtId="0" fontId="1" fillId="0" borderId="5" xfId="0" applyNumberFormat="1" applyFont="1" applyFill="1" applyBorder="1"/>
    <x:xf numFmtId="200" fontId="1" fillId="0" borderId="5" xfId="0" applyNumberFormat="1" applyFont="1" applyFill="1" applyBorder="1"/>
    <x:xf numFmtId="0" fontId="1" fillId="0" borderId="6" xfId="0" applyNumberFormat="1" applyFont="1" applyFill="1" applyBorder="1"/>
    <x:xf numFmtId="0" fontId="1" fillId="0" borderId="7" xfId="0" applyNumberFormat="1" applyFont="1" applyFill="1" applyBorder="1"/>
    <x:xf numFmtId="0" fontId="1" fillId="4" borderId="5" xfId="0" applyNumberFormat="1" applyFont="1" applyFill="1" applyBorder="1"/>
    <x:xf numFmtId="200" fontId="1" fillId="4" borderId="5" xfId="0" applyNumberFormat="1" applyFont="1" applyFill="1" applyBorder="1"/>
    <x:xf numFmtId="0" fontId="1" fillId="4" borderId="7" xfId="0" applyNumberFormat="1" applyFont="1" applyFill="1" applyBorder="1"/>
    <x:xf numFmtId="0" fontId="5" fillId="4" borderId="5" xfId="0" applyNumberFormat="1" applyFont="1" applyFill="1" applyBorder="1"/>
    <x:xf numFmtId="200" fontId="5" fillId="4" borderId="5" xfId="0" applyNumberFormat="1" applyFont="1" applyFill="1" applyBorder="1"/>
    <x:xf numFmtId="0" fontId="5" fillId="4" borderId="7" xfId="0" applyNumberFormat="1" applyFont="1" applyFill="1" applyBorder="1"/>
    <x:xf numFmtId="201" fontId="1" fillId="0" borderId="0" xfId="0" applyNumberFormat="1" applyFont="1" applyFill="1" applyBorder="1" applyAlignment="1">
      <x:alignment vertical="top" wrapText="1"/>
    </x:xf>
    <x:xf numFmtId="0" fontId="0" fillId="0" borderId="0" xfId="0" applyNumberFormat="1" applyFont="1" applyFill="1" applyBorder="1" applyAlignment="1">
      <x:alignment wrapText="1"/>
    </x:xf>
    <x:xf numFmtId="201" fontId="0" fillId="0" borderId="0" xfId="0" applyNumberFormat="1" applyFont="1" applyFill="1" applyBorder="1" applyAlignment="1">
      <x:alignment wrapText="1"/>
    </x:xf>
    <x:xf numFmtId="204" fontId="1" fillId="0" borderId="0" xfId="0" applyNumberFormat="1" applyFont="1" applyFill="1" applyBorder="1" applyAlignment="1">
      <x:alignment vertical="top"/>
    </x:xf>
    <x:xf numFmtId="205" fontId="1" fillId="0" borderId="0" xfId="0" applyNumberFormat="1" applyFont="1" applyFill="1" applyBorder="1" applyAlignment="1">
      <x:alignment vertical="top"/>
    </x:xf>
    <x:xf numFmtId="206" fontId="1" fillId="0" borderId="0" xfId="0" applyNumberFormat="1" applyFont="1" applyFill="1" applyBorder="1" applyAlignment="1">
      <x:alignment vertical="top"/>
    </x:xf>
    <x:xf numFmtId="207" fontId="1" fillId="0" borderId="0" xfId="0" applyNumberFormat="1" applyFont="1" applyFill="1" applyBorder="1" applyAlignment="1">
      <x:alignment vertical="top"/>
    </x:xf>
    <x:xf numFmtId="207" fontId="1" fillId="0" borderId="0" xfId="0" applyNumberFormat="1" applyFont="1" applyFill="1" applyBorder="1" applyAlignment="1">
      <x:alignment vertical="top" wrapText="1"/>
    </x:xf>
    <x:xf numFmtId="208" fontId="1" fillId="0" borderId="0" xfId="0" applyNumberFormat="1" applyFont="1" applyFill="1" applyBorder="1" applyAlignment="1">
      <x:alignment vertical="top"/>
    </x:xf>
    <x:xf numFmtId="209" fontId="1" fillId="0" borderId="0" xfId="0" applyNumberFormat="1" applyFont="1" applyFill="1" applyBorder="1" applyAlignment="1">
      <x:alignment vertical="top"/>
    </x:xf>
    <x:xf numFmtId="210" fontId="0" fillId="0" borderId="0" xfId="0" applyNumberFormat="1" applyFont="1" applyFill="1" applyBorder="1"/>
    <x:xf numFmtId="210" fontId="1" fillId="0" borderId="0" xfId="0" applyNumberFormat="1" applyFont="1" applyFill="1" applyBorder="1" applyAlignment="1">
      <x:alignment vertical="top"/>
    </x:xf>
    <x:xf numFmtId="211" fontId="5" fillId="4" borderId="5" xfId="0" applyNumberFormat="1" applyFont="1" applyFill="1" applyBorder="1"/>
  </x:cellXfs>
  <x:cellStyles count="1">
    <x:cellStyle name="Normal" xfId="0"/>
  </x:cellStyles>
  <x:dxfs count="4">
    <x:dxf>
      <x:font>
        <x:b/>
        <x:color rgb="FF7A4B00"/>
      </x:font>
      <x:fill>
        <x:patternFill>
          <x:bgColor rgb="FFFFF0C2"/>
        </x:patternFill>
      </x:fill>
    </x:dxf>
    <x:dxf>
      <x:font>
        <x:b/>
        <x:color rgb="FF1F4E78"/>
      </x:font>
      <x:fill>
        <x:patternFill>
          <x:bgColor rgb="FFDCEAF7"/>
        </x:patternFill>
      </x:fill>
    </x:dxf>
    <x:dxf>
      <x:font>
        <x:b/>
        <x:color rgb="FF235D34"/>
      </x:font>
      <x:fill>
        <x:patternFill>
          <x:bgColor rgb="FFDDEEDD"/>
        </x:patternFill>
      </x:fill>
    </x:dxf>
    <x:dxf>
      <x:font>
        <x:b/>
        <x:color rgb="FF9C1C1C"/>
      </x:font>
      <x:fill>
        <x:patternFill>
          <x:bgColor rgb="FFFCE0E0"/>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2dee5f218dc34fff" /><Relationship Type="http://schemas.openxmlformats.org/officeDocument/2006/relationships/theme" Target="/xl/theme/theme1.xml" Id="R9ac4003ace1c4ac7" /><Relationship Type="http://schemas.openxmlformats.org/officeDocument/2006/relationships/sharedStrings" Target="/xl/sharedStrings.xml" Id="R5b28094670744fe3" /><Relationship Type="http://schemas.openxmlformats.org/officeDocument/2006/relationships/worksheet" Target="/xl/worksheets/sheet1.xml" Id="Rdb1e81d79800422f" /><Relationship Type="http://schemas.openxmlformats.org/officeDocument/2006/relationships/worksheet" Target="/xl/worksheets/sheet2.xml" Id="R0fa7fff341d14bcc" /><Relationship Type="http://schemas.openxmlformats.org/officeDocument/2006/relationships/worksheet" Target="/xl/worksheets/sheet3.xml" Id="R77163f7849954e6a" /><Relationship Type="http://schemas.openxmlformats.org/officeDocument/2006/relationships/worksheet" Target="/xl/worksheets/sheet4.xml" Id="R06ef8265a5d044d6" /><Relationship Type="http://schemas.openxmlformats.org/officeDocument/2006/relationships/worksheet" Target="/xl/worksheets/sheet5.xml" Id="R6011ffcf6cb04732" /><Relationship Type="http://schemas.openxmlformats.org/officeDocument/2006/relationships/worksheet" Target="/xl/worksheets/sheet6.xml" Id="R07b937076e3e4d20" /></Relationships>
</file>

<file path=xl/tables/table1.xml><?xml version="1.0" encoding="utf-8"?>
<x:table xmlns:x="http://schemas.openxmlformats.org/spreadsheetml/2006/main" id="1" name="ThesisLedgerTable" displayName="ThesisLedgerTable" ref="A5:AE50" headerRowCount="1" totalsRowCount="0" totalsRowShown="0">
  <x:tableColumns count="31">
    <x:tableColumn id="1" name="Thesis ID"/>
    <x:tableColumn id="2" name="Thesis Name"/>
    <x:tableColumn id="3" name="Sector"/>
    <x:tableColumn id="4" name="Trigger Date"/>
    <x:tableColumn id="5" name="First Detected"/>
    <x:tableColumn id="6" name="Status"/>
    <x:tableColumn id="7" name="Trigger Class"/>
    <x:tableColumn id="8" name="Economic Variable"/>
    <x:tableColumn id="9" name="Predicted Direction"/>
    <x:tableColumn id="10" name="Time Horizon"/>
    <x:tableColumn id="11" name="Confidence 1 to 5"/>
    <x:tableColumn id="12" name="Trading Edge 1 to 5"/>
    <x:tableColumn id="13" name="Entry Window"/>
    <x:tableColumn id="14" name="Trigger Summary"/>
    <x:tableColumn id="15" name="Causal Mechanism"/>
    <x:tableColumn id="16" name="Supporting Evidence"/>
    <x:tableColumn id="17" name="Contradictory Evidence"/>
    <x:tableColumn id="18" name="Expert Enhancer"/>
    <x:tableColumn id="19" name="Market Confirmation"/>
    <x:tableColumn id="20" name="Candidate Expressions"/>
    <x:tableColumn id="21" name="Invalidation"/>
    <x:tableColumn id="22" name="Initial Prediction Frozen"/>
    <x:tableColumn id="23" name="Next Evaluation"/>
    <x:tableColumn id="24" name="Evaluation Date"/>
    <x:tableColumn id="25" name="Variable Correct"/>
    <x:tableColumn id="26" name="Direction Correct"/>
    <x:tableColumn id="27" name="Timing Correct"/>
    <x:tableColumn id="28" name="Expression Correct"/>
    <x:tableColumn id="29" name="Entry Discipline Correct"/>
    <x:tableColumn id="30" name="Outcome Notes"/>
    <x:tableColumn id="31" name="Prediction Score"/>
  </x:tableColumns>
  <x:tableStyleInfo name="TableStyleMedium2" showFirstColumn="0" showLastColumn="0" showRowStripes="1" showColumnStripes="0"/>
</x:table>
</file>

<file path=xl/tables/table2.xml><?xml version="1.0" encoding="utf-8"?>
<x:table xmlns:x="http://schemas.openxmlformats.org/spreadsheetml/2006/main" id="2" name="EvidenceLogTable" displayName="EvidenceLogTable" ref="A5:K104" headerRowCount="1" totalsRowCount="0" totalsRowShown="0">
  <x:tableColumns count="11">
    <x:tableColumn id="1" name="Observation ID"/>
    <x:tableColumn id="2" name="Thesis ID"/>
    <x:tableColumn id="3" name="Observed At"/>
    <x:tableColumn id="4" name="Evidence Type"/>
    <x:tableColumn id="5" name="Source"/>
    <x:tableColumn id="6" name="Source Class"/>
    <x:tableColumn id="7" name="URL"/>
    <x:tableColumn id="8" name="Factual Claim"/>
    <x:tableColumn id="9" name="Effect"/>
    <x:tableColumn id="10" name="Reliability 1 to 5"/>
    <x:tableColumn id="11" name="Notes"/>
  </x:tableColumns>
  <x:tableStyleInfo name="TableStyleMedium2" showFirstColumn="0" showLastColumn="0" showRowStripes="1" showColumnStripes="0"/>
</x:table>
</file>

<file path=xl/tables/table3.xml><?xml version="1.0" encoding="utf-8"?>
<x:table xmlns:x="http://schemas.openxmlformats.org/spreadsheetml/2006/main" id="3" name="SourceRegistryTable" displayName="SourceRegistryTable" ref="A5:M50" headerRowCount="1" totalsRowCount="0" totalsRowShown="0">
  <x:tableColumns count="13">
    <x:tableColumn id="1" name="Source"/>
    <x:tableColumn id="2" name="Source Class"/>
    <x:tableColumn id="3" name="Domain"/>
    <x:tableColumn id="4" name="Approved Status"/>
    <x:tableColumn id="5" name="Reliability 1 to 5"/>
    <x:tableColumn id="6" name="Timeliness 1 to 5"/>
    <x:tableColumn id="7" name="Directness 1 to 5"/>
    <x:tableColumn id="8" name="Corroboration Required"/>
    <x:tableColumn id="9" name="Correct Calls"/>
    <x:tableColumn id="10" name="Incorrect Calls"/>
    <x:tableColumn id="11" name="Evaluated Calls"/>
    <x:tableColumn id="12" name="Hit Rate"/>
    <x:tableColumn id="13" name="Notes"/>
  </x:tableColumns>
  <x:tableStyleInfo name="TableStyleMedium2" showFirstColumn="0" showLastColumn="0" showRowStripes="1" showColumnStripes="0"/>
</x:table>
</file>

<file path=xl/tables/table4.xml><?xml version="1.0" encoding="utf-8"?>
<x:table xmlns:x="http://schemas.openxmlformats.org/spreadsheetml/2006/main" id="4" name="PaperTradesTable" displayName="PaperTradesTable" ref="A5:R50" headerRowCount="1" totalsRowCount="0" totalsRowShown="0">
  <x:tableColumns count="18">
    <x:tableColumn id="1" name="Trade ID"/>
    <x:tableColumn id="2" name="Thesis ID"/>
    <x:tableColumn id="3" name="Instrument"/>
    <x:tableColumn id="4" name="Exposure Type"/>
    <x:tableColumn id="5" name="Entry Window"/>
    <x:tableColumn id="6" name="Paper Entry Date"/>
    <x:tableColumn id="7" name="Entry Price"/>
    <x:tableColumn id="8" name="Starting Amount"/>
    <x:tableColumn id="9" name="Units"/>
    <x:tableColumn id="10" name="Current Price"/>
    <x:tableColumn id="11" name="Current Value"/>
    <x:tableColumn id="12" name="Dollar P and L"/>
    <x:tableColumn id="13" name="Return"/>
    <x:tableColumn id="14" name="Exit Date"/>
    <x:tableColumn id="15" name="Exit Price"/>
    <x:tableColumn id="16" name="Realized Value"/>
    <x:tableColumn id="17" name="Realized P and L"/>
    <x:tableColumn id="18" name="Notes"/>
  </x:tableColumns>
  <x:tableStyleInfo name="TableStyleMedium2" showFirstColumn="0" showLastColumn="0" showRowStripes="1" showColumnStripes="0"/>
</x:table>
</file>

<file path=xl/tables/table5.xml><?xml version="1.0" encoding="utf-8"?>
<x:table xmlns:x="http://schemas.openxmlformats.org/spreadsheetml/2006/main" id="5" name="ScanRunsTable" displayName="ScanRunsTable" ref="A5:J101" headerRowCount="1" totalsRowCount="0" totalsRowShown="0">
  <x:tableColumns count="10">
    <x:tableColumn id="1" name="Run ID"/>
    <x:tableColumn id="2" name="Run At"/>
    <x:tableColumn id="3" name="Task"/>
    <x:tableColumn id="4" name="Scope"/>
    <x:tableColumn id="5" name="Sources Checked"/>
    <x:tableColumn id="6" name="New Triggers"/>
    <x:tableColumn id="7" name="Theses Updated"/>
    <x:tableColumn id="8" name="Evaluations Completed"/>
    <x:tableColumn id="9" name="Alert Sent"/>
    <x:tableColumn id="10"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73f4d34fb8834096" /></Relationships>
</file>

<file path=xl/worksheets/_rels/sheet3.xml.rels>&#65279;<?xml version="1.0" encoding="utf-8"?><Relationships xmlns="http://schemas.openxmlformats.org/package/2006/relationships"><Relationship Type="http://schemas.openxmlformats.org/officeDocument/2006/relationships/table" Target="/xl/tables/table2.xml" Id="Rfa41176f3a024683" /></Relationships>
</file>

<file path=xl/worksheets/_rels/sheet4.xml.rels>&#65279;<?xml version="1.0" encoding="utf-8"?><Relationships xmlns="http://schemas.openxmlformats.org/package/2006/relationships"><Relationship Type="http://schemas.openxmlformats.org/officeDocument/2006/relationships/table" Target="/xl/tables/table3.xml" Id="R684913826f11491a" /></Relationships>
</file>

<file path=xl/worksheets/_rels/sheet5.xml.rels>&#65279;<?xml version="1.0" encoding="utf-8"?><Relationships xmlns="http://schemas.openxmlformats.org/package/2006/relationships"><Relationship Type="http://schemas.openxmlformats.org/officeDocument/2006/relationships/table" Target="/xl/tables/table4.xml" Id="R005f47246f724d3f" /></Relationships>
</file>

<file path=xl/worksheets/_rels/sheet6.xml.rels>&#65279;<?xml version="1.0" encoding="utf-8"?><Relationships xmlns="http://schemas.openxmlformats.org/package/2006/relationships"><Relationship Type="http://schemas.openxmlformats.org/officeDocument/2006/relationships/table" Target="/xl/tables/table5.xml" Id="Re75eda2149c148e5" /></Relationships>
</file>

<file path=xl/worksheets/sheet1.xml><?xml version="1.0" encoding="utf-8"?>
<x:worksheet xmlns:x="http://schemas.openxmlformats.org/spreadsheetml/2006/main">
  <x:sheetPr>
    <x:tabColor rgb="FF14213D"/>
  </x:sheetPr>
  <x:sheetViews>
    <x:sheetView showGridLines="0" workbookViewId="0">
      <x:pane ySplit="3" topLeftCell="A4" activePane="bottomLeft" state="frozen"/>
    </x:sheetView>
  </x:sheetViews>
  <x:sheetFormatPr defaultRowHeight="15"/>
  <x:cols>
    <x:col min="1" max="1" width="20" hidden="0" customWidth="1"/>
    <x:col min="2" max="2" width="30" hidden="0" customWidth="1"/>
    <x:col min="3" max="3" width="22" hidden="0" customWidth="1"/>
    <x:col min="4" max="4" width="16" hidden="0" customWidth="1"/>
    <x:col min="5" max="5" width="14" hidden="0" customWidth="1"/>
    <x:col min="6" max="6" width="14" hidden="0" customWidth="1"/>
    <x:col min="7" max="7" width="14" hidden="0" customWidth="1"/>
    <x:col min="8" max="8" width="14" hidden="0" customWidth="1"/>
    <x:col min="9" max="9" width="38" hidden="0" customWidth="1"/>
    <x:col min="10" max="10" width="16" hidden="0" customWidth="1"/>
  </x:cols>
  <x:sheetData>
    <x:row r="1">
      <x:c r="A1" s="1"/>
      <x:c r="B1" s="1"/>
      <x:c r="C1" s="1"/>
      <x:c r="D1" s="1"/>
      <x:c r="E1" s="1"/>
      <x:c r="F1" s="1"/>
      <x:c r="G1" s="1"/>
      <x:c r="H1" s="1"/>
      <x:c r="I1" s="1"/>
      <x:c r="J1" s="1"/>
    </x:row>
    <x:row r="2">
      <x:c r="A2" s="2" t="str">
        <x:v>Easy E Invest Thesis Performance</x:v>
      </x:c>
      <x:c r="B2" s="1"/>
      <x:c r="C2" s="1"/>
      <x:c r="D2" s="1"/>
      <x:c r="E2" s="1"/>
      <x:c r="F2" s="1"/>
      <x:c r="G2" s="1"/>
      <x:c r="H2" s="1"/>
      <x:c r="I2" s="1"/>
      <x:c r="J2" s="1"/>
    </x:row>
    <x:row r="3">
      <x:c r="A3" s="3"/>
      <x:c r="B3" s="3"/>
      <x:c r="C3" s="3"/>
      <x:c r="D3" s="3"/>
      <x:c r="E3" s="3"/>
      <x:c r="F3" s="3"/>
      <x:c r="G3" s="3"/>
      <x:c r="H3" s="3"/>
      <x:c r="I3" s="3"/>
      <x:c r="J3" s="3"/>
    </x:row>
    <x:row r="4">
      <x:c r="A4" s="1"/>
      <x:c r="B4" s="1"/>
      <x:c r="C4" s="1"/>
      <x:c r="D4" s="1"/>
      <x:c r="E4" s="1"/>
      <x:c r="F4" s="1"/>
      <x:c r="G4" s="1"/>
      <x:c r="H4" s="1"/>
      <x:c r="I4" s="1"/>
      <x:c r="J4" s="1"/>
    </x:row>
    <x:row r="5">
      <x:c r="A5" s="9" t="str">
        <x:v>Metric</x:v>
      </x:c>
      <x:c r="B5" s="12" t="str">
        <x:v>Value</x:v>
      </x:c>
      <x:c r="C5" s="1"/>
      <x:c r="D5" s="1"/>
      <x:c r="E5" s="1"/>
      <x:c r="F5" s="1"/>
      <x:c r="G5" s="1"/>
      <x:c r="H5" s="1"/>
      <x:c r="I5" s="1"/>
      <x:c r="J5" s="1"/>
    </x:row>
    <x:row r="6">
      <x:c r="A6" s="1" t="str">
        <x:v>Total theses</x:v>
      </x:c>
      <x:c r="B6" s="40" t="n">
        <x:f>COUNTA('Thesis Ledger'!A6:A200)</x:f>
        <x:v>11</x:v>
      </x:c>
      <x:c r="C6" s="1"/>
      <x:c r="D6" s="1"/>
      <x:c r="E6" s="1"/>
      <x:c r="F6" s="1"/>
      <x:c r="G6" s="1"/>
      <x:c r="H6" s="1"/>
      <x:c r="I6" s="1"/>
      <x:c r="J6" s="1"/>
    </x:row>
    <x:row r="7">
      <x:c r="A7" s="1" t="str">
        <x:v>Open theses</x:v>
      </x:c>
      <x:c r="B7" s="40" t="n">
        <x:f>COUNTIFS('Thesis Ledger'!A6:A200,"&lt;&gt;",'Thesis Ledger'!F6:F200,"&lt;&gt;Closed",'Thesis Ledger'!F6:F200,"&lt;&gt;Invalidated")</x:f>
        <x:v>9</x:v>
      </x:c>
      <x:c r="C7" s="1"/>
      <x:c r="D7" s="1"/>
      <x:c r="E7" s="1"/>
      <x:c r="F7" s="1"/>
      <x:c r="G7" s="1"/>
      <x:c r="H7" s="1"/>
      <x:c r="I7" s="1"/>
      <x:c r="J7" s="1"/>
    </x:row>
    <x:row r="8">
      <x:c r="A8" s="1" t="str">
        <x:v>Evaluated theses</x:v>
      </x:c>
      <x:c r="B8" s="40" t="n">
        <x:f>COUNT('Thesis Ledger'!AE6:AE200)</x:f>
        <x:v>2</x:v>
      </x:c>
      <x:c r="C8" s="1"/>
      <x:c r="D8" s="1"/>
      <x:c r="E8" s="1"/>
      <x:c r="F8" s="1"/>
      <x:c r="G8" s="1"/>
      <x:c r="H8" s="1"/>
      <x:c r="I8" s="1"/>
      <x:c r="J8" s="1"/>
    </x:row>
    <x:row r="9">
      <x:c r="A9" s="1" t="str">
        <x:v>Average prediction score</x:v>
      </x:c>
      <x:c r="B9" s="55" t="n">
        <x:f>IFERROR(AVERAGE('Thesis Ledger'!AE6:AE200),"")</x:f>
        <x:v>0.8</x:v>
      </x:c>
      <x:c r="C9" s="1"/>
      <x:c r="D9" s="1"/>
      <x:c r="E9" s="1"/>
      <x:c r="F9" s="1"/>
      <x:c r="G9" s="1"/>
      <x:c r="H9" s="1"/>
      <x:c r="I9" s="1"/>
      <x:c r="J9" s="1"/>
    </x:row>
    <x:row r="10">
      <x:c r="A10" s="35" t="str">
        <x:v>Preferred entry theses</x:v>
      </x:c>
      <x:c r="B10" s="42" t="n">
        <x:f>COUNTIF('Thesis Ledger'!M6:M200,"PREFERRED")</x:f>
        <x:v>0</x:v>
      </x:c>
      <x:c r="C10" s="1"/>
      <x:c r="D10" s="1"/>
      <x:c r="E10" s="1"/>
      <x:c r="F10" s="1"/>
      <x:c r="G10" s="1"/>
      <x:c r="H10" s="1"/>
      <x:c r="I10" s="1"/>
      <x:c r="J10" s="1"/>
    </x:row>
    <x:row r="11">
      <x:c r="A11" s="1"/>
      <x:c r="B11" s="1"/>
      <x:c r="C11" s="1"/>
      <x:c r="D11" s="1"/>
      <x:c r="E11" s="1"/>
      <x:c r="F11" s="1"/>
      <x:c r="G11" s="1"/>
      <x:c r="H11" s="1"/>
      <x:c r="I11" s="1"/>
      <x:c r="J11" s="1"/>
    </x:row>
    <x:row r="12">
      <x:c r="A12" s="9" t="str">
        <x:v>Thesis ID</x:v>
      </x:c>
      <x:c r="B12" s="12" t="str">
        <x:v>Thesis</x:v>
      </x:c>
      <x:c r="C12" s="12" t="str">
        <x:v>Sector</x:v>
      </x:c>
      <x:c r="D12" s="12" t="str">
        <x:v>Stage</x:v>
      </x:c>
      <x:c r="E12" s="12" t="str">
        <x:v>Confidence</x:v>
      </x:c>
      <x:c r="F12" s="12" t="str">
        <x:v>Trading Edge</x:v>
      </x:c>
      <x:c r="G12" s="12" t="str">
        <x:v>Entry Window</x:v>
      </x:c>
      <x:c r="H12" s="12" t="str">
        <x:v>Trigger Date</x:v>
      </x:c>
      <x:c r="I12" s="12" t="str">
        <x:v>Economic Variable</x:v>
      </x:c>
      <x:c r="J12" s="10" t="str">
        <x:v>Next Evaluation</x:v>
      </x:c>
    </x:row>
    <x:row r="13">
      <x:c r="A13" s="1" t="str">
        <x:f>'Thesis Ledger'!A6</x:f>
        <x:v>EEI-2026-001</x:v>
      </x:c>
      <x:c r="B13" s="1" t="str">
        <x:f>'Thesis Ledger'!B6</x:f>
        <x:v>Hormuz crude supply risk</x:v>
      </x:c>
      <x:c r="C13" s="1" t="str">
        <x:f>'Thesis Ledger'!C6</x:f>
        <x:v>Energy</x:v>
      </x:c>
      <x:c r="D13" s="1" t="str">
        <x:f>'Thesis Ledger'!F6</x:f>
        <x:v>Closed</x:v>
      </x:c>
      <x:c r="E13" s="1" t="n">
        <x:f>'Thesis Ledger'!K6</x:f>
        <x:v>5</x:v>
      </x:c>
      <x:c r="F13" s="1" t="n">
        <x:f>'Thesis Ledger'!L6</x:f>
        <x:v>1</x:v>
      </x:c>
      <x:c r="G13" s="1" t="str">
        <x:f>'Thesis Ledger'!M6</x:f>
        <x:v>WAIT</x:v>
      </x:c>
      <x:c r="H13" s="13" t="n">
        <x:f>'Thesis Ledger'!D6</x:f>
        <x:v>46271</x:v>
      </x:c>
      <x:c r="I13" s="1" t="str">
        <x:f>'Thesis Ledger'!H6</x:f>
        <x:v>Global crude supply and risk premium</x:v>
      </x:c>
      <x:c r="J13" s="13" t="n">
        <x:f>'Thesis Ledger'!W6</x:f>
        <x:v>0</x:v>
      </x:c>
    </x:row>
    <x:row r="14">
      <x:c r="A14" s="1" t="str">
        <x:f>'Thesis Ledger'!A7</x:f>
        <x:v>EEI-2026-002</x:v>
      </x:c>
      <x:c r="B14" s="1" t="str">
        <x:f>'Thesis Ledger'!B7</x:f>
        <x:v>Gas disruption and coal substitution</x:v>
      </x:c>
      <x:c r="C14" s="1" t="str">
        <x:f>'Thesis Ledger'!C7</x:f>
        <x:v>Energy and materials</x:v>
      </x:c>
      <x:c r="D14" s="1" t="str">
        <x:f>'Thesis Ledger'!F7</x:f>
        <x:v>Strong</x:v>
      </x:c>
      <x:c r="E14" s="1" t="n">
        <x:f>'Thesis Ledger'!K7</x:f>
        <x:v>4</x:v>
      </x:c>
      <x:c r="F14" s="1" t="n">
        <x:f>'Thesis Ledger'!L7</x:f>
        <x:v>2</x:v>
      </x:c>
      <x:c r="G14" s="1" t="str">
        <x:f>'Thesis Ledger'!M7</x:f>
        <x:v>WAIT</x:v>
      </x:c>
      <x:c r="H14" s="13" t="n">
        <x:f>'Thesis Ledger'!D7</x:f>
        <x:v>46275</x:v>
      </x:c>
      <x:c r="I14" s="1" t="str">
        <x:f>'Thesis Ledger'!H7</x:f>
        <x:v>Coal demand from fuel switching</x:v>
      </x:c>
      <x:c r="J14" s="13" t="n">
        <x:f>'Thesis Ledger'!W7</x:f>
        <x:v>46296</x:v>
      </x:c>
    </x:row>
    <x:row r="15">
      <x:c r="A15" s="1" t="str">
        <x:f>'Thesis Ledger'!A8</x:f>
        <x:v>EEI-2026-003</x:v>
      </x:c>
      <x:c r="B15" s="1" t="str">
        <x:f>'Thesis Ledger'!B8</x:f>
        <x:v>2026 midterm political shift</x:v>
      </x:c>
      <x:c r="C15" s="1" t="str">
        <x:f>'Thesis Ledger'!C8</x:f>
        <x:v>Multi-sector</x:v>
      </x:c>
      <x:c r="D15" s="1" t="str">
        <x:f>'Thesis Ledger'!F8</x:f>
        <x:v>Developing</x:v>
      </x:c>
      <x:c r="E15" s="1" t="n">
        <x:f>'Thesis Ledger'!K8</x:f>
        <x:v>3</x:v>
      </x:c>
      <x:c r="F15" s="1" t="n">
        <x:f>'Thesis Ledger'!L8</x:f>
        <x:v>1</x:v>
      </x:c>
      <x:c r="G15" s="1" t="str">
        <x:f>'Thesis Ledger'!M8</x:f>
        <x:v>WAIT</x:v>
      </x:c>
      <x:c r="H15" s="13" t="n">
        <x:f>'Thesis Ledger'!D8</x:f>
        <x:v>46274</x:v>
      </x:c>
      <x:c r="I15" s="1" t="str">
        <x:f>'Thesis Ledger'!H8</x:f>
        <x:v>Market breadth, policy expectations and sector leadership</x:v>
      </x:c>
      <x:c r="J15" s="13" t="n">
        <x:f>'Thesis Ledger'!W8</x:f>
        <x:v>46310</x:v>
      </x:c>
    </x:row>
    <x:row r="16">
      <x:c r="A16" s="1" t="str">
        <x:f>'Thesis Ledger'!A9</x:f>
        <x:v>EEI-2026-004</x:v>
      </x:c>
      <x:c r="B16" s="1" t="str">
        <x:f>'Thesis Ledger'!B9</x:f>
        <x:v>Energy inflation and higher-for-longer rates</x:v>
      </x:c>
      <x:c r="C16" s="1" t="str">
        <x:f>'Thesis Ledger'!C9</x:f>
        <x:v>Macro and fixed income</x:v>
      </x:c>
      <x:c r="D16" s="1" t="str">
        <x:f>'Thesis Ledger'!F9</x:f>
        <x:v>Closed</x:v>
      </x:c>
      <x:c r="E16" s="1" t="n">
        <x:f>'Thesis Ledger'!K9</x:f>
        <x:v>4</x:v>
      </x:c>
      <x:c r="F16" s="1" t="n">
        <x:f>'Thesis Ledger'!L9</x:f>
        <x:v>1</x:v>
      </x:c>
      <x:c r="G16" s="1" t="str">
        <x:f>'Thesis Ledger'!M9</x:f>
        <x:v>WAIT</x:v>
      </x:c>
      <x:c r="H16" s="1" t="n">
        <x:f>'Thesis Ledger'!D9</x:f>
        <x:v>46276.51043981482</x:v>
      </x:c>
      <x:c r="I16" s="1" t="str">
        <x:f>'Thesis Ledger'!H9</x:f>
        <x:v>U.S. producer inflation, Fed policy expectations and long-term Treasury yields</x:v>
      </x:c>
      <x:c r="J16" s="1" t="n">
        <x:f>'Thesis Ledger'!W9</x:f>
        <x:v>0</x:v>
      </x:c>
    </x:row>
    <x:row r="17">
      <x:c r="A17" s="17" t="str">
        <x:v>Scores are calculated only from completed Yes or No evaluations. Blank fields remain unevaluated. Keep economic-thesis accuracy separate from trading performance and entry quality.</x:v>
      </x:c>
      <x:c r="B17" s="1"/>
      <x:c r="C17" s="1"/>
      <x:c r="D17" s="1"/>
      <x:c r="E17" s="1"/>
      <x:c r="F17" s="1"/>
      <x:c r="G17" s="1"/>
      <x:c r="H17" s="1"/>
      <x:c r="I17" s="1"/>
      <x:c r="J17" s="1"/>
    </x:row>
    <x:row r="18">
      <x:c r="A18" s="1"/>
      <x:c r="B18" s="1"/>
      <x:c r="C18" s="1"/>
      <x:c r="D18" s="1"/>
      <x:c r="E18" s="1"/>
      <x:c r="F18" s="1"/>
      <x:c r="G18" s="1"/>
      <x:c r="H18" s="1"/>
      <x:c r="I18" s="1"/>
      <x:c r="J18" s="1"/>
    </x:row>
    <x:row r="19">
      <x:c r="A19" s="1"/>
      <x:c r="B19" s="1"/>
      <x:c r="C19" s="1"/>
      <x:c r="D19" s="1"/>
      <x:c r="E19" s="1"/>
      <x:c r="F19" s="1"/>
      <x:c r="G19" s="1"/>
      <x:c r="H19" s="1"/>
      <x:c r="I19" s="1"/>
      <x:c r="J19" s="1"/>
    </x:row>
    <x:row r="20">
      <x:c r="A20" s="1"/>
      <x:c r="B20" s="1"/>
      <x:c r="C20" s="1"/>
      <x:c r="D20" s="1"/>
      <x:c r="E20" s="1"/>
      <x:c r="F20" s="1"/>
      <x:c r="G20" s="1"/>
      <x:c r="H20" s="1"/>
      <x:c r="I20" s="1"/>
      <x:c r="J20" s="1"/>
    </x:row>
  </x:sheetData>
  <x:mergeCells>
    <x:mergeCell ref="A2:J2"/>
    <x:mergeCell ref="A17:J18"/>
  </x:mergeCells>
  <x:pageMargins left="0.7" right="0.7" top="0.75" bottom="0.75" header="0.3" footer="0.3"/>
</x:worksheet>
</file>

<file path=xl/worksheets/sheet2.xml><?xml version="1.0" encoding="utf-8"?>
<x:worksheet xmlns:x="http://schemas.openxmlformats.org/spreadsheetml/2006/main">
  <x:sheetPr>
    <x:tabColor rgb="FF1F4E78"/>
  </x:sheetPr>
  <x:sheetViews>
    <x:sheetView showGridLines="0" workbookViewId="0">
      <x:pane ySplit="5" topLeftCell="A6" activePane="bottomLeft" state="frozen"/>
    </x:sheetView>
  </x:sheetViews>
  <x:sheetFormatPr defaultRowHeight="15"/>
  <x:cols>
    <x:col min="1" max="1" width="15" hidden="0" customWidth="1"/>
    <x:col min="2" max="2" width="28" hidden="0" customWidth="1"/>
    <x:col min="3" max="3" width="15" hidden="0" customWidth="1"/>
    <x:col min="4" max="4" width="15" hidden="0" customWidth="1"/>
    <x:col min="5" max="5" width="15" hidden="0" customWidth="1"/>
    <x:col min="6" max="6" width="15" hidden="0" customWidth="1"/>
    <x:col min="7" max="7" width="15" hidden="0" customWidth="1"/>
    <x:col min="8" max="8" width="28" hidden="0" customWidth="1"/>
    <x:col min="9" max="9" width="15" hidden="0" customWidth="1"/>
    <x:col min="10" max="10" width="15" hidden="0" customWidth="1"/>
    <x:col min="11" max="11" width="15" hidden="0" customWidth="1"/>
    <x:col min="12" max="12" width="15" hidden="0" customWidth="1"/>
    <x:col min="13" max="13" width="15" hidden="0" customWidth="1"/>
    <x:col min="14" max="14" width="28" hidden="0" customWidth="1"/>
    <x:col min="15" max="15" width="28" hidden="0" customWidth="1"/>
    <x:col min="16" max="16" width="28" hidden="0" customWidth="1"/>
    <x:col min="17" max="17" width="28" hidden="0" customWidth="1"/>
    <x:col min="18" max="18" width="28" hidden="0" customWidth="1"/>
    <x:col min="19" max="19" width="28" hidden="0" customWidth="1"/>
    <x:col min="20" max="20" width="28" hidden="0" customWidth="1"/>
    <x:col min="21" max="21" width="28" hidden="0" customWidth="1"/>
    <x:col min="22" max="22" width="15" hidden="0" customWidth="1"/>
    <x:col min="23" max="23" width="15" hidden="0" customWidth="1"/>
    <x:col min="24" max="24" width="15" hidden="0" customWidth="1"/>
    <x:col min="25" max="25" width="15" hidden="0" customWidth="1"/>
    <x:col min="26" max="26" width="15" hidden="0" customWidth="1"/>
    <x:col min="27" max="27" width="15" hidden="0" customWidth="1"/>
    <x:col min="28" max="28" width="15" hidden="0" customWidth="1"/>
    <x:col min="29" max="29" width="15" hidden="0" customWidth="1"/>
    <x:col min="30" max="30" width="28" hidden="0" customWidth="1"/>
    <x:col min="31" max="31" width="15" hidden="0" customWidth="1"/>
  </x:cols>
  <x:sheetData>
    <x:row r="1">
      <x:c r="A1" s="1"/>
      <x:c r="B1" s="1"/>
      <x:c r="C1" s="1"/>
      <x:c r="D1" s="1"/>
      <x:c r="E1" s="1"/>
      <x:c r="F1" s="1"/>
      <x:c r="G1" s="1"/>
      <x:c r="H1" s="1"/>
      <x:c r="I1" s="1"/>
      <x:c r="J1" s="1"/>
      <x:c r="K1" s="1"/>
      <x:c r="L1" s="1"/>
      <x:c r="M1" s="1"/>
      <x:c r="N1" s="1"/>
      <x:c r="O1" s="1"/>
      <x:c r="P1" s="1"/>
      <x:c r="Q1" s="1"/>
      <x:c r="R1" s="1"/>
      <x:c r="S1" s="1"/>
      <x:c r="T1" s="1"/>
      <x:c r="U1" s="1"/>
      <x:c r="V1" s="1"/>
      <x:c r="W1" s="1"/>
      <x:c r="X1" s="1"/>
      <x:c r="Y1" s="1"/>
      <x:c r="Z1" s="1"/>
      <x:c r="AA1" s="1"/>
      <x:c r="AB1" s="1"/>
      <x:c r="AC1" s="1"/>
      <x:c r="AD1" s="1"/>
      <x:c r="AE1" s="1"/>
    </x:row>
    <x:row r="2">
      <x:c r="A2" s="2" t="str">
        <x:v>Thesis Ledger</x:v>
      </x:c>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row>
    <x:row r="3">
      <x:c r="A3" s="3"/>
      <x:c r="B3" s="3"/>
      <x:c r="C3" s="3"/>
      <x:c r="D3" s="3"/>
      <x:c r="E3" s="3"/>
      <x:c r="F3" s="3"/>
      <x:c r="G3" s="3"/>
      <x:c r="H3" s="3"/>
      <x:c r="I3" s="3"/>
      <x:c r="J3" s="3"/>
      <x:c r="K3" s="3"/>
      <x:c r="L3" s="3"/>
      <x:c r="M3" s="3"/>
      <x:c r="N3" s="3"/>
      <x:c r="O3" s="3"/>
      <x:c r="P3" s="3"/>
      <x:c r="Q3" s="3"/>
      <x:c r="R3" s="3"/>
      <x:c r="S3" s="3"/>
      <x:c r="T3" s="3"/>
      <x:c r="U3" s="3"/>
      <x:c r="V3" s="3"/>
      <x:c r="W3" s="3"/>
      <x:c r="X3" s="3"/>
      <x:c r="Y3" s="3"/>
      <x:c r="Z3" s="3"/>
      <x:c r="AA3" s="3"/>
      <x:c r="AB3" s="3"/>
      <x:c r="AC3" s="3"/>
      <x:c r="AD3" s="3"/>
      <x:c r="AE3" s="3"/>
    </x:row>
    <x:row r="4">
      <x:c r="A4" s="1"/>
      <x:c r="B4" s="1"/>
      <x:c r="C4" s="1"/>
      <x:c r="D4" s="1"/>
      <x:c r="E4" s="1"/>
      <x:c r="F4" s="1"/>
      <x:c r="G4" s="1"/>
      <x:c r="H4" s="1"/>
      <x:c r="I4" s="1"/>
      <x:c r="J4" s="1"/>
      <x:c r="K4" s="1"/>
      <x:c r="L4" s="1"/>
      <x:c r="M4" s="1"/>
      <x:c r="N4" s="1"/>
      <x:c r="O4" s="1"/>
      <x:c r="P4" s="1"/>
      <x:c r="Q4" s="1"/>
      <x:c r="R4" s="1"/>
      <x:c r="S4" s="1"/>
      <x:c r="T4" s="1"/>
      <x:c r="U4" s="1"/>
      <x:c r="V4" s="1"/>
      <x:c r="W4" s="1"/>
      <x:c r="X4" s="1"/>
      <x:c r="Y4" s="1"/>
      <x:c r="Z4" s="1"/>
      <x:c r="AA4" s="1"/>
      <x:c r="AB4" s="1"/>
      <x:c r="AC4" s="1"/>
      <x:c r="AD4" s="1"/>
      <x:c r="AE4" s="1"/>
    </x:row>
    <x:row r="5">
      <x:c r="A5" s="24" t="str">
        <x:v>Thesis ID</x:v>
      </x:c>
      <x:c r="B5" s="25" t="str">
        <x:v>Thesis Name</x:v>
      </x:c>
      <x:c r="C5" s="25" t="str">
        <x:v>Sector</x:v>
      </x:c>
      <x:c r="D5" s="25" t="str">
        <x:v>Trigger Date</x:v>
      </x:c>
      <x:c r="E5" s="25" t="str">
        <x:v>First Detected</x:v>
      </x:c>
      <x:c r="F5" s="25" t="str">
        <x:v>Status</x:v>
      </x:c>
      <x:c r="G5" s="25" t="str">
        <x:v>Trigger Class</x:v>
      </x:c>
      <x:c r="H5" s="25" t="str">
        <x:v>Economic Variable</x:v>
      </x:c>
      <x:c r="I5" s="25" t="str">
        <x:v>Predicted Direction</x:v>
      </x:c>
      <x:c r="J5" s="25" t="str">
        <x:v>Time Horizon</x:v>
      </x:c>
      <x:c r="K5" s="25" t="str">
        <x:v>Confidence 1 to 5</x:v>
      </x:c>
      <x:c r="L5" s="25" t="str">
        <x:v>Trading Edge 1 to 5</x:v>
      </x:c>
      <x:c r="M5" s="25" t="str">
        <x:v>Entry Window</x:v>
      </x:c>
      <x:c r="N5" s="25" t="str">
        <x:v>Trigger Summary</x:v>
      </x:c>
      <x:c r="O5" s="25" t="str">
        <x:v>Causal Mechanism</x:v>
      </x:c>
      <x:c r="P5" s="25" t="str">
        <x:v>Supporting Evidence</x:v>
      </x:c>
      <x:c r="Q5" s="25" t="str">
        <x:v>Contradictory Evidence</x:v>
      </x:c>
      <x:c r="R5" s="25" t="str">
        <x:v>Expert Enhancer</x:v>
      </x:c>
      <x:c r="S5" s="25" t="str">
        <x:v>Market Confirmation</x:v>
      </x:c>
      <x:c r="T5" s="25" t="str">
        <x:v>Candidate Expressions</x:v>
      </x:c>
      <x:c r="U5" s="25" t="str">
        <x:v>Invalidation</x:v>
      </x:c>
      <x:c r="V5" s="25" t="str">
        <x:v>Initial Prediction Frozen</x:v>
      </x:c>
      <x:c r="W5" s="25" t="str">
        <x:v>Next Evaluation</x:v>
      </x:c>
      <x:c r="X5" s="25" t="str">
        <x:v>Evaluation Date</x:v>
      </x:c>
      <x:c r="Y5" s="25" t="str">
        <x:v>Variable Correct</x:v>
      </x:c>
      <x:c r="Z5" s="25" t="str">
        <x:v>Direction Correct</x:v>
      </x:c>
      <x:c r="AA5" s="25" t="str">
        <x:v>Timing Correct</x:v>
      </x:c>
      <x:c r="AB5" s="25" t="str">
        <x:v>Expression Correct</x:v>
      </x:c>
      <x:c r="AC5" s="25" t="str">
        <x:v>Entry Discipline Correct</x:v>
      </x:c>
      <x:c r="AD5" s="25" t="str">
        <x:v>Outcome Notes</x:v>
      </x:c>
      <x:c r="AE5" s="26" t="str">
        <x:v>Prediction Score</x:v>
      </x:c>
    </x:row>
    <x:row r="6">
      <x:c r="A6" s="27" t="str">
        <x:v>EEI-2026-001</x:v>
      </x:c>
      <x:c r="B6" s="27" t="str">
        <x:v>Hormuz crude supply risk</x:v>
      </x:c>
      <x:c r="C6" s="27" t="str">
        <x:v>Energy</x:v>
      </x:c>
      <x:c r="D6" s="30" t="n">
        <x:v>46271</x:v>
      </x:c>
      <x:c r="E6" s="30" t="n">
        <x:v>46271.5</x:v>
      </x:c>
      <x:c r="F6" s="27" t="str">
        <x:v>Closed</x:v>
      </x:c>
      <x:c r="G6" s="27" t="str">
        <x:v>Geopolitical</x:v>
      </x:c>
      <x:c r="H6" s="27" t="str">
        <x:v>Global crude supply and risk premium</x:v>
      </x:c>
      <x:c r="I6" s="27" t="str">
        <x:v>Up</x:v>
      </x:c>
      <x:c r="J6" s="27" t="str">
        <x:v>Days to weeks</x:v>
      </x:c>
      <x:c r="K6" s="27" t="n">
        <x:v>5</x:v>
      </x:c>
      <x:c r="L6" s="27" t="n">
        <x:v>1</x:v>
      </x:c>
      <x:c r="M6" s="27" t="str">
        <x:v>WAIT</x:v>
      </x:c>
      <x:c r="N6" s="29" t="str">
        <x:v>Crude supplied the missing liquid-market confirmation on September 14: Brent rose above $108 and WTI above $102 after the weekend pipeline and shipping attacks, while physical crude premiums and replacement-barrel costs surged.</x:v>
      </x:c>
      <x:c r="O6" s="29" t="str">
        <x:v>Constrained Hormuz flows plus the East-West pipeline outage reduce effective exports and force refiners to bid for alternative barrels, raising freight, insurance and crude risk premiums.</x:v>
      </x:c>
      <x:c r="P6" s="29" t="str">
        <x:v>Hormuz traffic fell to only three commercial transits on September 16, versus 12 the prior day and a 10-day average of 17, confirming that the physical chokepoint disruption remains severe.</x:v>
      </x:c>
      <x:c r="Q6" s="29" t="str">
        <x:v>China pressed Iran to restrain Houthi attacks, Saudi Arabia sought partial East-West pipeline restoration, and crude retreated on September 18. These developments show how diplomacy, restored bypass capacity or normalized Hormuz traffic can compress the premium quickly, although only four commodity vessels crossed Hormuz Thursday versus a 10-day average near 16.</x:v>
      </x:c>
      <x:c r="R6" s="29" t="str">
        <x:v>Mr Global remains an enhancer only; no new independently logged enhancer changed the thesis.</x:v>
      </x:c>
      <x:c r="S6" s="29" t="str">
        <x:v>Final September 18 confirmation was mixed but positive overall: BNO gained 5.84% and USO 6.41% from the September 8 open, while XOP lost 1.65%. The equal-weight paper portfolio gained 3.53%. Brent settled at $104.87 and WTI at $100.30; direct crude exposure confirmed the thesis while producer equities did not.</x:v>
      </x:c>
      <x:c r="T6" s="29" t="str">
        <x:v>Conditional only after a non-headline retracement or orderly consolidation with continued physical confirmation: BNO or USO for direct crude exposure; XOP/XLE only if producer breadth confirms. Futures retain leverage, roll and gap risk.</x:v>
      </x:c>
      <x:c r="U6" s="29" t="str">
        <x:v>Verified restoration of Saudi bypass capacity and normal Hormuz traffic, durable de-escalation, or a demand shock that offsets the supply loss.</x:v>
      </x:c>
      <x:c r="V6" s="43" t="n">
        <x:v>46271</x:v>
      </x:c>
      <x:c r="W6" s="43"/>
      <x:c r="X6" s="43" t="n">
        <x:v>46283</x:v>
      </x:c>
      <x:c r="Y6" s="29" t="str">
        <x:v>Yes</x:v>
      </x:c>
      <x:c r="Z6" s="29" t="str">
        <x:v>Yes</x:v>
      </x:c>
      <x:c r="AA6" s="29" t="str">
        <x:v>Yes</x:v>
      </x:c>
      <x:c r="AB6" s="29" t="str">
        <x:v>Yes</x:v>
      </x:c>
      <x:c r="AC6" s="29" t="str">
        <x:v>Yes</x:v>
      </x:c>
      <x:c r="AD6" s="29" t="str">
        <x:v>Closed at the scheduled September 18 evaluation. Economic variable: Yes — effective crude availability tightened and the supply-risk premium rose materially. Direction: Yes — Brent, WTI and the direct crude funds finished above the September 8 paper-entry baseline. Timing: Yes — confirmation occurred inside the days-to-weeks horizon. Investment expression: Yes — BNO gained 5.84% and USO 6.41%; XOP lost 1.65%, so the direct expressions worked while the producer-equity proxy did not. The three-position paper portfolio finished at $3,106.03, up $106.03 (+3.53%). Entry discipline: Yes — WAIT correctly flagged limited remaining edge and avoided turning a deliberately late paper test into a real-money headline chase; the portfolio surrendered more than half its peak paper gain as repair and diplomatic developments emerged. No real trade was made.</x:v>
      </x:c>
      <x:c r="AE6" s="31" t="n">
        <x:f>IF(COUNTA(Y6:AC6)=0,"",COUNTIF(Y6:AC6,"Yes")/COUNTA(Y6:AC6))</x:f>
        <x:v>1</x:v>
      </x:c>
    </x:row>
    <x:row r="7">
      <x:c r="A7" s="27" t="str">
        <x:v>EEI-2026-002</x:v>
      </x:c>
      <x:c r="B7" s="27" t="str">
        <x:v>Gas disruption and coal substitution</x:v>
      </x:c>
      <x:c r="C7" s="27" t="str">
        <x:v>Energy and materials</x:v>
      </x:c>
      <x:c r="D7" s="30" t="n">
        <x:v>46275</x:v>
      </x:c>
      <x:c r="E7" s="30" t="n">
        <x:v>46275.5</x:v>
      </x:c>
      <x:c r="F7" s="27" t="str">
        <x:v>Strong</x:v>
      </x:c>
      <x:c r="G7" s="27" t="str">
        <x:v>Supply chain</x:v>
      </x:c>
      <x:c r="H7" s="27" t="str">
        <x:v>Coal demand from fuel switching</x:v>
      </x:c>
      <x:c r="I7" s="27" t="str">
        <x:v>Up</x:v>
      </x:c>
      <x:c r="J7" s="27" t="str">
        <x:v>Weeks to months</x:v>
      </x:c>
      <x:c r="K7" s="27" t="n">
        <x:v>4</x:v>
      </x:c>
      <x:c r="L7" s="27" t="n">
        <x:v>2</x:v>
      </x:c>
      <x:c r="M7" s="27" t="str">
        <x:v>WAIT</x:v>
      </x:c>
      <x:c r="N7" s="29" t="str">
        <x:v>Gas and LNG disruption is now producing longer-lived supply risk and observable coal-demand pressure. QatarEnergy said 17% of Qatar's LNG capacity is disabled, repairs to two trains may take three years, and later North Field expansion trains could be delayed.</x:v>
      </x:c>
      <x:c r="O7" s="29" t="str">
        <x:v>Constrained LNG availability and higher gas prices improve coal's relative economics where switching capacity exists. Heat-driven power demand and low coal stocks can add a second demand channel.</x:v>
      </x:c>
      <x:c r="P7" s="29" t="str">
        <x:v>QatarEnergy's chief executive said two damaged LNG trains may require three years of repairs and later expansion phases depend on restored Hormuz logistics. Separate Indian government data showed coal imports at a 15-month high and 74 power plants with critically low stocks as electricity demand surged.</x:v>
      </x:c>
      <x:c r="Q7" s="29" t="str">
        <x:v>QatarEnergy said normal gas operations could resume within weeks if Hormuz reopens. Alternative LNG supply reduced the net global loss, India's low coal stocks may reflect temporary logistics, renewable generation is rising, and limited switching capacity restricts the mechanism.</x:v>
      </x:c>
      <x:c r="R7" s="29"/>
      <x:c r="S7" s="29" t="str">
        <x:v>The physical mechanism is stronger, but the investable mapping is not confirmed. LNG spot prices and coal demand indicators support fuel switching, while COAL fell about 3% in early September 21 pricing and public coal exposures remain grade-, geography- and policy-sensitive.</x:v>
      </x:c>
      <x:c r="T7" s="29" t="str">
        <x:v>Conditional research only: COAL for diversified producer exposure, or coal futures for a cleaner commodity expression where suitable. Producer concentration, fund liquidity, coal-grade mismatch, futures roll, policy and headline risks remain material. WAIT for sustained coal-price or producer confirmation after the LNG shock.</x:v>
      </x:c>
      <x:c r="U7" s="29" t="str">
        <x:v>Hormuz reopens and Qatari LNG operations normalize, alternative LNG supply fully offsets lost volumes, coal imports and burn fail to rise, or renewable output and demand destruction absorb the shock.</x:v>
      </x:c>
      <x:c r="V7" s="43" t="n">
        <x:v>46275</x:v>
      </x:c>
      <x:c r="W7" s="43" t="n">
        <x:v>46296</x:v>
      </x:c>
      <x:c r="X7" s="43"/>
      <x:c r="Y7" s="29"/>
      <x:c r="Z7" s="29"/>
      <x:c r="AA7" s="29"/>
      <x:c r="AB7" s="29"/>
      <x:c r="AC7" s="29"/>
      <x:c r="AD7" s="29" t="str">
        <x:v>Open. Promoted from Developing to Strong on September 21 after QatarEnergy disclosed a multi-year repair burden and possible LNG expansion delays, while Indian government data showed stronger coal demand and critically low plant stocks. Confidence increased to 4/5. Trading edge fell to 2/5 because fuel switching is constrained, supply alternatives are growing and public expressions are indirect. Entry Window remains WAIT.</x:v>
      </x:c>
      <x:c r="AE7" s="31" t="str">
        <x:f>IF(COUNTA(Y7:AC7)=0,"",COUNTIF(Y7:AC7,"Yes")/COUNTA(Y7:AC7))</x:f>
      </x:c>
    </x:row>
    <x:row r="8">
      <x:c r="A8" s="27" t="str">
        <x:v>EEI-2026-003</x:v>
      </x:c>
      <x:c r="B8" s="27" t="str">
        <x:v>2026 midterm political shift</x:v>
      </x:c>
      <x:c r="C8" s="27" t="str">
        <x:v>Multi-sector</x:v>
      </x:c>
      <x:c r="D8" s="30" t="n">
        <x:v>46274</x:v>
      </x:c>
      <x:c r="E8" s="30" t="n">
        <x:v>46274.5</x:v>
      </x:c>
      <x:c r="F8" s="27" t="str">
        <x:v>Developing</x:v>
      </x:c>
      <x:c r="G8" s="27" t="str">
        <x:v>Political and policy</x:v>
      </x:c>
      <x:c r="H8" s="27" t="str">
        <x:v>Market breadth, policy expectations and sector leadership</x:v>
      </x:c>
      <x:c r="I8" s="27" t="str">
        <x:v>Mixed to up</x:v>
      </x:c>
      <x:c r="J8" s="27" t="str">
        <x:v>Weeks to months</x:v>
      </x:c>
      <x:c r="K8" s="27" t="n">
        <x:v>3</x:v>
      </x:c>
      <x:c r="L8" s="27" t="n">
        <x:v>1</x:v>
      </x:c>
      <x:c r="M8" s="27" t="str">
        <x:v>WAIT</x:v>
      </x:c>
      <x:c r="N8" s="29" t="str">
        <x:v>Congressional control remains unsettled. Cook's public chamber-ratings summary still shows September 11 as its latest update, and September 21 campaign reporting described messaging centered on the economy and affordability rather than establishing a House or Senate result. No independent election trigger advanced during this check.</x:v>
      </x:c>
      <x:c r="O8" s="29" t="str">
        <x:v>Expected changes in fiscal, regulatory and sector policy could alter risk appetite and relative performance.</x:v>
      </x:c>
      <x:c r="P8" s="29" t="str">
        <x:v>Oil fell more than 3%, the 10-year Treasury yield moved below 5%, and advancing issues outnumbered decliners on both major exchanges. XBI gained about 1.41% and IWM about 0.56% in delayed intraday pricing, providing limited participation outside mega-cap technology.</x:v>
      </x:c>
      <x:c r="Q8" s="29" t="str">
        <x:v>The central breadth test failed despite easier oil and yields: SPY rose about 0.98% while RSP fell about 0.05%. XLI, XLB and XLF also lagged, and Reuters attributed index leadership mainly to AI-linked stocks. Chicago Fed President Austan Goolsbee said higher rates remain necessary because inflation is spreading beyond tariffs and energy into strong demand.</x:v>
      </x:c>
      <x:c r="R8" s="29"/>
      <x:c r="S8" s="29" t="str">
        <x:v>September 22 premarket futures were nearly flat after an AI-led Nasdaq record, with the 10-year Treasury yield near 4.9%. Meta had driven the prior session while chip shares softened in premarket trading. This remains narrow technology leadership rather than election-related breadth confirmation.</x:v>
      </x:c>
      <x:c r="T8" s="29" t="str">
        <x:v>RSP versus SPY remains the central breadth test and currently contradicts the thesis. XBI deserves the closest conditional attention after relative outperformance, but it needs follow-through and a policy-risk check. IWM participation is partial. XLI, XLB and XLF are not confirming. CPER should be assessed separately from broad materials and not chased. No automatic entry.</x:v>
      </x:c>
      <x:c r="U8" s="29" t="str">
        <x:v>Political-control uncertainty remains unresolved, or breadth fails to broaden; earnings revisions weaken; oil and inflation stay elevated; Treasury yields hold above 5%; or the candidate sectors fail to outperform SPY as the election approaches.</x:v>
      </x:c>
      <x:c r="V8" s="43" t="n">
        <x:v>46274</x:v>
      </x:c>
      <x:c r="W8" s="43" t="n">
        <x:v>46310</x:v>
      </x:c>
      <x:c r="X8" s="43"/>
      <x:c r="Y8" s="29"/>
      <x:c r="Z8" s="29"/>
      <x:c r="AA8" s="29"/>
      <x:c r="AB8" s="29"/>
      <x:c r="AC8" s="29"/>
      <x:c r="AD8" s="29" t="str">
        <x:v>Open. No new factual House or Senate control development was established in the September 22 scan. Oil and the 10-year yield eased, but the prior session remained AI-led and premarket futures were nearly flat. Classification remains Developing; confidence and trading edge are unchanged. Entry Window remains WAIT and inactive until Actionable.</x:v>
      </x:c>
      <x:c r="AE8" s="31" t="str">
        <x:f>IF(COUNTA(Y8:AC8)=0,"",COUNTIF(Y8:AC8,"Yes")/COUNTA(Y8:AC8))</x:f>
      </x:c>
    </x:row>
    <x:row r="9">
      <x:c r="A9" s="27" t="str">
        <x:v>EEI-2026-004</x:v>
      </x:c>
      <x:c r="B9" s="27" t="str">
        <x:v>Energy inflation and higher-for-longer rates</x:v>
      </x:c>
      <x:c r="C9" s="27" t="str">
        <x:v>Macro and fixed income</x:v>
      </x:c>
      <x:c r="D9" s="30" t="n">
        <x:v>46276.51043981482</x:v>
      </x:c>
      <x:c r="E9" s="30" t="n">
        <x:v>46276.51043981482</x:v>
      </x:c>
      <x:c r="F9" s="27" t="str">
        <x:v>Closed</x:v>
      </x:c>
      <x:c r="G9" s="27" t="str">
        <x:v>Economic data and market repricing</x:v>
      </x:c>
      <x:c r="H9" s="27" t="str">
        <x:v>U.S. producer inflation, Fed policy expectations and long-term Treasury yields</x:v>
      </x:c>
      <x:c r="I9" s="27" t="str">
        <x:v>Up</x:v>
      </x:c>
      <x:c r="J9" s="27" t="str">
        <x:v>Days to weeks</x:v>
      </x:c>
      <x:c r="K9" s="27" t="n">
        <x:v>4</x:v>
      </x:c>
      <x:c r="L9" s="27" t="n">
        <x:v>1</x:v>
      </x:c>
      <x:c r="M9" s="27" t="str">
        <x:v>WAIT</x:v>
      </x:c>
      <x:c r="N9" s="29" t="str">
        <x:v>Triple-digit crude and widened physical premiums reinforced the energy-inflation channel before the September 16 Federal Reserve decision.</x:v>
      </x:c>
      <x:c r="O9" s="29" t="str">
        <x:v>Higher fuel, freight and replacement-barrel costs can pass into producer prices and inflation expectations, keeping policy expectations and term yields elevated and pressuring long-duration bonds.</x:v>
      </x:c>
      <x:c r="P9" s="29" t="str">
        <x:v>The Federal Reserve raised the federal-funds target range 25 basis points to 3.75%-4.00% on September 16 in a unanimous 12-0 decision and said inflation remains elevated. Most policymakers projected at least one additional increase in 2026.</x:v>
      </x:c>
      <x:c r="Q9" s="29" t="str">
        <x:v>The hike was widely expected. Long-duration Treasury yields edged lower after the decision while equity futures rose, weakening TBF as the clean expression. A temporary supply shock, growth slowdown, repaired energy logistics or later policy reversal could limit the thesis.</x:v>
      </x:c>
      <x:c r="R9" s="29"/>
      <x:c r="S9" s="29" t="str">
        <x:v>Economic and policy confirmation strengthened, but market confirmation for the long-yield expression weakened: short yields rose while longer yields eased and equity futures advanced. The rate path was largely priced before the announcement.</x:v>
      </x:c>
      <x:c r="T9" s="29" t="str">
        <x:v>TBF only after a non-gap yield breakout holds or after a retracement that preserves the inflation thesis; SGOV or BIL remain defensive cash-like alternatives. TLT becomes relevant only if the thesis invalidates. Duration, policy-reversal and daily-pricing risks apply.</x:v>
      </x:c>
      <x:c r="U9" s="29" t="str">
        <x:v>Oil and physical premiums retreat and remain lower, the Fed signals it will look through the shock, hike expectations fall, and long yields fail to hold their breakout.</x:v>
      </x:c>
      <x:c r="V9" s="43" t="str">
        <x:v>2026-09-11: Energy-led producer inflation will keep Fed expectations and long Treasury yields biased upward over days to weeks, causing long-duration bonds to underperform short-duration Treasury exposure. Initial Entry Window: WAIT pending CPI and a non-chasing setup.</x:v>
      </x:c>
      <x:c r="W9" s="43"/>
      <x:c r="X9" s="43" t="n">
        <x:v>46283</x:v>
      </x:c>
      <x:c r="Y9" s="29" t="str">
        <x:v>Yes</x:v>
      </x:c>
      <x:c r="Z9" s="29" t="str">
        <x:v>No</x:v>
      </x:c>
      <x:c r="AA9" s="29" t="str">
        <x:v>Yes</x:v>
      </x:c>
      <x:c r="AB9" s="29" t="str">
        <x:v>No</x:v>
      </x:c>
      <x:c r="AC9" s="29" t="str">
        <x:v>Yes</x:v>
      </x:c>
      <x:c r="AD9" s="29" t="str">
        <x:v>Closed after the scheduled September 18 evaluation. Economic variable: Yes — energy inflation and tighter policy expectations were economically relevant, and the Federal Reserve raised its target range 25 basis points. Direction: No — the predicted rise in long-term Treasury yields did not hold; the 10-year yield fell back below 5%. Timing: Yes — the policy and bond-market responses occurred inside the days-to-weeks horizon. Investment expression: No — TBF fell while TLT rose, so the intended long-duration-underperformance expression failed. Entry discipline: Yes — WAIT prevented entry into the failed expression. No real trade was made.</x:v>
      </x:c>
      <x:c r="AE9" s="31" t="n">
        <x:f>IF(COUNTA(Y9:AC9)=0,"",COUNTIF(Y9:AC9,"Yes")/COUNTA(Y9:AC9))</x:f>
        <x:v>0.6</x:v>
      </x:c>
    </x:row>
    <x:row r="10">
      <x:c r="A10" s="27" t="str">
        <x:v>EEI-2026-005</x:v>
      </x:c>
      <x:c r="B10" s="27" t="str">
        <x:v>Bristol Myers growth-portfolio offset</x:v>
      </x:c>
      <x:c r="C10" s="27" t="str">
        <x:v>Healthcare</x:v>
      </x:c>
      <x:c r="D10" s="30" t="n">
        <x:v>46278</x:v>
      </x:c>
      <x:c r="E10" s="30" t="n">
        <x:v>46279.38055555556</x:v>
      </x:c>
      <x:c r="F10" s="27" t="str">
        <x:v>Developing</x:v>
      </x:c>
      <x:c r="G10" s="27" t="str">
        <x:v>Motley Fool idea trigger</x:v>
      </x:c>
      <x:c r="H10" s="27" t="str">
        <x:v>Growth-portfolio revenue and cash flow relative to legacy-drug erosion</x:v>
      </x:c>
      <x:c r="I10" s="27" t="str">
        <x:v>Up relative to legacy decline</x:v>
      </x:c>
      <x:c r="J10" s="27" t="str">
        <x:v>Quarters to years</x:v>
      </x:c>
      <x:c r="K10" s="27" t="n">
        <x:v>3</x:v>
      </x:c>
      <x:c r="L10" s="27" t="n">
        <x:v>3</x:v>
      </x:c>
      <x:c r="M10" s="27" t="str">
        <x:v>WAIT</x:v>
      </x:c>
      <x:c r="N10" s="29" t="str">
        <x:v>A September 13 free Motley Fool article highlighted BMY's yield and growth portfolio as a possible offset to the patent cliff. Motley Fool is recorded only as the trigger, not confirmation.</x:v>
      </x:c>
      <x:c r="O10" s="29" t="str">
        <x:v>If newer medicines keep growing fast enough, aggregate revenue and free cash flow can stabilize despite mature-product erosion, supporting debt reduction and dividend coverage.</x:v>
      </x:c>
      <x:c r="P10" s="29" t="str">
        <x:v>BMY's SEC-filed Q2 release reported total revenue of $13.0 billion, up 6%, Growth Portfolio revenue of $7.6 billion, up 15%, and raised 2026 guidance to $49-$50 billion revenue and $6.75-$7.00 non-GAAP EPS.</x:v>
      </x:c>
      <x:c r="Q10" s="29" t="str">
        <x:v>Legacy portfolio revenue still fell 4%; major exclusivity losses remain multi-year; long-term debt was about $42.1 billion at quarter-end; and one strong quarter does not prove the portfolio can offset the full patent cliff.</x:v>
      </x:c>
      <x:c r="R10" s="29"/>
      <x:c r="S10" s="29" t="str">
        <x:v>BMY traded near $63.64 during the scan without a distinct new breakout tied to the article. Fundamental confirmation exists, but sustained post-earnings relative strength and another quarter of growth/FCF evidence are still needed.</x:v>
      </x:c>
      <x:c r="T10" s="29" t="str">
        <x:v>BMY shares are the direct conditional expression; a broad pharma ETF dilutes company-specific upside. WAIT for either another quarter confirming growth-portfolio/FCF durability or a non-chasing pullback that holds after guidance is digested. Dividend, pipeline, patent and leverage risks apply.</x:v>
      </x:c>
      <x:c r="U10" s="29" t="str">
        <x:v>Growth Portfolio growth falls below the pace needed to offset legacy erosion, guidance is cut, operating cash flow weakens, leverage rises, or dividend coverage deteriorates.</x:v>
      </x:c>
      <x:c r="V10" s="43" t="str">
        <x:v>2026-09-14: Newer-product growth will partially offset legacy erosion over coming quarters, but the size and durability of the offset remain unproven. Initial Entry Window: WAIT pending another quarter and cash-flow/debt confirmation.</x:v>
      </x:c>
      <x:c r="W10" s="43" t="n">
        <x:v>46325</x:v>
      </x:c>
      <x:c r="X10" s="43"/>
      <x:c r="Y10" s="29"/>
      <x:c r="Z10" s="29"/>
      <x:c r="AA10" s="29"/>
      <x:c r="AB10" s="29"/>
      <x:c r="AC10" s="29"/>
      <x:c r="AD10" s="29" t="str">
        <x:v>Open. Motley Fool is trigger only. SEC results independently support the economic mechanism, but patent-cliff and leverage contradictions keep the thesis Developing at 3/5 confidence and 3/5 trading edge. Entry Window WAIT.</x:v>
      </x:c>
      <x:c r="AE10" s="31" t="str">
        <x:f>IF(COUNTA(Y10:AC10)=0,"",COUNTIF(Y10:AC10,"Yes")/COUNTA(Y10:AC10))</x:f>
      </x:c>
    </x:row>
    <x:row r="11">
      <x:c r="A11" s="27" t="str">
        <x:v>EEI-2026-006</x:v>
      </x:c>
      <x:c r="B11" s="27" t="str">
        <x:v>lululemon turnaround and demand stabilization</x:v>
      </x:c>
      <x:c r="C11" s="27" t="str">
        <x:v>Consumer discretionary</x:v>
      </x:c>
      <x:c r="D11" s="30" t="n">
        <x:v>46278</x:v>
      </x:c>
      <x:c r="E11" s="30" t="n">
        <x:v>46279.38055555556</x:v>
      </x:c>
      <x:c r="F11" s="27" t="str">
        <x:v>Hypothesis</x:v>
      </x:c>
      <x:c r="G11" s="27" t="str">
        <x:v>Motley Fool idea trigger</x:v>
      </x:c>
      <x:c r="H11" s="27" t="str">
        <x:v>Comparable sales, inventory quality and gross margin</x:v>
      </x:c>
      <x:c r="I11" s="27" t="str">
        <x:v>Stabilize then up</x:v>
      </x:c>
      <x:c r="J11" s="27" t="str">
        <x:v>Two to six quarters</x:v>
      </x:c>
      <x:c r="K11" s="27" t="n">
        <x:v>2</x:v>
      </x:c>
      <x:c r="L11" s="27" t="n">
        <x:v>2</x:v>
      </x:c>
      <x:c r="M11" s="27" t="str">
        <x:v>WAIT</x:v>
      </x:c>
      <x:c r="N11" s="29" t="str">
        <x:v>A September 13 free Motley Fool article argued that LULU may be nearing a bottom as a new chief executive begins a turnaround. Motley Fool is the idea trigger only.</x:v>
      </x:c>
      <x:c r="O11" s="29" t="str">
        <x:v>Product and brand repair could restore traffic and comparable sales, improve inventory productivity and rebuild gross margin, allowing depressed earnings expectations to stabilize.</x:v>
      </x:c>
      <x:c r="P11" s="29" t="str">
        <x:v>The valuation and price decline create optionality if operating measures stop worsening; incoming leadership is a potential implementation modifier.</x:v>
      </x:c>
      <x:c r="Q11" s="29" t="str">
        <x:v>Q2 revenue fell about 4% to $2.42 billion, global comparable sales fell 9%, Americas comps fell 12%, gross margin weakened excluding a tariff refund, and full-year revenue guidance was cut to a 5%-7% decline. The core economic variable is still deteriorating.</x:v>
      </x:c>
      <x:c r="R11" s="29"/>
      <x:c r="S11" s="29" t="str">
        <x:v>LULU traded near $98.97, close to recent lows. Low valuation and a large historical drawdown are not market confirmation of a turnaround.</x:v>
      </x:c>
      <x:c r="T11" s="29" t="str">
        <x:v>LULU shares only after comparable sales, inventories and underlying gross margin show a verified turn; consumer-discretionary ETFs are too diluted. WAIT. Brand, fashion-cycle, tariff, margin and falling-knife risks are high.</x:v>
      </x:c>
      <x:c r="U11" s="29" t="str">
        <x:v>Comparable sales and traffic continue to deteriorate, inventories rise faster than sales, underlying gross margin keeps falling, or the new product/leadership plan fails to improve demand.</x:v>
      </x:c>
      <x:c r="V11" s="43" t="str">
        <x:v>2026-09-14: A turnaround could eventually stabilize comparable sales and margins, but current evidence still points down. Initial Entry Window: WAIT until operating data turn rather than valuation alone.</x:v>
      </x:c>
      <x:c r="W11" s="43" t="n">
        <x:v>46360</x:v>
      </x:c>
      <x:c r="X11" s="43"/>
      <x:c r="Y11" s="29"/>
      <x:c r="Z11" s="29"/>
      <x:c r="AA11" s="29"/>
      <x:c r="AB11" s="29"/>
      <x:c r="AC11" s="29"/>
      <x:c r="AD11" s="29" t="str">
        <x:v>Open. The Motley Fool article supplied a research trigger, but primary operating evidence contradicts the thesis. Classified Hypothesis at 2/5 confidence, 2/5 edge, Entry Window WAIT.</x:v>
      </x:c>
      <x:c r="AE11" s="31" t="str">
        <x:f>IF(COUNTA(Y11:AC11)=0,"",COUNTIF(Y11:AC11,"Yes")/COUNTA(Y11:AC11))</x:f>
      </x:c>
    </x:row>
    <x:row r="12">
      <x:c r="A12" s="27" t="str">
        <x:v>EEI-2026-007</x:v>
      </x:c>
      <x:c r="B12" s="27" t="str">
        <x:v>AeroVironment autonomous-systems backlog</x:v>
      </x:c>
      <x:c r="C12" s="27" t="str">
        <x:v>Defense and aerospace</x:v>
      </x:c>
      <x:c r="D12" s="30" t="n">
        <x:v>46274</x:v>
      </x:c>
      <x:c r="E12" s="30" t="n">
        <x:v>46279.38055555556</x:v>
      </x:c>
      <x:c r="F12" s="27" t="str">
        <x:v>Strong</x:v>
      </x:c>
      <x:c r="G12" s="27" t="str">
        <x:v>Motley Fool idea trigger</x:v>
      </x:c>
      <x:c r="H12" s="27" t="str">
        <x:v>Autonomous-systems bookings, backlog conversion and profitable revenue</x:v>
      </x:c>
      <x:c r="I12" s="27" t="str">
        <x:v>Up</x:v>
      </x:c>
      <x:c r="J12" s="27" t="str">
        <x:v>Quarters to years</x:v>
      </x:c>
      <x:c r="K12" s="27" t="n">
        <x:v>4</x:v>
      </x:c>
      <x:c r="L12" s="27" t="n">
        <x:v>2</x:v>
      </x:c>
      <x:c r="M12" s="27" t="str">
        <x:v>WAIT</x:v>
      </x:c>
      <x:c r="N12" s="29" t="str">
        <x:v>A September 9 free Motley Fool article highlighted AVAV's record results and counter-drone demand. Motley Fool is the trigger only; SEC filings supply the confirmation.</x:v>
      </x:c>
      <x:c r="O12" s="29" t="str">
        <x:v>Higher defense demand for autonomous systems and counter-drone capabilities raises bookings and funded backlog, which can convert into revenue and operating leverage if execution and accounting controls hold.</x:v>
      </x:c>
      <x:c r="P12" s="29" t="str">
        <x:v>AVAV's SEC-filed Q1 data showed $480.5 million revenue, Autonomous Systems revenue of $346 million up 21%, bookings of $683 million, a 1.4 book-to-bill ratio and funded backlog near $1.46 billion, with 78% expected in fiscal 2027.</x:v>
      </x:c>
      <x:c r="Q12" s="29" t="str">
        <x:v>Space, Cyber and Directed Energy revenue fell 21%; inventory rose to about $410.8 million; material weaknesses remain; a prior restatement corrected an $87.3 million equity overstatement; convertible debt and a high valuation magnify execution risk.</x:v>
      </x:c>
      <x:c r="R12" s="29"/>
      <x:c r="S12" s="29" t="str">
        <x:v>AVAV traded near $146.71 during the scan. Demand and backlog are confirmed, but valuation and accounting-control risk leave limited evidence of a favorable entry rather than merely a valid business catalyst.</x:v>
      </x:c>
      <x:c r="T12" s="29" t="str">
        <x:v>AVAV shares are the direct conditional expression; defense ETFs dilute the autonomous-systems catalyst. WAIT for clean control remediation and either profitable backlog conversion or a non-chasing valuation reset that holds support. Accounting, contract timing, integration and valuation risks apply.</x:v>
      </x:c>
      <x:c r="U12" s="29" t="str">
        <x:v>Book-to-bill falls below 1 for a sustained period, backlog conversion slips, margins/cash flow fail to improve, material weaknesses persist or expand, or demand shifts away from AVAV programs.</x:v>
      </x:c>
      <x:c r="V12" s="43" t="str">
        <x:v>2026-09-14: Autonomous-systems demand and backlog should support higher revenue over coming quarters, conditional on conversion, profitability and control remediation. Initial Entry Window: WAIT due valuation and accounting risk.</x:v>
      </x:c>
      <x:c r="W12" s="43" t="n">
        <x:v>46366</x:v>
      </x:c>
      <x:c r="X12" s="43"/>
      <x:c r="Y12" s="29"/>
      <x:c r="Z12" s="29"/>
      <x:c r="AA12" s="29"/>
      <x:c r="AB12" s="29"/>
      <x:c r="AC12" s="29"/>
      <x:c r="AD12" s="29" t="str">
        <x:v>Open. Primary SEC evidence supports a Strong thesis at 4/5 confidence, but accounting, profitability and valuation risks limit trading edge to 2/5. Entry Window WAIT.</x:v>
      </x:c>
      <x:c r="AE12" s="31" t="str">
        <x:f>IF(COUNTA(Y12:AC12)=0,"",COUNTIF(Y12:AC12,"Yes")/COUNTA(Y12:AC12))</x:f>
      </x:c>
    </x:row>
    <x:row r="13">
      <x:c r="A13" s="27" t="str">
        <x:v>EEI-2026-008</x:v>
      </x:c>
      <x:c r="B13" s="27" t="str">
        <x:v>U.S. tungsten stockpile and domestic buildout</x:v>
      </x:c>
      <x:c r="C13" s="27" t="str">
        <x:v>Critical minerals and defense</x:v>
      </x:c>
      <x:c r="D13" s="30" t="n">
        <x:v>46279.38055555556</x:v>
      </x:c>
      <x:c r="E13" s="30" t="n">
        <x:v>46279.38055555556</x:v>
      </x:c>
      <x:c r="F13" s="27" t="str">
        <x:v>Actionable</x:v>
      </x:c>
      <x:c r="G13" s="27" t="str">
        <x:v>Government award and industrial policy</x:v>
      </x:c>
      <x:c r="H13" s="27" t="str">
        <x:v>U.S. tungsten procurement, domestic capacity and Elmet contracted revenue</x:v>
      </x:c>
      <x:c r="I13" s="27" t="str">
        <x:v>Up</x:v>
      </x:c>
      <x:c r="J13" s="27" t="str">
        <x:v>Years</x:v>
      </x:c>
      <x:c r="K13" s="27" t="n">
        <x:v>4</x:v>
      </x:c>
      <x:c r="L13" s="27" t="n">
        <x:v>1</x:v>
      </x:c>
      <x:c r="M13" s="27" t="str">
        <x:v>WAIT</x:v>
      </x:c>
      <x:c r="N13" s="29" t="str">
        <x:v>Reuters reported a new Defense Logistics Agency tungsten stockpile award to an Elmet subsidiary with a reported $150 million guaranteed commitment and a potential value near $2 billion. The Department of War separately announced a $450 million preferred-equity investment in Elmet.</x:v>
      </x:c>
      <x:c r="O13" s="29" t="str">
        <x:v>Government procurement and preferred-equity capital can accelerate domestic tungsten processing, mining and component capacity. Greater domestic capacity should reduce exposure to a China-dominated strategic-material chokepoint over a multi-year horizon.</x:v>
      </x:c>
      <x:c r="P13" s="29" t="str">
        <x:v>The Department of War confirmed a $450 million redeemable preferred-equity investment and said Elmet supports more than 100 defense programs. Reuters separately reported the DLA award. Elmet's latest filing confirms a company still early in its public transition and dependent on project execution.</x:v>
      </x:c>
      <x:c r="Q13" s="29" t="str">
        <x:v>A primary USAspending award identifier, action type, NAICS/PSC, competition status, period of performance and exact obligation schedule were still not publicly indexed. Government warrants may reach 19.9% and most preferred-equity funding is milestone-dependent. Scale-up, dilution and execution risks remain material.</x:v>
      </x:c>
      <x:c r="R13" s="29" t="str">
        <x:v>No external expert enhancer was required; the thesis rests on primary government records, company filings and independent reporting.</x:v>
      </x:c>
      <x:c r="S13" s="29" t="str">
        <x:v>Elmet closed September 14 at $21.56, up about 33% on record volume and above its prior price structure. This confirms market recognition but sharply increases headline-chasing and reversal risk.</x:v>
      </x:c>
      <x:c r="T13" s="29" t="str">
        <x:v>ELMT is the most direct public-company expression but only after an orderly consolidation or retracement and fuller award/SEC documentation. Broader critical-minerals exposure can dilute tungsten specificity. Direct tungsten is not a practical liquid retail expression.</x:v>
      </x:c>
      <x:c r="U13" s="29" t="str">
        <x:v>Material reduction or cancellation of the government commitments, milestone failure, uneconomic Springer restart, severe dilution, or procurement redirection away from domestic tungsten.</x:v>
      </x:c>
      <x:c r="V13" s="43" t="str">
        <x:v>2026-09-14: The reported guaranteed procurement and financing should raise U.S. tungsten capacity and Elmet contracted revenue over years, but timing and per-share value depend on award documentation, project execution and dilution. Initial Entry Window: WAIT.</x:v>
      </x:c>
      <x:c r="W13" s="43" t="n">
        <x:v>46310</x:v>
      </x:c>
      <x:c r="X13" s="43"/>
      <x:c r="Y13" s="29"/>
      <x:c r="Z13" s="29"/>
      <x:c r="AA13" s="29"/>
      <x:c r="AB13" s="29"/>
      <x:c r="AC13" s="29"/>
      <x:c r="AD13" s="29" t="str">
        <x:v>Open. September 18 was an interim documentation checkpoint, not the multi-year outcome horizon. The government financing and procurement mechanism remains supported, but the formal outcome fields stay blank. Entry Window remains WAIT because ELMT still trades well above the pre-announcement structure and the primary USAspending award identifier, obligation schedule, competition details and full capital terms remain incomplete. Next documentation checkpoint: October 15.</x:v>
      </x:c>
      <x:c r="AE13" s="31" t="str">
        <x:f>IF(COUNTA(Y13:AC13)=0,"",COUNTIF(Y13:AC13,"Yes")/COUNTA(Y13:AC13))</x:f>
      </x:c>
    </x:row>
    <x:row r="14">
      <x:c r="A14" s="27" t="str">
        <x:v>EEI-2026-009</x:v>
      </x:c>
      <x:c r="B14" s="27" t="str">
        <x:v>Global diesel scarcity and refining margins</x:v>
      </x:c>
      <x:c r="C14" s="27" t="str">
        <x:v>Energy / refined products</x:v>
      </x:c>
      <x:c r="D14" s="30" t="n">
        <x:v>46281.32777777778</x:v>
      </x:c>
      <x:c r="E14" s="30" t="n">
        <x:v>46281.32777777778</x:v>
      </x:c>
      <x:c r="F14" s="27" t="str">
        <x:v>Actionable</x:v>
      </x:c>
      <x:c r="G14" s="27" t="str">
        <x:v>Supply chain and market dislocation</x:v>
      </x:c>
      <x:c r="H14" s="27" t="str">
        <x:v>Global diesel crack spreads, distillate inventories and refinery margins</x:v>
      </x:c>
      <x:c r="I14" s="27" t="str">
        <x:v>Up</x:v>
      </x:c>
      <x:c r="J14" s="27" t="str">
        <x:v>Days to months</x:v>
      </x:c>
      <x:c r="K14" s="27" t="n">
        <x:v>5</x:v>
      </x:c>
      <x:c r="L14" s="27" t="n">
        <x:v>1</x:v>
      </x:c>
      <x:c r="M14" s="27" t="str">
        <x:v>WAIT</x:v>
      </x:c>
      <x:c r="N14" s="29" t="str">
        <x:v>Asian diesel refining margins exceeded $87 per barrel on September 16 while European and U.S. diesel prices remained near records, separating the refined-products shortage from the already-mature crude thesis.</x:v>
      </x:c>
      <x:c r="O14" s="29" t="str">
        <x:v>Disrupted Middle East and Russian product flows, low European inventories and constrained export availability force buyers to bid for scarce distillates. Refiners with reliable feedstock and operating capacity can capture wider diesel cracks, although crude disruption can also limit throughput.</x:v>
      </x:c>
      <x:c r="P14" s="29" t="str">
        <x:v>Disrupted Middle East and Russian product flows, low European inventories and constrained Hormuz traffic remain the core physical support. U.S. diesel inventories fell to 107.9 million barrels by September 11, the lowest comparable September level in EIA records dating to 1982. EIA expects distillate stocks to remain below the five-year low through the end of 2026 and most of 2027, extending the scarcity mechanism beyond the initial shock.</x:v>
      </x:c>
      <x:c r="Q14" s="29" t="str">
        <x:v>Saudi Arabia restarted the East-West Pipeline at a low rate and is seeking a return toward 4 million bpd, while Iran signaled that Hormuz could reopen within seven days if U.S. pressure eases. These developments reduce crude-feedstock and logistics stress. Record-low distillate inventories and constrained refined-product flows remain the strongest offset, so the diesel thesis stays intact but the reversal risk increased.</x:v>
      </x:c>
      <x:c r="R14" s="29"/>
      <x:c r="S14" s="29" t="str">
        <x:v>Brent November fell 2% to $98.33 and WTI November fell 2.65% to $89.92 on September 22. Premarket pricing weakened the equity mapping: CRAK -0.96%, VLO -4.81%, MPC -5.35% and PSX -4.12%. Reuters still reported record diesel prices and a continuing refined-product shortage, separating the product thesis from the easing crude thesis.</x:v>
      </x:c>
      <x:c r="T14" s="29" t="str">
        <x:v>Conditional only after an orderly consolidation or retracement while inventories, backwardation and cracks remain elevated. CRAK is the diversified refining expression. VLO, MPC and PSX add company-specific execution and valuation risk. Direct diesel or gasoil futures are cleaner but introduce leverage, roll, liquidity and contract-specification risks.</x:v>
      </x:c>
      <x:c r="U14" s="29" t="str">
        <x:v>Diesel cracks and backwardation normalize as inventories and exports recover, Saudi and Russian flows normalize, demand falls materially, or refinery operating constraints prevent margins from converting into cash flow.</x:v>
      </x:c>
      <x:c r="V14" s="43" t="str">
        <x:v>2026-09-16: Global diesel crack spreads and refinery margins will remain elevated over coming weeks to months as Middle East and Russian product disruptions keep distillate supply tight, but investable equity expressions may underperform the commodity economics. Initial Entry Window: WAIT because margins and prices are already at records and clean retail exposure is limited.</x:v>
      </x:c>
      <x:c r="W14" s="43" t="n">
        <x:v>46296</x:v>
      </x:c>
      <x:c r="X14" s="43"/>
      <x:c r="Y14" s="29"/>
      <x:c r="Z14" s="29"/>
      <x:c r="AA14" s="29"/>
      <x:c r="AB14" s="29"/>
      <x:c r="AC14" s="29"/>
      <x:c r="AD14" s="29" t="str">
        <x:v>Open. September 22 added the strongest current contradiction: the Saudi East-West Pipeline restarted at a low rate and diplomacy could reopen Hormuz, while crude and U.S. refining equities fell. The underlying distillate shortage remains independently supported because refined-product flows and inventories have not normalized. Stage remains Actionable, confidence 5/5, trading edge 1/5 and Entry Window WAIT. A sustained recovery in diesel exports, inventories and cracks would invalidate the thesis; a headline-driven equity selloff alone does not create an entry.</x:v>
      </x:c>
      <x:c r="AE14" s="31" t="str">
        <x:f>IF(COUNTA(Y14:AC14)=0,"",COUNTIF(Y14:AC14,"Yes")/COUNTA(Y14:AC14))</x:f>
      </x:c>
    </x:row>
    <x:row r="15">
      <x:c r="A15" s="27" t="str">
        <x:v>EEI-2026-010</x:v>
      </x:c>
      <x:c r="B15" s="27" t="str">
        <x:v>EU electrical-steel safeguards and transformer economics</x:v>
      </x:c>
      <x:c r="C15" s="27" t="str">
        <x:v>Industrials / grid infrastructure</x:v>
      </x:c>
      <x:c r="D15" s="30" t="n">
        <x:v>46284</x:v>
      </x:c>
      <x:c r="E15" s="30" t="n">
        <x:v>46284.33085648148</x:v>
      </x:c>
      <x:c r="F15" s="27" t="str">
        <x:v>Developing</x:v>
      </x:c>
      <x:c r="G15" s="27" t="str">
        <x:v>Trade policy and supply chain</x:v>
      </x:c>
      <x:c r="H15" s="27" t="str">
        <x:v>European GOES and transformer-core pricing, utilization and input costs</x:v>
      </x:c>
      <x:c r="I15" s="27" t="str">
        <x:v>Up</x:v>
      </x:c>
      <x:c r="J15" s="27" t="str">
        <x:v>Months</x:v>
      </x:c>
      <x:c r="K15" s="27" t="n">
        <x:v>3</x:v>
      </x:c>
      <x:c r="L15" s="27" t="n">
        <x:v>2</x:v>
      </x:c>
      <x:c r="M15" s="27" t="str">
        <x:v>WAIT</x:v>
      </x:c>
      <x:c r="N15" s="29" t="str">
        <x:v>The European Commission imposed provisional tariff-rate quotas and price thresholds on grain-oriented electrical steel, laminations and transformer cores, effective September 25. The measure protects the full transformer-core value chain rather than raw steel alone.</x:v>
      </x:c>
      <x:c r="O15" s="29" t="str">
        <x:v>Higher landed costs and quota constraints on low-priced imports can lift pricing and utilization for the remaining European GOES and core producers. Covering cores already incorporated in transformers may also raise downstream transformer input costs and change procurement behavior.</x:v>
      </x:c>
      <x:c r="P15" s="29" t="str">
        <x:v>The European Commission said urgent measures were needed after an investigation found heavy import pressure on a strategic EU industry. Reuters independently reported minimum prices of roughly EUR2,800-EUR3,400 per metric ton inside quotas and EUR3,500 above them, named Thyssenkrupp Steel Europe and Stalprodukt as likely beneficiaries, and noted prior production stops caused by imports sold at reported 25% discounts.</x:v>
      </x:c>
      <x:c r="Q15" s="29" t="str">
        <x:v>The measure is provisional, lasts 155 days and needs a qualified majority of EU member states for definitive adoption. Quotas and thresholds may not bind if import prices rise or demand weakens. There is no clean liquid U.S. expression; Thyssenkrupp is a diversified restructuring story and Stalprodukt is foreign and relatively illiquid. Transformer manufacturers may pass costs through, source elsewhere or benefit from protection on finished cores.</x:v>
      </x:c>
      <x:c r="R15" s="29"/>
      <x:c r="S15" s="29" t="str">
        <x:v>No reliable post-announcement market confirmation is available because the measure was announced late Friday and the review is occurring before the next European session. Prior producer weakness supports the economic problem but not an entry.</x:v>
      </x:c>
      <x:c r="T15" s="29" t="str">
        <x:v>Conditional research only: Thyssenkrupp or its ADR offers indirect exposure to TKSE but adds conglomerate and restructuring risk; Warsaw-listed Stalprodukt is more direct but adds foreign-market and liquidity risk. European transformer manufacturers could benefit from finished-core protection yet face higher inputs. WAIT for final-measure visibility, evidence that quotas or price floors bind, producer utilization or margin confirmation, and a non-chasing price structure.</x:v>
      </x:c>
      <x:c r="U15" s="29" t="str">
        <x:v>The provisional measure lapses or fails the member-state vote; quotas and thresholds do not bind; EU GOES or core utilization and margins fail to improve; transformer costs or lead times do not rise; or import substitution and demand weakness offset the protection.</x:v>
      </x:c>
      <x:c r="V15" s="43" t="str">
        <x:v>2026-09-19: EU tariff quotas and price thresholds should raise protected European GOES and transformer-core pricing or utilization, and may lift transformer input costs over coming months, conditional on the measures binding and surviving the provisional period. Initial Entry Window: WAIT because final adoption, company-level materiality and a clean liquid expression are not yet established.</x:v>
      </x:c>
      <x:c r="W15" s="43" t="n">
        <x:v>46310</x:v>
      </x:c>
      <x:c r="X15" s="43"/>
      <x:c r="Y15" s="29"/>
      <x:c r="Z15" s="29"/>
      <x:c r="AA15" s="29"/>
      <x:c r="AB15" s="29"/>
      <x:c r="AC15" s="29"/>
      <x:c r="AD15" s="29" t="str">
        <x:v>Open. New Developing thesis at confidence 3/5 and trading edge 2/5. Primary and independent reporting confirm the mechanism, but the 155-day provisional term, member-state vote, uncertain company-level pass-through and poor instrument purity keep Entry Window WAIT. Next check: first post-announcement market reaction, quota utilization, producer guidance and progress toward definitive EU adoption.</x:v>
      </x:c>
      <x:c r="AE15" s="31" t="str">
        <x:f>IF(COUNTA(Y15:AC15)=0,"",COUNTIF(Y15:AC15,"Yes")/COUNTA(Y15:AC15))</x:f>
      </x:c>
    </x:row>
    <x:row r="16">
      <x:c r="A16" s="27" t="str">
        <x:v>EEI-2026-011</x:v>
      </x:c>
      <x:c r="B16" s="27" t="str">
        <x:v>Gulf tanker shortage and VLCC freight</x:v>
      </x:c>
      <x:c r="C16" s="27" t="str">
        <x:v>Energy / shipping</x:v>
      </x:c>
      <x:c r="D16" s="30" t="n">
        <x:v>46286</x:v>
      </x:c>
      <x:c r="E16" s="30" t="n">
        <x:v>46286.35158564815</x:v>
      </x:c>
      <x:c r="F16" s="27" t="str">
        <x:v>Strong</x:v>
      </x:c>
      <x:c r="G16" s="27" t="str">
        <x:v>Supply chain and energy logistics</x:v>
      </x:c>
      <x:c r="H16" s="27" t="str">
        <x:v>VLCC utilization, spot freight rates and tanker earnings</x:v>
      </x:c>
      <x:c r="I16" s="27" t="str">
        <x:v>Up</x:v>
      </x:c>
      <x:c r="J16" s="27" t="str">
        <x:v>Weeks to months</x:v>
      </x:c>
      <x:c r="K16" s="27" t="n">
        <x:v>4</x:v>
      </x:c>
      <x:c r="L16" s="27" t="n">
        <x:v>1</x:v>
      </x:c>
      <x:c r="M16" s="27" t="str">
        <x:v>WAIT</x:v>
      </x:c>
      <x:c r="N16" s="29" t="str">
        <x:v>Record VLCC rates and a new ship-to-ship shuttle system around Hormuz show that continued oil exports are consuming far more tanker capacity. Trafigura also launched a 14-vessel tanker arm and plans an Oslo listing to capture the changed economics.</x:v>
      </x:c>
      <x:c r="O16" s="29" t="str">
        <x:v>Repeated short shuttle voyages, cargo transfers, longer routes and conflict-zone risk absorb vessel-days and raise charter scarcity. Tanker owners with spot exposure can earn higher rates while producers and refiners bear more freight cost.</x:v>
      </x:c>
      <x:c r="P16" s="29" t="str">
        <x:v>Reuters reported Gulf ship-to-ship transfers near 2.5 million bpd and Gulf-to-China VLCC freight above $30 per barrel. Separate September 22 evidence showed Venezuela-to-U.S.-Gulf Aframax charter costs near $3.5 million, up from $1.35 million at the start of 2026, with tanker waits at their highest since January. Freight stress is global rather than confined to one Gulf route.</x:v>
      </x:c>
      <x:c r="Q16" s="29" t="str">
        <x:v>Saudi Arabia restarted the East-West Pipeline at a low rate and is seeking full restoration, while Iran signaled possible Hormuz reopening within seven days if U.S. pressure eases. Either development could unwind Gulf shuttle demand and release vessel-days quickly. Producer-owned fleets, newbuilds and diplomacy remain material reversal risks.</x:v>
      </x:c>
      <x:c r="R16" s="29"/>
      <x:c r="S16" s="29" t="str">
        <x:v>Freight remains exceptional, but listed expressions weakened before the September 22 open: FRO -3.13%, DHT -3.50% and BOAT roughly flat. Venezuelan Aframax rates confirm broader vessel scarcity, yet Gulf normalization risk and negative equity pricing argue against a favorable entry.</x:v>
      </x:c>
      <x:c r="T16" s="29" t="str">
        <x:v>Conditional research only: FRO and DHT for crude-tanker exposure; BOAT is broader and dilutes VLCC specificity. STNG is more product-tanker focused. Volare may become a direct Oslo-listed expression only after final offering documents and trading history exist. Company leverage, vessel age, charter mix, dilution and cyclicality matter.</x:v>
      </x:c>
      <x:c r="U16" s="29" t="str">
        <x:v>Hormuz and Red Sea routes normalize, shuttle transfers unwind, VLCC spot rates retreat toward pre-shock levels, fleet availability rises faster than demand, or company earnings fail to convert record freight into cash flow.</x:v>
      </x:c>
      <x:c r="V16" s="43" t="str">
        <x:v>2026-09-21: Conflict-driven shuttle transfers and longer routes will keep VLCC utilization and spot freight rates elevated over coming weeks to months, but public tanker equities may not track the freight spike cleanly. Initial Entry Window: WAIT because rates are at records and equities already carry event and reversal risk.</x:v>
      </x:c>
      <x:c r="W16" s="43" t="n">
        <x:v>46300</x:v>
      </x:c>
      <x:c r="X16" s="43"/>
      <x:c r="Y16" s="29"/>
      <x:c r="Z16" s="29"/>
      <x:c r="AA16" s="29"/>
      <x:c r="AB16" s="29"/>
      <x:c r="AC16" s="29"/>
      <x:c r="AD16" s="29" t="str">
        <x:v>Open. September 22 produced mixed but meaningful evidence. Venezuelan Aframax costs confirmed that tanker scarcity extends beyond the Gulf, while the Saudi pipeline restart and possible Hormuz reopening directly challenge the shuttle-demand mechanism. Stage remains Strong at confidence 4/5, trading edge 1/5 and Entry Window WAIT. Next check: sustained VLCC and Aframax rates after Yanbu exports resume, listed-tanker cash conversion and any verified route normalization.</x:v>
      </x:c>
      <x:c r="AE16" s="31" t="str">
        <x:f>IF(COUNTA(Y16:AC16)=0,"",COUNTIF(Y16:AC16,"Yes")/COUNTA(Y16:AC16))</x:f>
      </x:c>
    </x:row>
    <x:row r="17">
      <x:c r="A17" s="27"/>
      <x:c r="B17" s="27"/>
      <x:c r="C17" s="27"/>
      <x:c r="D17" s="30"/>
      <x:c r="E17" s="30"/>
      <x:c r="F17" s="27"/>
      <x:c r="G17" s="27"/>
      <x:c r="H17" s="27"/>
      <x:c r="I17" s="27"/>
      <x:c r="J17" s="27"/>
      <x:c r="K17" s="27"/>
      <x:c r="L17" s="27"/>
      <x:c r="M17" s="27"/>
      <x:c r="N17" s="29"/>
      <x:c r="O17" s="29"/>
      <x:c r="P17" s="29"/>
      <x:c r="Q17" s="29"/>
      <x:c r="R17" s="29"/>
      <x:c r="S17" s="29"/>
      <x:c r="T17" s="29"/>
      <x:c r="U17" s="29"/>
      <x:c r="V17" s="43"/>
      <x:c r="W17" s="43"/>
      <x:c r="X17" s="43"/>
      <x:c r="Y17" s="29"/>
      <x:c r="Z17" s="29"/>
      <x:c r="AA17" s="29"/>
      <x:c r="AB17" s="29"/>
      <x:c r="AC17" s="29"/>
      <x:c r="AD17" s="29"/>
      <x:c r="AE17" s="31" t="str">
        <x:f>IF(COUNTA(Y17:AC17)=0,"",COUNTIF(Y17:AC17,"Yes")/COUNTA(Y17:AC17))</x:f>
      </x:c>
    </x:row>
    <x:row r="18">
      <x:c r="A18" s="27"/>
      <x:c r="B18" s="27"/>
      <x:c r="C18" s="27"/>
      <x:c r="D18" s="30"/>
      <x:c r="E18" s="30"/>
      <x:c r="F18" s="27"/>
      <x:c r="G18" s="27"/>
      <x:c r="H18" s="27"/>
      <x:c r="I18" s="27"/>
      <x:c r="J18" s="27"/>
      <x:c r="K18" s="27"/>
      <x:c r="L18" s="27"/>
      <x:c r="M18" s="27"/>
      <x:c r="N18" s="29"/>
      <x:c r="O18" s="29"/>
      <x:c r="P18" s="29"/>
      <x:c r="Q18" s="29"/>
      <x:c r="R18" s="29"/>
      <x:c r="S18" s="29"/>
      <x:c r="T18" s="29"/>
      <x:c r="U18" s="29"/>
      <x:c r="V18" s="43"/>
      <x:c r="W18" s="43"/>
      <x:c r="X18" s="43"/>
      <x:c r="Y18" s="29"/>
      <x:c r="Z18" s="29"/>
      <x:c r="AA18" s="29"/>
      <x:c r="AB18" s="29"/>
      <x:c r="AC18" s="29"/>
      <x:c r="AD18" s="29"/>
      <x:c r="AE18" s="31" t="str">
        <x:f>IF(COUNTA(Y18:AC18)=0,"",COUNTIF(Y18:AC18,"Yes")/COUNTA(Y18:AC18))</x:f>
      </x:c>
    </x:row>
    <x:row r="19">
      <x:c r="A19" s="27"/>
      <x:c r="B19" s="27"/>
      <x:c r="C19" s="27"/>
      <x:c r="D19" s="30"/>
      <x:c r="E19" s="30"/>
      <x:c r="F19" s="27"/>
      <x:c r="G19" s="27"/>
      <x:c r="H19" s="27"/>
      <x:c r="I19" s="27"/>
      <x:c r="J19" s="27"/>
      <x:c r="K19" s="27"/>
      <x:c r="L19" s="27"/>
      <x:c r="M19" s="27"/>
      <x:c r="N19" s="29"/>
      <x:c r="O19" s="29"/>
      <x:c r="P19" s="29"/>
      <x:c r="Q19" s="29"/>
      <x:c r="R19" s="29"/>
      <x:c r="S19" s="29"/>
      <x:c r="T19" s="29"/>
      <x:c r="U19" s="29"/>
      <x:c r="V19" s="43"/>
      <x:c r="W19" s="43"/>
      <x:c r="X19" s="43"/>
      <x:c r="Y19" s="29"/>
      <x:c r="Z19" s="29"/>
      <x:c r="AA19" s="29"/>
      <x:c r="AB19" s="29"/>
      <x:c r="AC19" s="29"/>
      <x:c r="AD19" s="29"/>
      <x:c r="AE19" s="31" t="str">
        <x:f>IF(COUNTA(Y19:AC19)=0,"",COUNTIF(Y19:AC19,"Yes")/COUNTA(Y19:AC19))</x:f>
      </x:c>
    </x:row>
    <x:row r="20">
      <x:c r="A20" s="27"/>
      <x:c r="B20" s="27"/>
      <x:c r="C20" s="27"/>
      <x:c r="D20" s="30"/>
      <x:c r="E20" s="30"/>
      <x:c r="F20" s="27"/>
      <x:c r="G20" s="27"/>
      <x:c r="H20" s="27"/>
      <x:c r="I20" s="27"/>
      <x:c r="J20" s="27"/>
      <x:c r="K20" s="27"/>
      <x:c r="L20" s="27"/>
      <x:c r="M20" s="27"/>
      <x:c r="N20" s="29"/>
      <x:c r="O20" s="29"/>
      <x:c r="P20" s="29"/>
      <x:c r="Q20" s="29"/>
      <x:c r="R20" s="29"/>
      <x:c r="S20" s="29"/>
      <x:c r="T20" s="29"/>
      <x:c r="U20" s="29"/>
      <x:c r="V20" s="43"/>
      <x:c r="W20" s="43"/>
      <x:c r="X20" s="43"/>
      <x:c r="Y20" s="29"/>
      <x:c r="Z20" s="29"/>
      <x:c r="AA20" s="29"/>
      <x:c r="AB20" s="29"/>
      <x:c r="AC20" s="29"/>
      <x:c r="AD20" s="29"/>
      <x:c r="AE20" s="31" t="str">
        <x:f>IF(COUNTA(Y20:AC20)=0,"",COUNTIF(Y20:AC20,"Yes")/COUNTA(Y20:AC20))</x:f>
      </x:c>
    </x:row>
    <x:row r="21">
      <x:c r="A21" s="27"/>
      <x:c r="B21" s="27"/>
      <x:c r="C21" s="27"/>
      <x:c r="D21" s="30"/>
      <x:c r="E21" s="30"/>
      <x:c r="F21" s="27"/>
      <x:c r="G21" s="27"/>
      <x:c r="H21" s="27"/>
      <x:c r="I21" s="27"/>
      <x:c r="J21" s="27"/>
      <x:c r="K21" s="27"/>
      <x:c r="L21" s="27"/>
      <x:c r="M21" s="27"/>
      <x:c r="N21" s="29"/>
      <x:c r="O21" s="29"/>
      <x:c r="P21" s="29"/>
      <x:c r="Q21" s="29"/>
      <x:c r="R21" s="29"/>
      <x:c r="S21" s="29"/>
      <x:c r="T21" s="29"/>
      <x:c r="U21" s="29"/>
      <x:c r="V21" s="43"/>
      <x:c r="W21" s="43"/>
      <x:c r="X21" s="43"/>
      <x:c r="Y21" s="29"/>
      <x:c r="Z21" s="29"/>
      <x:c r="AA21" s="29"/>
      <x:c r="AB21" s="29"/>
      <x:c r="AC21" s="29"/>
      <x:c r="AD21" s="29"/>
      <x:c r="AE21" s="31" t="str">
        <x:f>IF(COUNTA(Y21:AC21)=0,"",COUNTIF(Y21:AC21,"Yes")/COUNTA(Y21:AC21))</x:f>
      </x:c>
    </x:row>
    <x:row r="22">
      <x:c r="A22" s="27"/>
      <x:c r="B22" s="27"/>
      <x:c r="C22" s="27"/>
      <x:c r="D22" s="30"/>
      <x:c r="E22" s="30"/>
      <x:c r="F22" s="27"/>
      <x:c r="G22" s="27"/>
      <x:c r="H22" s="27"/>
      <x:c r="I22" s="27"/>
      <x:c r="J22" s="27"/>
      <x:c r="K22" s="27"/>
      <x:c r="L22" s="27"/>
      <x:c r="M22" s="27"/>
      <x:c r="N22" s="29"/>
      <x:c r="O22" s="29"/>
      <x:c r="P22" s="29"/>
      <x:c r="Q22" s="29"/>
      <x:c r="R22" s="29"/>
      <x:c r="S22" s="29"/>
      <x:c r="T22" s="29"/>
      <x:c r="U22" s="29"/>
      <x:c r="V22" s="43"/>
      <x:c r="W22" s="43"/>
      <x:c r="X22" s="43"/>
      <x:c r="Y22" s="29"/>
      <x:c r="Z22" s="29"/>
      <x:c r="AA22" s="29"/>
      <x:c r="AB22" s="29"/>
      <x:c r="AC22" s="29"/>
      <x:c r="AD22" s="29"/>
      <x:c r="AE22" s="31" t="str">
        <x:f>IF(COUNTA(Y22:AC22)=0,"",COUNTIF(Y22:AC22,"Yes")/COUNTA(Y22:AC22))</x:f>
      </x:c>
    </x:row>
    <x:row r="23">
      <x:c r="A23" s="27"/>
      <x:c r="B23" s="27"/>
      <x:c r="C23" s="27"/>
      <x:c r="D23" s="30"/>
      <x:c r="E23" s="30"/>
      <x:c r="F23" s="27"/>
      <x:c r="G23" s="27"/>
      <x:c r="H23" s="27"/>
      <x:c r="I23" s="27"/>
      <x:c r="J23" s="27"/>
      <x:c r="K23" s="27"/>
      <x:c r="L23" s="27"/>
      <x:c r="M23" s="27"/>
      <x:c r="N23" s="29"/>
      <x:c r="O23" s="29"/>
      <x:c r="P23" s="29"/>
      <x:c r="Q23" s="29"/>
      <x:c r="R23" s="29"/>
      <x:c r="S23" s="29"/>
      <x:c r="T23" s="29"/>
      <x:c r="U23" s="29"/>
      <x:c r="V23" s="43"/>
      <x:c r="W23" s="43"/>
      <x:c r="X23" s="43"/>
      <x:c r="Y23" s="29"/>
      <x:c r="Z23" s="29"/>
      <x:c r="AA23" s="29"/>
      <x:c r="AB23" s="29"/>
      <x:c r="AC23" s="29"/>
      <x:c r="AD23" s="29"/>
      <x:c r="AE23" s="31" t="str">
        <x:f>IF(COUNTA(Y23:AC23)=0,"",COUNTIF(Y23:AC23,"Yes")/COUNTA(Y23:AC23))</x:f>
      </x:c>
    </x:row>
    <x:row r="24">
      <x:c r="A24" s="27"/>
      <x:c r="B24" s="27"/>
      <x:c r="C24" s="27"/>
      <x:c r="D24" s="30"/>
      <x:c r="E24" s="30"/>
      <x:c r="F24" s="27"/>
      <x:c r="G24" s="27"/>
      <x:c r="H24" s="27"/>
      <x:c r="I24" s="27"/>
      <x:c r="J24" s="27"/>
      <x:c r="K24" s="27"/>
      <x:c r="L24" s="27"/>
      <x:c r="M24" s="27"/>
      <x:c r="N24" s="29"/>
      <x:c r="O24" s="29"/>
      <x:c r="P24" s="29"/>
      <x:c r="Q24" s="29"/>
      <x:c r="R24" s="29"/>
      <x:c r="S24" s="29"/>
      <x:c r="T24" s="29"/>
      <x:c r="U24" s="29"/>
      <x:c r="V24" s="43"/>
      <x:c r="W24" s="43"/>
      <x:c r="X24" s="43"/>
      <x:c r="Y24" s="29"/>
      <x:c r="Z24" s="29"/>
      <x:c r="AA24" s="29"/>
      <x:c r="AB24" s="29"/>
      <x:c r="AC24" s="29"/>
      <x:c r="AD24" s="29"/>
      <x:c r="AE24" s="31" t="str">
        <x:f>IF(COUNTA(Y24:AC24)=0,"",COUNTIF(Y24:AC24,"Yes")/COUNTA(Y24:AC24))</x:f>
      </x:c>
    </x:row>
    <x:row r="25">
      <x:c r="A25" s="27"/>
      <x:c r="B25" s="27"/>
      <x:c r="C25" s="27"/>
      <x:c r="D25" s="30"/>
      <x:c r="E25" s="30"/>
      <x:c r="F25" s="27"/>
      <x:c r="G25" s="27"/>
      <x:c r="H25" s="27"/>
      <x:c r="I25" s="27"/>
      <x:c r="J25" s="27"/>
      <x:c r="K25" s="27"/>
      <x:c r="L25" s="27"/>
      <x:c r="M25" s="27"/>
      <x:c r="N25" s="29"/>
      <x:c r="O25" s="29"/>
      <x:c r="P25" s="29"/>
      <x:c r="Q25" s="29"/>
      <x:c r="R25" s="29"/>
      <x:c r="S25" s="29"/>
      <x:c r="T25" s="29"/>
      <x:c r="U25" s="29"/>
      <x:c r="V25" s="43"/>
      <x:c r="W25" s="43"/>
      <x:c r="X25" s="43"/>
      <x:c r="Y25" s="29"/>
      <x:c r="Z25" s="29"/>
      <x:c r="AA25" s="29"/>
      <x:c r="AB25" s="29"/>
      <x:c r="AC25" s="29"/>
      <x:c r="AD25" s="29"/>
      <x:c r="AE25" s="31" t="str">
        <x:f>IF(COUNTA(Y25:AC25)=0,"",COUNTIF(Y25:AC25,"Yes")/COUNTA(Y25:AC25))</x:f>
      </x:c>
    </x:row>
    <x:row r="26">
      <x:c r="A26" s="27"/>
      <x:c r="B26" s="27"/>
      <x:c r="C26" s="27"/>
      <x:c r="D26" s="30"/>
      <x:c r="E26" s="30"/>
      <x:c r="F26" s="27"/>
      <x:c r="G26" s="27"/>
      <x:c r="H26" s="27"/>
      <x:c r="I26" s="27"/>
      <x:c r="J26" s="27"/>
      <x:c r="K26" s="27"/>
      <x:c r="L26" s="27"/>
      <x:c r="M26" s="27"/>
      <x:c r="N26" s="29"/>
      <x:c r="O26" s="29"/>
      <x:c r="P26" s="29"/>
      <x:c r="Q26" s="29"/>
      <x:c r="R26" s="29"/>
      <x:c r="S26" s="29"/>
      <x:c r="T26" s="29"/>
      <x:c r="U26" s="29"/>
      <x:c r="V26" s="43"/>
      <x:c r="W26" s="43"/>
      <x:c r="X26" s="43"/>
      <x:c r="Y26" s="29"/>
      <x:c r="Z26" s="29"/>
      <x:c r="AA26" s="29"/>
      <x:c r="AB26" s="29"/>
      <x:c r="AC26" s="29"/>
      <x:c r="AD26" s="29"/>
      <x:c r="AE26" s="31" t="str">
        <x:f>IF(COUNTA(Y26:AC26)=0,"",COUNTIF(Y26:AC26,"Yes")/COUNTA(Y26:AC26))</x:f>
      </x:c>
    </x:row>
    <x:row r="27">
      <x:c r="A27" s="27"/>
      <x:c r="B27" s="27"/>
      <x:c r="C27" s="27"/>
      <x:c r="D27" s="30"/>
      <x:c r="E27" s="30"/>
      <x:c r="F27" s="27"/>
      <x:c r="G27" s="27"/>
      <x:c r="H27" s="27"/>
      <x:c r="I27" s="27"/>
      <x:c r="J27" s="27"/>
      <x:c r="K27" s="27"/>
      <x:c r="L27" s="27"/>
      <x:c r="M27" s="27"/>
      <x:c r="N27" s="29"/>
      <x:c r="O27" s="29"/>
      <x:c r="P27" s="29"/>
      <x:c r="Q27" s="29"/>
      <x:c r="R27" s="29"/>
      <x:c r="S27" s="29"/>
      <x:c r="T27" s="29"/>
      <x:c r="U27" s="29"/>
      <x:c r="V27" s="43"/>
      <x:c r="W27" s="43"/>
      <x:c r="X27" s="43"/>
      <x:c r="Y27" s="29"/>
      <x:c r="Z27" s="29"/>
      <x:c r="AA27" s="29"/>
      <x:c r="AB27" s="29"/>
      <x:c r="AC27" s="29"/>
      <x:c r="AD27" s="29"/>
      <x:c r="AE27" s="31" t="str">
        <x:f>IF(COUNTA(Y27:AC27)=0,"",COUNTIF(Y27:AC27,"Yes")/COUNTA(Y27:AC27))</x:f>
      </x:c>
    </x:row>
    <x:row r="28">
      <x:c r="A28" s="27"/>
      <x:c r="B28" s="27"/>
      <x:c r="C28" s="27"/>
      <x:c r="D28" s="30"/>
      <x:c r="E28" s="30"/>
      <x:c r="F28" s="27"/>
      <x:c r="G28" s="27"/>
      <x:c r="H28" s="27"/>
      <x:c r="I28" s="27"/>
      <x:c r="J28" s="27"/>
      <x:c r="K28" s="27"/>
      <x:c r="L28" s="27"/>
      <x:c r="M28" s="27"/>
      <x:c r="N28" s="29"/>
      <x:c r="O28" s="29"/>
      <x:c r="P28" s="29"/>
      <x:c r="Q28" s="29"/>
      <x:c r="R28" s="29"/>
      <x:c r="S28" s="29"/>
      <x:c r="T28" s="29"/>
      <x:c r="U28" s="29"/>
      <x:c r="V28" s="43"/>
      <x:c r="W28" s="43"/>
      <x:c r="X28" s="43"/>
      <x:c r="Y28" s="29"/>
      <x:c r="Z28" s="29"/>
      <x:c r="AA28" s="29"/>
      <x:c r="AB28" s="29"/>
      <x:c r="AC28" s="29"/>
      <x:c r="AD28" s="29"/>
      <x:c r="AE28" s="31" t="str">
        <x:f>IF(COUNTA(Y28:AC28)=0,"",COUNTIF(Y28:AC28,"Yes")/COUNTA(Y28:AC28))</x:f>
      </x:c>
    </x:row>
    <x:row r="29">
      <x:c r="A29" s="27"/>
      <x:c r="B29" s="27"/>
      <x:c r="C29" s="27"/>
      <x:c r="D29" s="30"/>
      <x:c r="E29" s="30"/>
      <x:c r="F29" s="27"/>
      <x:c r="G29" s="27"/>
      <x:c r="H29" s="27"/>
      <x:c r="I29" s="27"/>
      <x:c r="J29" s="27"/>
      <x:c r="K29" s="27"/>
      <x:c r="L29" s="27"/>
      <x:c r="M29" s="27"/>
      <x:c r="N29" s="29"/>
      <x:c r="O29" s="29"/>
      <x:c r="P29" s="29"/>
      <x:c r="Q29" s="29"/>
      <x:c r="R29" s="29"/>
      <x:c r="S29" s="29"/>
      <x:c r="T29" s="29"/>
      <x:c r="U29" s="29"/>
      <x:c r="V29" s="43"/>
      <x:c r="W29" s="43"/>
      <x:c r="X29" s="43"/>
      <x:c r="Y29" s="29"/>
      <x:c r="Z29" s="29"/>
      <x:c r="AA29" s="29"/>
      <x:c r="AB29" s="29"/>
      <x:c r="AC29" s="29"/>
      <x:c r="AD29" s="29"/>
      <x:c r="AE29" s="31" t="str">
        <x:f>IF(COUNTA(Y29:AC29)=0,"",COUNTIF(Y29:AC29,"Yes")/COUNTA(Y29:AC29))</x:f>
      </x:c>
    </x:row>
    <x:row r="30">
      <x:c r="A30" s="27"/>
      <x:c r="B30" s="27"/>
      <x:c r="C30" s="27"/>
      <x:c r="D30" s="30"/>
      <x:c r="E30" s="30"/>
      <x:c r="F30" s="27"/>
      <x:c r="G30" s="27"/>
      <x:c r="H30" s="27"/>
      <x:c r="I30" s="27"/>
      <x:c r="J30" s="27"/>
      <x:c r="K30" s="27"/>
      <x:c r="L30" s="27"/>
      <x:c r="M30" s="27"/>
      <x:c r="N30" s="29"/>
      <x:c r="O30" s="29"/>
      <x:c r="P30" s="29"/>
      <x:c r="Q30" s="29"/>
      <x:c r="R30" s="29"/>
      <x:c r="S30" s="29"/>
      <x:c r="T30" s="29"/>
      <x:c r="U30" s="29"/>
      <x:c r="V30" s="43"/>
      <x:c r="W30" s="43"/>
      <x:c r="X30" s="43"/>
      <x:c r="Y30" s="29"/>
      <x:c r="Z30" s="29"/>
      <x:c r="AA30" s="29"/>
      <x:c r="AB30" s="29"/>
      <x:c r="AC30" s="29"/>
      <x:c r="AD30" s="29"/>
      <x:c r="AE30" s="31" t="str">
        <x:f>IF(COUNTA(Y30:AC30)=0,"",COUNTIF(Y30:AC30,"Yes")/COUNTA(Y30:AC30))</x:f>
      </x:c>
    </x:row>
    <x:row r="31">
      <x:c r="A31" s="27"/>
      <x:c r="B31" s="27"/>
      <x:c r="C31" s="27"/>
      <x:c r="D31" s="30"/>
      <x:c r="E31" s="30"/>
      <x:c r="F31" s="27"/>
      <x:c r="G31" s="27"/>
      <x:c r="H31" s="27"/>
      <x:c r="I31" s="27"/>
      <x:c r="J31" s="27"/>
      <x:c r="K31" s="27"/>
      <x:c r="L31" s="27"/>
      <x:c r="M31" s="27"/>
      <x:c r="N31" s="29"/>
      <x:c r="O31" s="29"/>
      <x:c r="P31" s="29"/>
      <x:c r="Q31" s="29"/>
      <x:c r="R31" s="29"/>
      <x:c r="S31" s="29"/>
      <x:c r="T31" s="29"/>
      <x:c r="U31" s="29"/>
      <x:c r="V31" s="43"/>
      <x:c r="W31" s="43"/>
      <x:c r="X31" s="43"/>
      <x:c r="Y31" s="29"/>
      <x:c r="Z31" s="29"/>
      <x:c r="AA31" s="29"/>
      <x:c r="AB31" s="29"/>
      <x:c r="AC31" s="29"/>
      <x:c r="AD31" s="29"/>
      <x:c r="AE31" s="31" t="str">
        <x:f>IF(COUNTA(Y31:AC31)=0,"",COUNTIF(Y31:AC31,"Yes")/COUNTA(Y31:AC31))</x:f>
      </x:c>
    </x:row>
    <x:row r="32">
      <x:c r="A32" s="27"/>
      <x:c r="B32" s="27"/>
      <x:c r="C32" s="27"/>
      <x:c r="D32" s="30"/>
      <x:c r="E32" s="30"/>
      <x:c r="F32" s="27"/>
      <x:c r="G32" s="27"/>
      <x:c r="H32" s="27"/>
      <x:c r="I32" s="27"/>
      <x:c r="J32" s="27"/>
      <x:c r="K32" s="27"/>
      <x:c r="L32" s="27"/>
      <x:c r="M32" s="27"/>
      <x:c r="N32" s="29"/>
      <x:c r="O32" s="29"/>
      <x:c r="P32" s="29"/>
      <x:c r="Q32" s="29"/>
      <x:c r="R32" s="29"/>
      <x:c r="S32" s="29"/>
      <x:c r="T32" s="29"/>
      <x:c r="U32" s="29"/>
      <x:c r="V32" s="43"/>
      <x:c r="W32" s="43"/>
      <x:c r="X32" s="43"/>
      <x:c r="Y32" s="29"/>
      <x:c r="Z32" s="29"/>
      <x:c r="AA32" s="29"/>
      <x:c r="AB32" s="29"/>
      <x:c r="AC32" s="29"/>
      <x:c r="AD32" s="29"/>
      <x:c r="AE32" s="31" t="str">
        <x:f>IF(COUNTA(Y32:AC32)=0,"",COUNTIF(Y32:AC32,"Yes")/COUNTA(Y32:AC32))</x:f>
      </x:c>
    </x:row>
    <x:row r="33">
      <x:c r="A33" s="27"/>
      <x:c r="B33" s="27"/>
      <x:c r="C33" s="27"/>
      <x:c r="D33" s="30"/>
      <x:c r="E33" s="30"/>
      <x:c r="F33" s="27"/>
      <x:c r="G33" s="27"/>
      <x:c r="H33" s="27"/>
      <x:c r="I33" s="27"/>
      <x:c r="J33" s="27"/>
      <x:c r="K33" s="27"/>
      <x:c r="L33" s="27"/>
      <x:c r="M33" s="27"/>
      <x:c r="N33" s="29"/>
      <x:c r="O33" s="29"/>
      <x:c r="P33" s="29"/>
      <x:c r="Q33" s="29"/>
      <x:c r="R33" s="29"/>
      <x:c r="S33" s="29"/>
      <x:c r="T33" s="29"/>
      <x:c r="U33" s="29"/>
      <x:c r="V33" s="43"/>
      <x:c r="W33" s="43"/>
      <x:c r="X33" s="43"/>
      <x:c r="Y33" s="29"/>
      <x:c r="Z33" s="29"/>
      <x:c r="AA33" s="29"/>
      <x:c r="AB33" s="29"/>
      <x:c r="AC33" s="29"/>
      <x:c r="AD33" s="29"/>
      <x:c r="AE33" s="31" t="str">
        <x:f>IF(COUNTA(Y33:AC33)=0,"",COUNTIF(Y33:AC33,"Yes")/COUNTA(Y33:AC33))</x:f>
      </x:c>
    </x:row>
    <x:row r="34">
      <x:c r="A34" s="27"/>
      <x:c r="B34" s="27"/>
      <x:c r="C34" s="27"/>
      <x:c r="D34" s="30"/>
      <x:c r="E34" s="30"/>
      <x:c r="F34" s="27"/>
      <x:c r="G34" s="27"/>
      <x:c r="H34" s="27"/>
      <x:c r="I34" s="27"/>
      <x:c r="J34" s="27"/>
      <x:c r="K34" s="27"/>
      <x:c r="L34" s="27"/>
      <x:c r="M34" s="27"/>
      <x:c r="N34" s="29"/>
      <x:c r="O34" s="29"/>
      <x:c r="P34" s="29"/>
      <x:c r="Q34" s="29"/>
      <x:c r="R34" s="29"/>
      <x:c r="S34" s="29"/>
      <x:c r="T34" s="29"/>
      <x:c r="U34" s="29"/>
      <x:c r="V34" s="43"/>
      <x:c r="W34" s="43"/>
      <x:c r="X34" s="43"/>
      <x:c r="Y34" s="29"/>
      <x:c r="Z34" s="29"/>
      <x:c r="AA34" s="29"/>
      <x:c r="AB34" s="29"/>
      <x:c r="AC34" s="29"/>
      <x:c r="AD34" s="29"/>
      <x:c r="AE34" s="31" t="str">
        <x:f>IF(COUNTA(Y34:AC34)=0,"",COUNTIF(Y34:AC34,"Yes")/COUNTA(Y34:AC34))</x:f>
      </x:c>
    </x:row>
    <x:row r="35">
      <x:c r="A35" s="27"/>
      <x:c r="B35" s="27"/>
      <x:c r="C35" s="27"/>
      <x:c r="D35" s="30"/>
      <x:c r="E35" s="30"/>
      <x:c r="F35" s="27"/>
      <x:c r="G35" s="27"/>
      <x:c r="H35" s="27"/>
      <x:c r="I35" s="27"/>
      <x:c r="J35" s="27"/>
      <x:c r="K35" s="27"/>
      <x:c r="L35" s="27"/>
      <x:c r="M35" s="27"/>
      <x:c r="N35" s="29"/>
      <x:c r="O35" s="29"/>
      <x:c r="P35" s="29"/>
      <x:c r="Q35" s="29"/>
      <x:c r="R35" s="29"/>
      <x:c r="S35" s="29"/>
      <x:c r="T35" s="29"/>
      <x:c r="U35" s="29"/>
      <x:c r="V35" s="43"/>
      <x:c r="W35" s="43"/>
      <x:c r="X35" s="43"/>
      <x:c r="Y35" s="29"/>
      <x:c r="Z35" s="29"/>
      <x:c r="AA35" s="29"/>
      <x:c r="AB35" s="29"/>
      <x:c r="AC35" s="29"/>
      <x:c r="AD35" s="29"/>
      <x:c r="AE35" s="31" t="str">
        <x:f>IF(COUNTA(Y35:AC35)=0,"",COUNTIF(Y35:AC35,"Yes")/COUNTA(Y35:AC35))</x:f>
      </x:c>
    </x:row>
    <x:row r="36">
      <x:c r="A36" s="27"/>
      <x:c r="B36" s="27"/>
      <x:c r="C36" s="27"/>
      <x:c r="D36" s="30"/>
      <x:c r="E36" s="30"/>
      <x:c r="F36" s="27"/>
      <x:c r="G36" s="27"/>
      <x:c r="H36" s="27"/>
      <x:c r="I36" s="27"/>
      <x:c r="J36" s="27"/>
      <x:c r="K36" s="27"/>
      <x:c r="L36" s="27"/>
      <x:c r="M36" s="27"/>
      <x:c r="N36" s="29"/>
      <x:c r="O36" s="29"/>
      <x:c r="P36" s="29"/>
      <x:c r="Q36" s="29"/>
      <x:c r="R36" s="29"/>
      <x:c r="S36" s="29"/>
      <x:c r="T36" s="29"/>
      <x:c r="U36" s="29"/>
      <x:c r="V36" s="43"/>
      <x:c r="W36" s="43"/>
      <x:c r="X36" s="43"/>
      <x:c r="Y36" s="29"/>
      <x:c r="Z36" s="29"/>
      <x:c r="AA36" s="29"/>
      <x:c r="AB36" s="29"/>
      <x:c r="AC36" s="29"/>
      <x:c r="AD36" s="29"/>
      <x:c r="AE36" s="31" t="str">
        <x:f>IF(COUNTA(Y36:AC36)=0,"",COUNTIF(Y36:AC36,"Yes")/COUNTA(Y36:AC36))</x:f>
      </x:c>
    </x:row>
    <x:row r="37">
      <x:c r="A37" s="27"/>
      <x:c r="B37" s="27"/>
      <x:c r="C37" s="27"/>
      <x:c r="D37" s="30"/>
      <x:c r="E37" s="30"/>
      <x:c r="F37" s="27"/>
      <x:c r="G37" s="27"/>
      <x:c r="H37" s="27"/>
      <x:c r="I37" s="27"/>
      <x:c r="J37" s="27"/>
      <x:c r="K37" s="27"/>
      <x:c r="L37" s="27"/>
      <x:c r="M37" s="27"/>
      <x:c r="N37" s="29"/>
      <x:c r="O37" s="29"/>
      <x:c r="P37" s="29"/>
      <x:c r="Q37" s="29"/>
      <x:c r="R37" s="29"/>
      <x:c r="S37" s="29"/>
      <x:c r="T37" s="29"/>
      <x:c r="U37" s="29"/>
      <x:c r="V37" s="43"/>
      <x:c r="W37" s="43"/>
      <x:c r="X37" s="43"/>
      <x:c r="Y37" s="29"/>
      <x:c r="Z37" s="29"/>
      <x:c r="AA37" s="29"/>
      <x:c r="AB37" s="29"/>
      <x:c r="AC37" s="29"/>
      <x:c r="AD37" s="29"/>
      <x:c r="AE37" s="31" t="str">
        <x:f>IF(COUNTA(Y37:AC37)=0,"",COUNTIF(Y37:AC37,"Yes")/COUNTA(Y37:AC37))</x:f>
      </x:c>
    </x:row>
    <x:row r="38">
      <x:c r="A38" s="27"/>
      <x:c r="B38" s="27"/>
      <x:c r="C38" s="27"/>
      <x:c r="D38" s="30"/>
      <x:c r="E38" s="30"/>
      <x:c r="F38" s="27"/>
      <x:c r="G38" s="27"/>
      <x:c r="H38" s="27"/>
      <x:c r="I38" s="27"/>
      <x:c r="J38" s="27"/>
      <x:c r="K38" s="27"/>
      <x:c r="L38" s="27"/>
      <x:c r="M38" s="27"/>
      <x:c r="N38" s="29"/>
      <x:c r="O38" s="29"/>
      <x:c r="P38" s="29"/>
      <x:c r="Q38" s="29"/>
      <x:c r="R38" s="29"/>
      <x:c r="S38" s="29"/>
      <x:c r="T38" s="29"/>
      <x:c r="U38" s="29"/>
      <x:c r="V38" s="43"/>
      <x:c r="W38" s="43"/>
      <x:c r="X38" s="43"/>
      <x:c r="Y38" s="29"/>
      <x:c r="Z38" s="29"/>
      <x:c r="AA38" s="29"/>
      <x:c r="AB38" s="29"/>
      <x:c r="AC38" s="29"/>
      <x:c r="AD38" s="29"/>
      <x:c r="AE38" s="31" t="str">
        <x:f>IF(COUNTA(Y38:AC38)=0,"",COUNTIF(Y38:AC38,"Yes")/COUNTA(Y38:AC38))</x:f>
      </x:c>
    </x:row>
    <x:row r="39">
      <x:c r="A39" s="27"/>
      <x:c r="B39" s="27"/>
      <x:c r="C39" s="27"/>
      <x:c r="D39" s="30"/>
      <x:c r="E39" s="30"/>
      <x:c r="F39" s="27"/>
      <x:c r="G39" s="27"/>
      <x:c r="H39" s="27"/>
      <x:c r="I39" s="27"/>
      <x:c r="J39" s="27"/>
      <x:c r="K39" s="27"/>
      <x:c r="L39" s="27"/>
      <x:c r="M39" s="27"/>
      <x:c r="N39" s="29"/>
      <x:c r="O39" s="29"/>
      <x:c r="P39" s="29"/>
      <x:c r="Q39" s="29"/>
      <x:c r="R39" s="29"/>
      <x:c r="S39" s="29"/>
      <x:c r="T39" s="29"/>
      <x:c r="U39" s="29"/>
      <x:c r="V39" s="43"/>
      <x:c r="W39" s="43"/>
      <x:c r="X39" s="43"/>
      <x:c r="Y39" s="29"/>
      <x:c r="Z39" s="29"/>
      <x:c r="AA39" s="29"/>
      <x:c r="AB39" s="29"/>
      <x:c r="AC39" s="29"/>
      <x:c r="AD39" s="29"/>
      <x:c r="AE39" s="31" t="str">
        <x:f>IF(COUNTA(Y39:AC39)=0,"",COUNTIF(Y39:AC39,"Yes")/COUNTA(Y39:AC39))</x:f>
      </x:c>
    </x:row>
    <x:row r="40">
      <x:c r="A40" s="27"/>
      <x:c r="B40" s="27"/>
      <x:c r="C40" s="27"/>
      <x:c r="D40" s="30"/>
      <x:c r="E40" s="30"/>
      <x:c r="F40" s="27"/>
      <x:c r="G40" s="27"/>
      <x:c r="H40" s="27"/>
      <x:c r="I40" s="27"/>
      <x:c r="J40" s="27"/>
      <x:c r="K40" s="27"/>
      <x:c r="L40" s="27"/>
      <x:c r="M40" s="27"/>
      <x:c r="N40" s="29"/>
      <x:c r="O40" s="29"/>
      <x:c r="P40" s="29"/>
      <x:c r="Q40" s="29"/>
      <x:c r="R40" s="29"/>
      <x:c r="S40" s="29"/>
      <x:c r="T40" s="29"/>
      <x:c r="U40" s="29"/>
      <x:c r="V40" s="43"/>
      <x:c r="W40" s="43"/>
      <x:c r="X40" s="43"/>
      <x:c r="Y40" s="29"/>
      <x:c r="Z40" s="29"/>
      <x:c r="AA40" s="29"/>
      <x:c r="AB40" s="29"/>
      <x:c r="AC40" s="29"/>
      <x:c r="AD40" s="29"/>
      <x:c r="AE40" s="31" t="str">
        <x:f>IF(COUNTA(Y40:AC40)=0,"",COUNTIF(Y40:AC40,"Yes")/COUNTA(Y40:AC40))</x:f>
      </x:c>
    </x:row>
    <x:row r="41">
      <x:c r="A41" s="27"/>
      <x:c r="B41" s="27"/>
      <x:c r="C41" s="27"/>
      <x:c r="D41" s="30"/>
      <x:c r="E41" s="30"/>
      <x:c r="F41" s="27"/>
      <x:c r="G41" s="27"/>
      <x:c r="H41" s="27"/>
      <x:c r="I41" s="27"/>
      <x:c r="J41" s="27"/>
      <x:c r="K41" s="27"/>
      <x:c r="L41" s="27"/>
      <x:c r="M41" s="27"/>
      <x:c r="N41" s="29"/>
      <x:c r="O41" s="29"/>
      <x:c r="P41" s="29"/>
      <x:c r="Q41" s="29"/>
      <x:c r="R41" s="29"/>
      <x:c r="S41" s="29"/>
      <x:c r="T41" s="29"/>
      <x:c r="U41" s="29"/>
      <x:c r="V41" s="43"/>
      <x:c r="W41" s="43"/>
      <x:c r="X41" s="43"/>
      <x:c r="Y41" s="29"/>
      <x:c r="Z41" s="29"/>
      <x:c r="AA41" s="29"/>
      <x:c r="AB41" s="29"/>
      <x:c r="AC41" s="29"/>
      <x:c r="AD41" s="29"/>
      <x:c r="AE41" s="31" t="str">
        <x:f>IF(COUNTA(Y41:AC41)=0,"",COUNTIF(Y41:AC41,"Yes")/COUNTA(Y41:AC41))</x:f>
      </x:c>
    </x:row>
    <x:row r="42">
      <x:c r="A42" s="27"/>
      <x:c r="B42" s="27"/>
      <x:c r="C42" s="27"/>
      <x:c r="D42" s="30"/>
      <x:c r="E42" s="30"/>
      <x:c r="F42" s="27"/>
      <x:c r="G42" s="27"/>
      <x:c r="H42" s="27"/>
      <x:c r="I42" s="27"/>
      <x:c r="J42" s="27"/>
      <x:c r="K42" s="27"/>
      <x:c r="L42" s="27"/>
      <x:c r="M42" s="27"/>
      <x:c r="N42" s="29"/>
      <x:c r="O42" s="29"/>
      <x:c r="P42" s="29"/>
      <x:c r="Q42" s="29"/>
      <x:c r="R42" s="29"/>
      <x:c r="S42" s="29"/>
      <x:c r="T42" s="29"/>
      <x:c r="U42" s="29"/>
      <x:c r="V42" s="43"/>
      <x:c r="W42" s="43"/>
      <x:c r="X42" s="43"/>
      <x:c r="Y42" s="29"/>
      <x:c r="Z42" s="29"/>
      <x:c r="AA42" s="29"/>
      <x:c r="AB42" s="29"/>
      <x:c r="AC42" s="29"/>
      <x:c r="AD42" s="29"/>
      <x:c r="AE42" s="31" t="str">
        <x:f>IF(COUNTA(Y42:AC42)=0,"",COUNTIF(Y42:AC42,"Yes")/COUNTA(Y42:AC42))</x:f>
      </x:c>
    </x:row>
    <x:row r="43">
      <x:c r="A43" s="27"/>
      <x:c r="B43" s="27"/>
      <x:c r="C43" s="27"/>
      <x:c r="D43" s="30"/>
      <x:c r="E43" s="30"/>
      <x:c r="F43" s="27"/>
      <x:c r="G43" s="27"/>
      <x:c r="H43" s="27"/>
      <x:c r="I43" s="27"/>
      <x:c r="J43" s="27"/>
      <x:c r="K43" s="27"/>
      <x:c r="L43" s="27"/>
      <x:c r="M43" s="27"/>
      <x:c r="N43" s="29"/>
      <x:c r="O43" s="29"/>
      <x:c r="P43" s="29"/>
      <x:c r="Q43" s="29"/>
      <x:c r="R43" s="29"/>
      <x:c r="S43" s="29"/>
      <x:c r="T43" s="29"/>
      <x:c r="U43" s="29"/>
      <x:c r="V43" s="43"/>
      <x:c r="W43" s="43"/>
      <x:c r="X43" s="43"/>
      <x:c r="Y43" s="29"/>
      <x:c r="Z43" s="29"/>
      <x:c r="AA43" s="29"/>
      <x:c r="AB43" s="29"/>
      <x:c r="AC43" s="29"/>
      <x:c r="AD43" s="29"/>
      <x:c r="AE43" s="31" t="str">
        <x:f>IF(COUNTA(Y43:AC43)=0,"",COUNTIF(Y43:AC43,"Yes")/COUNTA(Y43:AC43))</x:f>
      </x:c>
    </x:row>
    <x:row r="44">
      <x:c r="A44" s="27"/>
      <x:c r="B44" s="27"/>
      <x:c r="C44" s="27"/>
      <x:c r="D44" s="30"/>
      <x:c r="E44" s="30"/>
      <x:c r="F44" s="27"/>
      <x:c r="G44" s="27"/>
      <x:c r="H44" s="27"/>
      <x:c r="I44" s="27"/>
      <x:c r="J44" s="27"/>
      <x:c r="K44" s="27"/>
      <x:c r="L44" s="27"/>
      <x:c r="M44" s="27"/>
      <x:c r="N44" s="29"/>
      <x:c r="O44" s="29"/>
      <x:c r="P44" s="29"/>
      <x:c r="Q44" s="29"/>
      <x:c r="R44" s="29"/>
      <x:c r="S44" s="29"/>
      <x:c r="T44" s="29"/>
      <x:c r="U44" s="29"/>
      <x:c r="V44" s="43"/>
      <x:c r="W44" s="43"/>
      <x:c r="X44" s="43"/>
      <x:c r="Y44" s="29"/>
      <x:c r="Z44" s="29"/>
      <x:c r="AA44" s="29"/>
      <x:c r="AB44" s="29"/>
      <x:c r="AC44" s="29"/>
      <x:c r="AD44" s="29"/>
      <x:c r="AE44" s="31" t="str">
        <x:f>IF(COUNTA(Y44:AC44)=0,"",COUNTIF(Y44:AC44,"Yes")/COUNTA(Y44:AC44))</x:f>
      </x:c>
    </x:row>
    <x:row r="45">
      <x:c r="A45" s="27"/>
      <x:c r="B45" s="27"/>
      <x:c r="C45" s="27"/>
      <x:c r="D45" s="30"/>
      <x:c r="E45" s="30"/>
      <x:c r="F45" s="27"/>
      <x:c r="G45" s="27"/>
      <x:c r="H45" s="27"/>
      <x:c r="I45" s="27"/>
      <x:c r="J45" s="27"/>
      <x:c r="K45" s="27"/>
      <x:c r="L45" s="27"/>
      <x:c r="M45" s="27"/>
      <x:c r="N45" s="29"/>
      <x:c r="O45" s="29"/>
      <x:c r="P45" s="29"/>
      <x:c r="Q45" s="29"/>
      <x:c r="R45" s="29"/>
      <x:c r="S45" s="29"/>
      <x:c r="T45" s="29"/>
      <x:c r="U45" s="29"/>
      <x:c r="V45" s="43"/>
      <x:c r="W45" s="43"/>
      <x:c r="X45" s="43"/>
      <x:c r="Y45" s="29"/>
      <x:c r="Z45" s="29"/>
      <x:c r="AA45" s="29"/>
      <x:c r="AB45" s="29"/>
      <x:c r="AC45" s="29"/>
      <x:c r="AD45" s="29"/>
      <x:c r="AE45" s="31" t="str">
        <x:f>IF(COUNTA(Y45:AC45)=0,"",COUNTIF(Y45:AC45,"Yes")/COUNTA(Y45:AC45))</x:f>
      </x:c>
    </x:row>
    <x:row r="46">
      <x:c r="A46" s="27"/>
      <x:c r="B46" s="27"/>
      <x:c r="C46" s="27"/>
      <x:c r="D46" s="30"/>
      <x:c r="E46" s="30"/>
      <x:c r="F46" s="27"/>
      <x:c r="G46" s="27"/>
      <x:c r="H46" s="27"/>
      <x:c r="I46" s="27"/>
      <x:c r="J46" s="27"/>
      <x:c r="K46" s="27"/>
      <x:c r="L46" s="27"/>
      <x:c r="M46" s="27"/>
      <x:c r="N46" s="29"/>
      <x:c r="O46" s="29"/>
      <x:c r="P46" s="29"/>
      <x:c r="Q46" s="29"/>
      <x:c r="R46" s="29"/>
      <x:c r="S46" s="29"/>
      <x:c r="T46" s="29"/>
      <x:c r="U46" s="29"/>
      <x:c r="V46" s="43"/>
      <x:c r="W46" s="43"/>
      <x:c r="X46" s="43"/>
      <x:c r="Y46" s="29"/>
      <x:c r="Z46" s="29"/>
      <x:c r="AA46" s="29"/>
      <x:c r="AB46" s="29"/>
      <x:c r="AC46" s="29"/>
      <x:c r="AD46" s="29"/>
      <x:c r="AE46" s="31" t="str">
        <x:f>IF(COUNTA(Y46:AC46)=0,"",COUNTIF(Y46:AC46,"Yes")/COUNTA(Y46:AC46))</x:f>
      </x:c>
    </x:row>
    <x:row r="47">
      <x:c r="A47" s="27"/>
      <x:c r="B47" s="27"/>
      <x:c r="C47" s="27"/>
      <x:c r="D47" s="30"/>
      <x:c r="E47" s="30"/>
      <x:c r="F47" s="27"/>
      <x:c r="G47" s="27"/>
      <x:c r="H47" s="27"/>
      <x:c r="I47" s="27"/>
      <x:c r="J47" s="27"/>
      <x:c r="K47" s="27"/>
      <x:c r="L47" s="27"/>
      <x:c r="M47" s="27"/>
      <x:c r="N47" s="29"/>
      <x:c r="O47" s="29"/>
      <x:c r="P47" s="29"/>
      <x:c r="Q47" s="29"/>
      <x:c r="R47" s="29"/>
      <x:c r="S47" s="29"/>
      <x:c r="T47" s="29"/>
      <x:c r="U47" s="29"/>
      <x:c r="V47" s="43"/>
      <x:c r="W47" s="43"/>
      <x:c r="X47" s="43"/>
      <x:c r="Y47" s="29"/>
      <x:c r="Z47" s="29"/>
      <x:c r="AA47" s="29"/>
      <x:c r="AB47" s="29"/>
      <x:c r="AC47" s="29"/>
      <x:c r="AD47" s="29"/>
      <x:c r="AE47" s="31" t="str">
        <x:f>IF(COUNTA(Y47:AC47)=0,"",COUNTIF(Y47:AC47,"Yes")/COUNTA(Y47:AC47))</x:f>
      </x:c>
    </x:row>
    <x:row r="48">
      <x:c r="A48" s="27"/>
      <x:c r="B48" s="27"/>
      <x:c r="C48" s="27"/>
      <x:c r="D48" s="30"/>
      <x:c r="E48" s="30"/>
      <x:c r="F48" s="27"/>
      <x:c r="G48" s="27"/>
      <x:c r="H48" s="27"/>
      <x:c r="I48" s="27"/>
      <x:c r="J48" s="27"/>
      <x:c r="K48" s="27"/>
      <x:c r="L48" s="27"/>
      <x:c r="M48" s="27"/>
      <x:c r="N48" s="29"/>
      <x:c r="O48" s="29"/>
      <x:c r="P48" s="29"/>
      <x:c r="Q48" s="29"/>
      <x:c r="R48" s="29"/>
      <x:c r="S48" s="29"/>
      <x:c r="T48" s="29"/>
      <x:c r="U48" s="29"/>
      <x:c r="V48" s="43"/>
      <x:c r="W48" s="43"/>
      <x:c r="X48" s="43"/>
      <x:c r="Y48" s="29"/>
      <x:c r="Z48" s="29"/>
      <x:c r="AA48" s="29"/>
      <x:c r="AB48" s="29"/>
      <x:c r="AC48" s="29"/>
      <x:c r="AD48" s="29"/>
      <x:c r="AE48" s="31" t="str">
        <x:f>IF(COUNTA(Y48:AC48)=0,"",COUNTIF(Y48:AC48,"Yes")/COUNTA(Y48:AC48))</x:f>
      </x:c>
    </x:row>
    <x:row r="49">
      <x:c r="A49" s="27"/>
      <x:c r="B49" s="27"/>
      <x:c r="C49" s="27"/>
      <x:c r="D49" s="30"/>
      <x:c r="E49" s="30"/>
      <x:c r="F49" s="27"/>
      <x:c r="G49" s="27"/>
      <x:c r="H49" s="27"/>
      <x:c r="I49" s="27"/>
      <x:c r="J49" s="27"/>
      <x:c r="K49" s="27"/>
      <x:c r="L49" s="27"/>
      <x:c r="M49" s="27"/>
      <x:c r="N49" s="29"/>
      <x:c r="O49" s="29"/>
      <x:c r="P49" s="29"/>
      <x:c r="Q49" s="29"/>
      <x:c r="R49" s="29"/>
      <x:c r="S49" s="29"/>
      <x:c r="T49" s="29"/>
      <x:c r="U49" s="29"/>
      <x:c r="V49" s="43"/>
      <x:c r="W49" s="43"/>
      <x:c r="X49" s="43"/>
      <x:c r="Y49" s="29"/>
      <x:c r="Z49" s="29"/>
      <x:c r="AA49" s="29"/>
      <x:c r="AB49" s="29"/>
      <x:c r="AC49" s="29"/>
      <x:c r="AD49" s="29"/>
      <x:c r="AE49" s="31" t="str">
        <x:f>IF(COUNTA(Y49:AC49)=0,"",COUNTIF(Y49:AC49,"Yes")/COUNTA(Y49:AC49))</x:f>
      </x:c>
    </x:row>
    <x:row r="50">
      <x:c r="A50" s="27"/>
      <x:c r="B50" s="27"/>
      <x:c r="C50" s="27"/>
      <x:c r="D50" s="30"/>
      <x:c r="E50" s="30"/>
      <x:c r="F50" s="27"/>
      <x:c r="G50" s="27"/>
      <x:c r="H50" s="27"/>
      <x:c r="I50" s="27"/>
      <x:c r="J50" s="27"/>
      <x:c r="K50" s="27"/>
      <x:c r="L50" s="27"/>
      <x:c r="M50" s="27"/>
      <x:c r="N50" s="29"/>
      <x:c r="O50" s="29"/>
      <x:c r="P50" s="29"/>
      <x:c r="Q50" s="29"/>
      <x:c r="R50" s="29"/>
      <x:c r="S50" s="29"/>
      <x:c r="T50" s="29"/>
      <x:c r="U50" s="29"/>
      <x:c r="V50" s="43"/>
      <x:c r="W50" s="43"/>
      <x:c r="X50" s="43"/>
      <x:c r="Y50" s="29"/>
      <x:c r="Z50" s="29"/>
      <x:c r="AA50" s="29"/>
      <x:c r="AB50" s="29"/>
      <x:c r="AC50" s="29"/>
      <x:c r="AD50" s="29"/>
      <x:c r="AE50" s="31" t="str">
        <x:f>IF(COUNTA(Y50:AC50)=0,"",COUNTIF(Y50:AC50,"Yes")/COUNTA(Y50:AC50))</x:f>
      </x:c>
    </x:row>
    <x:row r="51">
      <x:c r="D51" s="18"/>
      <x:c r="E51" s="18"/>
      <x:c r="N51" s="44"/>
      <x:c r="O51" s="44"/>
      <x:c r="P51" s="44"/>
      <x:c r="Q51" s="44"/>
      <x:c r="R51" s="44"/>
      <x:c r="S51" s="44"/>
      <x:c r="T51" s="44"/>
      <x:c r="U51" s="44"/>
      <x:c r="V51" s="45"/>
      <x:c r="W51" s="45"/>
      <x:c r="X51" s="45"/>
      <x:c r="Y51" s="44"/>
      <x:c r="Z51" s="44"/>
      <x:c r="AA51" s="44"/>
      <x:c r="AB51" s="44"/>
      <x:c r="AC51" s="44"/>
      <x:c r="AD51" s="44"/>
      <x:c r="AE51" s="19" t="str">
        <x:f>IF(COUNTA(Y51:AC51)=0,"",COUNTIF(Y51:AC51,"Yes")/COUNTA(Y51:AC51))</x:f>
      </x:c>
    </x:row>
    <x:row r="52">
      <x:c r="D52" s="18"/>
      <x:c r="E52" s="18"/>
      <x:c r="N52" s="44"/>
      <x:c r="O52" s="44"/>
      <x:c r="P52" s="44"/>
      <x:c r="Q52" s="44"/>
      <x:c r="R52" s="44"/>
      <x:c r="S52" s="44"/>
      <x:c r="T52" s="44"/>
      <x:c r="U52" s="44"/>
      <x:c r="V52" s="45"/>
      <x:c r="W52" s="45"/>
      <x:c r="X52" s="45"/>
      <x:c r="Y52" s="44"/>
      <x:c r="Z52" s="44"/>
      <x:c r="AA52" s="44"/>
      <x:c r="AB52" s="44"/>
      <x:c r="AC52" s="44"/>
      <x:c r="AD52" s="44"/>
      <x:c r="AE52" s="19" t="str">
        <x:f>IF(COUNTA(Y52:AC52)=0,"",COUNTIF(Y52:AC52,"Yes")/COUNTA(Y52:AC52))</x:f>
      </x:c>
    </x:row>
    <x:row r="53">
      <x:c r="D53" s="18"/>
      <x:c r="E53" s="18"/>
      <x:c r="N53" s="44"/>
      <x:c r="O53" s="44"/>
      <x:c r="P53" s="44"/>
      <x:c r="Q53" s="44"/>
      <x:c r="R53" s="44"/>
      <x:c r="S53" s="44"/>
      <x:c r="T53" s="44"/>
      <x:c r="U53" s="44"/>
      <x:c r="V53" s="45"/>
      <x:c r="W53" s="45"/>
      <x:c r="X53" s="45"/>
      <x:c r="Y53" s="44"/>
      <x:c r="Z53" s="44"/>
      <x:c r="AA53" s="44"/>
      <x:c r="AB53" s="44"/>
      <x:c r="AC53" s="44"/>
      <x:c r="AD53" s="44"/>
      <x:c r="AE53" s="19" t="str">
        <x:f>IF(COUNTA(Y53:AC53)=0,"",COUNTIF(Y53:AC53,"Yes")/COUNTA(Y53:AC53))</x:f>
      </x:c>
    </x:row>
    <x:row r="54">
      <x:c r="D54" s="18"/>
      <x:c r="E54" s="18"/>
      <x:c r="N54" s="44"/>
      <x:c r="O54" s="44"/>
      <x:c r="P54" s="44"/>
      <x:c r="Q54" s="44"/>
      <x:c r="R54" s="44"/>
      <x:c r="S54" s="44"/>
      <x:c r="T54" s="44"/>
      <x:c r="U54" s="44"/>
      <x:c r="V54" s="45"/>
      <x:c r="W54" s="45"/>
      <x:c r="X54" s="45"/>
      <x:c r="Y54" s="44"/>
      <x:c r="Z54" s="44"/>
      <x:c r="AA54" s="44"/>
      <x:c r="AB54" s="44"/>
      <x:c r="AC54" s="44"/>
      <x:c r="AD54" s="44"/>
      <x:c r="AE54" s="19" t="str">
        <x:f>IF(COUNTA(Y54:AC54)=0,"",COUNTIF(Y54:AC54,"Yes")/COUNTA(Y54:AC54))</x:f>
      </x:c>
    </x:row>
    <x:row r="55">
      <x:c r="D55" s="18"/>
      <x:c r="E55" s="18"/>
      <x:c r="N55" s="44"/>
      <x:c r="O55" s="44"/>
      <x:c r="P55" s="44"/>
      <x:c r="Q55" s="44"/>
      <x:c r="R55" s="44"/>
      <x:c r="S55" s="44"/>
      <x:c r="T55" s="44"/>
      <x:c r="U55" s="44"/>
      <x:c r="V55" s="45"/>
      <x:c r="W55" s="45"/>
      <x:c r="X55" s="45"/>
      <x:c r="Y55" s="44"/>
      <x:c r="Z55" s="44"/>
      <x:c r="AA55" s="44"/>
      <x:c r="AB55" s="44"/>
      <x:c r="AC55" s="44"/>
      <x:c r="AD55" s="44"/>
      <x:c r="AE55" s="19" t="str">
        <x:f>IF(COUNTA(Y55:AC55)=0,"",COUNTIF(Y55:AC55,"Yes")/COUNTA(Y55:AC55))</x:f>
      </x:c>
    </x:row>
    <x:row r="56">
      <x:c r="D56" s="18"/>
      <x:c r="E56" s="18"/>
      <x:c r="N56" s="44"/>
      <x:c r="O56" s="44"/>
      <x:c r="P56" s="44"/>
      <x:c r="Q56" s="44"/>
      <x:c r="R56" s="44"/>
      <x:c r="S56" s="44"/>
      <x:c r="T56" s="44"/>
      <x:c r="U56" s="44"/>
      <x:c r="V56" s="45"/>
      <x:c r="W56" s="45"/>
      <x:c r="X56" s="45"/>
      <x:c r="Y56" s="44"/>
      <x:c r="Z56" s="44"/>
      <x:c r="AA56" s="44"/>
      <x:c r="AB56" s="44"/>
      <x:c r="AC56" s="44"/>
      <x:c r="AD56" s="44"/>
      <x:c r="AE56" s="19" t="str">
        <x:f>IF(COUNTA(Y56:AC56)=0,"",COUNTIF(Y56:AC56,"Yes")/COUNTA(Y56:AC56))</x:f>
      </x:c>
    </x:row>
    <x:row r="57">
      <x:c r="D57" s="18"/>
      <x:c r="E57" s="18"/>
      <x:c r="N57" s="44"/>
      <x:c r="O57" s="44"/>
      <x:c r="P57" s="44"/>
      <x:c r="Q57" s="44"/>
      <x:c r="R57" s="44"/>
      <x:c r="S57" s="44"/>
      <x:c r="T57" s="44"/>
      <x:c r="U57" s="44"/>
      <x:c r="V57" s="45"/>
      <x:c r="W57" s="45"/>
      <x:c r="X57" s="45"/>
      <x:c r="Y57" s="44"/>
      <x:c r="Z57" s="44"/>
      <x:c r="AA57" s="44"/>
      <x:c r="AB57" s="44"/>
      <x:c r="AC57" s="44"/>
      <x:c r="AD57" s="44"/>
      <x:c r="AE57" s="19" t="str">
        <x:f>IF(COUNTA(Y57:AC57)=0,"",COUNTIF(Y57:AC57,"Yes")/COUNTA(Y57:AC57))</x:f>
      </x:c>
    </x:row>
    <x:row r="58">
      <x:c r="D58" s="18"/>
      <x:c r="E58" s="18"/>
      <x:c r="N58" s="44"/>
      <x:c r="O58" s="44"/>
      <x:c r="P58" s="44"/>
      <x:c r="Q58" s="44"/>
      <x:c r="R58" s="44"/>
      <x:c r="S58" s="44"/>
      <x:c r="T58" s="44"/>
      <x:c r="U58" s="44"/>
      <x:c r="V58" s="45"/>
      <x:c r="W58" s="45"/>
      <x:c r="X58" s="45"/>
      <x:c r="Y58" s="44"/>
      <x:c r="Z58" s="44"/>
      <x:c r="AA58" s="44"/>
      <x:c r="AB58" s="44"/>
      <x:c r="AC58" s="44"/>
      <x:c r="AD58" s="44"/>
      <x:c r="AE58" s="19" t="str">
        <x:f>IF(COUNTA(Y58:AC58)=0,"",COUNTIF(Y58:AC58,"Yes")/COUNTA(Y58:AC58))</x:f>
      </x:c>
    </x:row>
    <x:row r="59">
      <x:c r="D59" s="18"/>
      <x:c r="E59" s="18"/>
      <x:c r="N59" s="44"/>
      <x:c r="O59" s="44"/>
      <x:c r="P59" s="44"/>
      <x:c r="Q59" s="44"/>
      <x:c r="R59" s="44"/>
      <x:c r="S59" s="44"/>
      <x:c r="T59" s="44"/>
      <x:c r="U59" s="44"/>
      <x:c r="V59" s="45"/>
      <x:c r="W59" s="45"/>
      <x:c r="X59" s="45"/>
      <x:c r="Y59" s="44"/>
      <x:c r="Z59" s="44"/>
      <x:c r="AA59" s="44"/>
      <x:c r="AB59" s="44"/>
      <x:c r="AC59" s="44"/>
      <x:c r="AD59" s="44"/>
      <x:c r="AE59" s="19" t="str">
        <x:f>IF(COUNTA(Y59:AC59)=0,"",COUNTIF(Y59:AC59,"Yes")/COUNTA(Y59:AC59))</x:f>
      </x:c>
    </x:row>
    <x:row r="60">
      <x:c r="D60" s="18"/>
      <x:c r="E60" s="18"/>
      <x:c r="N60" s="44"/>
      <x:c r="O60" s="44"/>
      <x:c r="P60" s="44"/>
      <x:c r="Q60" s="44"/>
      <x:c r="R60" s="44"/>
      <x:c r="S60" s="44"/>
      <x:c r="T60" s="44"/>
      <x:c r="U60" s="44"/>
      <x:c r="V60" s="45"/>
      <x:c r="W60" s="45"/>
      <x:c r="X60" s="45"/>
      <x:c r="Y60" s="44"/>
      <x:c r="Z60" s="44"/>
      <x:c r="AA60" s="44"/>
      <x:c r="AB60" s="44"/>
      <x:c r="AC60" s="44"/>
      <x:c r="AD60" s="44"/>
      <x:c r="AE60" s="19" t="str">
        <x:f>IF(COUNTA(Y60:AC60)=0,"",COUNTIF(Y60:AC60,"Yes")/COUNTA(Y60:AC60))</x:f>
      </x:c>
    </x:row>
    <x:row r="61">
      <x:c r="D61" s="18"/>
      <x:c r="E61" s="18"/>
      <x:c r="N61" s="44"/>
      <x:c r="O61" s="44"/>
      <x:c r="P61" s="44"/>
      <x:c r="Q61" s="44"/>
      <x:c r="R61" s="44"/>
      <x:c r="S61" s="44"/>
      <x:c r="T61" s="44"/>
      <x:c r="U61" s="44"/>
      <x:c r="V61" s="45"/>
      <x:c r="W61" s="45"/>
      <x:c r="X61" s="45"/>
      <x:c r="Y61" s="44"/>
      <x:c r="Z61" s="44"/>
      <x:c r="AA61" s="44"/>
      <x:c r="AB61" s="44"/>
      <x:c r="AC61" s="44"/>
      <x:c r="AD61" s="44"/>
      <x:c r="AE61" s="19" t="str">
        <x:f>IF(COUNTA(Y61:AC61)=0,"",COUNTIF(Y61:AC61,"Yes")/COUNTA(Y61:AC61))</x:f>
      </x:c>
    </x:row>
    <x:row r="62">
      <x:c r="D62" s="18"/>
      <x:c r="E62" s="18"/>
      <x:c r="N62" s="44"/>
      <x:c r="O62" s="44"/>
      <x:c r="P62" s="44"/>
      <x:c r="Q62" s="44"/>
      <x:c r="R62" s="44"/>
      <x:c r="S62" s="44"/>
      <x:c r="T62" s="44"/>
      <x:c r="U62" s="44"/>
      <x:c r="V62" s="45"/>
      <x:c r="W62" s="45"/>
      <x:c r="X62" s="45"/>
      <x:c r="Y62" s="44"/>
      <x:c r="Z62" s="44"/>
      <x:c r="AA62" s="44"/>
      <x:c r="AB62" s="44"/>
      <x:c r="AC62" s="44"/>
      <x:c r="AD62" s="44"/>
      <x:c r="AE62" s="19" t="str">
        <x:f>IF(COUNTA(Y62:AC62)=0,"",COUNTIF(Y62:AC62,"Yes")/COUNTA(Y62:AC62))</x:f>
      </x:c>
    </x:row>
    <x:row r="63">
      <x:c r="D63" s="18"/>
      <x:c r="E63" s="18"/>
      <x:c r="N63" s="44"/>
      <x:c r="O63" s="44"/>
      <x:c r="P63" s="44"/>
      <x:c r="Q63" s="44"/>
      <x:c r="R63" s="44"/>
      <x:c r="S63" s="44"/>
      <x:c r="T63" s="44"/>
      <x:c r="U63" s="44"/>
      <x:c r="V63" s="45"/>
      <x:c r="W63" s="45"/>
      <x:c r="X63" s="45"/>
      <x:c r="Y63" s="44"/>
      <x:c r="Z63" s="44"/>
      <x:c r="AA63" s="44"/>
      <x:c r="AB63" s="44"/>
      <x:c r="AC63" s="44"/>
      <x:c r="AD63" s="44"/>
      <x:c r="AE63" s="19" t="str">
        <x:f>IF(COUNTA(Y63:AC63)=0,"",COUNTIF(Y63:AC63,"Yes")/COUNTA(Y63:AC63))</x:f>
      </x:c>
    </x:row>
    <x:row r="64">
      <x:c r="D64" s="18"/>
      <x:c r="E64" s="18"/>
      <x:c r="N64" s="44"/>
      <x:c r="O64" s="44"/>
      <x:c r="P64" s="44"/>
      <x:c r="Q64" s="44"/>
      <x:c r="R64" s="44"/>
      <x:c r="S64" s="44"/>
      <x:c r="T64" s="44"/>
      <x:c r="U64" s="44"/>
      <x:c r="V64" s="45"/>
      <x:c r="W64" s="45"/>
      <x:c r="X64" s="45"/>
      <x:c r="Y64" s="44"/>
      <x:c r="Z64" s="44"/>
      <x:c r="AA64" s="44"/>
      <x:c r="AB64" s="44"/>
      <x:c r="AC64" s="44"/>
      <x:c r="AD64" s="44"/>
      <x:c r="AE64" s="19" t="str">
        <x:f>IF(COUNTA(Y64:AC64)=0,"",COUNTIF(Y64:AC64,"Yes")/COUNTA(Y64:AC64))</x:f>
      </x:c>
    </x:row>
    <x:row r="65">
      <x:c r="D65" s="18"/>
      <x:c r="E65" s="18"/>
      <x:c r="N65" s="44"/>
      <x:c r="O65" s="44"/>
      <x:c r="P65" s="44"/>
      <x:c r="Q65" s="44"/>
      <x:c r="R65" s="44"/>
      <x:c r="S65" s="44"/>
      <x:c r="T65" s="44"/>
      <x:c r="U65" s="44"/>
      <x:c r="V65" s="45"/>
      <x:c r="W65" s="45"/>
      <x:c r="X65" s="45"/>
      <x:c r="Y65" s="44"/>
      <x:c r="Z65" s="44"/>
      <x:c r="AA65" s="44"/>
      <x:c r="AB65" s="44"/>
      <x:c r="AC65" s="44"/>
      <x:c r="AD65" s="44"/>
      <x:c r="AE65" s="19" t="str">
        <x:f>IF(COUNTA(Y65:AC65)=0,"",COUNTIF(Y65:AC65,"Yes")/COUNTA(Y65:AC65))</x:f>
      </x:c>
    </x:row>
    <x:row r="66">
      <x:c r="D66" s="18"/>
      <x:c r="E66" s="18"/>
      <x:c r="N66" s="44"/>
      <x:c r="O66" s="44"/>
      <x:c r="P66" s="44"/>
      <x:c r="Q66" s="44"/>
      <x:c r="R66" s="44"/>
      <x:c r="S66" s="44"/>
      <x:c r="T66" s="44"/>
      <x:c r="U66" s="44"/>
      <x:c r="V66" s="45"/>
      <x:c r="W66" s="45"/>
      <x:c r="X66" s="45"/>
      <x:c r="Y66" s="44"/>
      <x:c r="Z66" s="44"/>
      <x:c r="AA66" s="44"/>
      <x:c r="AB66" s="44"/>
      <x:c r="AC66" s="44"/>
      <x:c r="AD66" s="44"/>
      <x:c r="AE66" s="19" t="str">
        <x:f>IF(COUNTA(Y66:AC66)=0,"",COUNTIF(Y66:AC66,"Yes")/COUNTA(Y66:AC66))</x:f>
      </x:c>
    </x:row>
    <x:row r="67">
      <x:c r="D67" s="18"/>
      <x:c r="E67" s="18"/>
      <x:c r="N67" s="44"/>
      <x:c r="O67" s="44"/>
      <x:c r="P67" s="44"/>
      <x:c r="Q67" s="44"/>
      <x:c r="R67" s="44"/>
      <x:c r="S67" s="44"/>
      <x:c r="T67" s="44"/>
      <x:c r="U67" s="44"/>
      <x:c r="V67" s="45"/>
      <x:c r="W67" s="45"/>
      <x:c r="X67" s="45"/>
      <x:c r="Y67" s="44"/>
      <x:c r="Z67" s="44"/>
      <x:c r="AA67" s="44"/>
      <x:c r="AB67" s="44"/>
      <x:c r="AC67" s="44"/>
      <x:c r="AD67" s="44"/>
      <x:c r="AE67" s="19" t="str">
        <x:f>IF(COUNTA(Y67:AC67)=0,"",COUNTIF(Y67:AC67,"Yes")/COUNTA(Y67:AC67))</x:f>
      </x:c>
    </x:row>
    <x:row r="68">
      <x:c r="D68" s="18"/>
      <x:c r="E68" s="18"/>
      <x:c r="N68" s="44"/>
      <x:c r="O68" s="44"/>
      <x:c r="P68" s="44"/>
      <x:c r="Q68" s="44"/>
      <x:c r="R68" s="44"/>
      <x:c r="S68" s="44"/>
      <x:c r="T68" s="44"/>
      <x:c r="U68" s="44"/>
      <x:c r="V68" s="45"/>
      <x:c r="W68" s="45"/>
      <x:c r="X68" s="45"/>
      <x:c r="Y68" s="44"/>
      <x:c r="Z68" s="44"/>
      <x:c r="AA68" s="44"/>
      <x:c r="AB68" s="44"/>
      <x:c r="AC68" s="44"/>
      <x:c r="AD68" s="44"/>
      <x:c r="AE68" s="19" t="str">
        <x:f>IF(COUNTA(Y68:AC68)=0,"",COUNTIF(Y68:AC68,"Yes")/COUNTA(Y68:AC68))</x:f>
      </x:c>
    </x:row>
    <x:row r="69">
      <x:c r="D69" s="18"/>
      <x:c r="E69" s="18"/>
      <x:c r="N69" s="44"/>
      <x:c r="O69" s="44"/>
      <x:c r="P69" s="44"/>
      <x:c r="Q69" s="44"/>
      <x:c r="R69" s="44"/>
      <x:c r="S69" s="44"/>
      <x:c r="T69" s="44"/>
      <x:c r="U69" s="44"/>
      <x:c r="V69" s="45"/>
      <x:c r="W69" s="45"/>
      <x:c r="X69" s="45"/>
      <x:c r="Y69" s="44"/>
      <x:c r="Z69" s="44"/>
      <x:c r="AA69" s="44"/>
      <x:c r="AB69" s="44"/>
      <x:c r="AC69" s="44"/>
      <x:c r="AD69" s="44"/>
      <x:c r="AE69" s="19" t="str">
        <x:f>IF(COUNTA(Y69:AC69)=0,"",COUNTIF(Y69:AC69,"Yes")/COUNTA(Y69:AC69))</x:f>
      </x:c>
    </x:row>
    <x:row r="70">
      <x:c r="D70" s="18"/>
      <x:c r="E70" s="18"/>
      <x:c r="N70" s="44"/>
      <x:c r="O70" s="44"/>
      <x:c r="P70" s="44"/>
      <x:c r="Q70" s="44"/>
      <x:c r="R70" s="44"/>
      <x:c r="S70" s="44"/>
      <x:c r="T70" s="44"/>
      <x:c r="U70" s="44"/>
      <x:c r="V70" s="45"/>
      <x:c r="W70" s="45"/>
      <x:c r="X70" s="45"/>
      <x:c r="Y70" s="44"/>
      <x:c r="Z70" s="44"/>
      <x:c r="AA70" s="44"/>
      <x:c r="AB70" s="44"/>
      <x:c r="AC70" s="44"/>
      <x:c r="AD70" s="44"/>
      <x:c r="AE70" s="19" t="str">
        <x:f>IF(COUNTA(Y70:AC70)=0,"",COUNTIF(Y70:AC70,"Yes")/COUNTA(Y70:AC70))</x:f>
      </x:c>
    </x:row>
    <x:row r="71">
      <x:c r="D71" s="18"/>
      <x:c r="E71" s="18"/>
      <x:c r="N71" s="44"/>
      <x:c r="O71" s="44"/>
      <x:c r="P71" s="44"/>
      <x:c r="Q71" s="44"/>
      <x:c r="R71" s="44"/>
      <x:c r="S71" s="44"/>
      <x:c r="T71" s="44"/>
      <x:c r="U71" s="44"/>
      <x:c r="V71" s="45"/>
      <x:c r="W71" s="45"/>
      <x:c r="X71" s="45"/>
      <x:c r="Y71" s="44"/>
      <x:c r="Z71" s="44"/>
      <x:c r="AA71" s="44"/>
      <x:c r="AB71" s="44"/>
      <x:c r="AC71" s="44"/>
      <x:c r="AD71" s="44"/>
      <x:c r="AE71" s="19" t="str">
        <x:f>IF(COUNTA(Y71:AC71)=0,"",COUNTIF(Y71:AC71,"Yes")/COUNTA(Y71:AC71))</x:f>
      </x:c>
    </x:row>
    <x:row r="72">
      <x:c r="D72" s="18"/>
      <x:c r="E72" s="18"/>
      <x:c r="N72" s="44"/>
      <x:c r="O72" s="44"/>
      <x:c r="P72" s="44"/>
      <x:c r="Q72" s="44"/>
      <x:c r="R72" s="44"/>
      <x:c r="S72" s="44"/>
      <x:c r="T72" s="44"/>
      <x:c r="U72" s="44"/>
      <x:c r="V72" s="45"/>
      <x:c r="W72" s="45"/>
      <x:c r="X72" s="45"/>
      <x:c r="Y72" s="44"/>
      <x:c r="Z72" s="44"/>
      <x:c r="AA72" s="44"/>
      <x:c r="AB72" s="44"/>
      <x:c r="AC72" s="44"/>
      <x:c r="AD72" s="44"/>
      <x:c r="AE72" s="19" t="str">
        <x:f>IF(COUNTA(Y72:AC72)=0,"",COUNTIF(Y72:AC72,"Yes")/COUNTA(Y72:AC72))</x:f>
      </x:c>
    </x:row>
    <x:row r="73">
      <x:c r="D73" s="18"/>
      <x:c r="E73" s="18"/>
      <x:c r="N73" s="44"/>
      <x:c r="O73" s="44"/>
      <x:c r="P73" s="44"/>
      <x:c r="Q73" s="44"/>
      <x:c r="R73" s="44"/>
      <x:c r="S73" s="44"/>
      <x:c r="T73" s="44"/>
      <x:c r="U73" s="44"/>
      <x:c r="V73" s="45"/>
      <x:c r="W73" s="45"/>
      <x:c r="X73" s="45"/>
      <x:c r="Y73" s="44"/>
      <x:c r="Z73" s="44"/>
      <x:c r="AA73" s="44"/>
      <x:c r="AB73" s="44"/>
      <x:c r="AC73" s="44"/>
      <x:c r="AD73" s="44"/>
      <x:c r="AE73" s="19" t="str">
        <x:f>IF(COUNTA(Y73:AC73)=0,"",COUNTIF(Y73:AC73,"Yes")/COUNTA(Y73:AC73))</x:f>
      </x:c>
    </x:row>
    <x:row r="74">
      <x:c r="D74" s="18"/>
      <x:c r="E74" s="18"/>
      <x:c r="N74" s="44"/>
      <x:c r="O74" s="44"/>
      <x:c r="P74" s="44"/>
      <x:c r="Q74" s="44"/>
      <x:c r="R74" s="44"/>
      <x:c r="S74" s="44"/>
      <x:c r="T74" s="44"/>
      <x:c r="U74" s="44"/>
      <x:c r="V74" s="45"/>
      <x:c r="W74" s="45"/>
      <x:c r="X74" s="45"/>
      <x:c r="Y74" s="44"/>
      <x:c r="Z74" s="44"/>
      <x:c r="AA74" s="44"/>
      <x:c r="AB74" s="44"/>
      <x:c r="AC74" s="44"/>
      <x:c r="AD74" s="44"/>
      <x:c r="AE74" s="19" t="str">
        <x:f>IF(COUNTA(Y74:AC74)=0,"",COUNTIF(Y74:AC74,"Yes")/COUNTA(Y74:AC74))</x:f>
      </x:c>
    </x:row>
    <x:row r="75">
      <x:c r="D75" s="18"/>
      <x:c r="E75" s="18"/>
      <x:c r="N75" s="44"/>
      <x:c r="O75" s="44"/>
      <x:c r="P75" s="44"/>
      <x:c r="Q75" s="44"/>
      <x:c r="R75" s="44"/>
      <x:c r="S75" s="44"/>
      <x:c r="T75" s="44"/>
      <x:c r="U75" s="44"/>
      <x:c r="V75" s="45"/>
      <x:c r="W75" s="45"/>
      <x:c r="X75" s="45"/>
      <x:c r="Y75" s="44"/>
      <x:c r="Z75" s="44"/>
      <x:c r="AA75" s="44"/>
      <x:c r="AB75" s="44"/>
      <x:c r="AC75" s="44"/>
      <x:c r="AD75" s="44"/>
      <x:c r="AE75" s="19" t="str">
        <x:f>IF(COUNTA(Y75:AC75)=0,"",COUNTIF(Y75:AC75,"Yes")/COUNTA(Y75:AC75))</x:f>
      </x:c>
    </x:row>
    <x:row r="76">
      <x:c r="D76" s="18"/>
      <x:c r="E76" s="18"/>
      <x:c r="N76" s="44"/>
      <x:c r="O76" s="44"/>
      <x:c r="P76" s="44"/>
      <x:c r="Q76" s="44"/>
      <x:c r="R76" s="44"/>
      <x:c r="S76" s="44"/>
      <x:c r="T76" s="44"/>
      <x:c r="U76" s="44"/>
      <x:c r="V76" s="45"/>
      <x:c r="W76" s="45"/>
      <x:c r="X76" s="45"/>
      <x:c r="Y76" s="44"/>
      <x:c r="Z76" s="44"/>
      <x:c r="AA76" s="44"/>
      <x:c r="AB76" s="44"/>
      <x:c r="AC76" s="44"/>
      <x:c r="AD76" s="44"/>
      <x:c r="AE76" s="19" t="str">
        <x:f>IF(COUNTA(Y76:AC76)=0,"",COUNTIF(Y76:AC76,"Yes")/COUNTA(Y76:AC76))</x:f>
      </x:c>
    </x:row>
    <x:row r="77">
      <x:c r="D77" s="18"/>
      <x:c r="E77" s="18"/>
      <x:c r="N77" s="44"/>
      <x:c r="O77" s="44"/>
      <x:c r="P77" s="44"/>
      <x:c r="Q77" s="44"/>
      <x:c r="R77" s="44"/>
      <x:c r="S77" s="44"/>
      <x:c r="T77" s="44"/>
      <x:c r="U77" s="44"/>
      <x:c r="V77" s="45"/>
      <x:c r="W77" s="45"/>
      <x:c r="X77" s="45"/>
      <x:c r="Y77" s="44"/>
      <x:c r="Z77" s="44"/>
      <x:c r="AA77" s="44"/>
      <x:c r="AB77" s="44"/>
      <x:c r="AC77" s="44"/>
      <x:c r="AD77" s="44"/>
      <x:c r="AE77" s="19" t="str">
        <x:f>IF(COUNTA(Y77:AC77)=0,"",COUNTIF(Y77:AC77,"Yes")/COUNTA(Y77:AC77))</x:f>
      </x:c>
    </x:row>
    <x:row r="78">
      <x:c r="D78" s="18"/>
      <x:c r="E78" s="18"/>
      <x:c r="N78" s="44"/>
      <x:c r="O78" s="44"/>
      <x:c r="P78" s="44"/>
      <x:c r="Q78" s="44"/>
      <x:c r="R78" s="44"/>
      <x:c r="S78" s="44"/>
      <x:c r="T78" s="44"/>
      <x:c r="U78" s="44"/>
      <x:c r="V78" s="45"/>
      <x:c r="W78" s="45"/>
      <x:c r="X78" s="45"/>
      <x:c r="Y78" s="44"/>
      <x:c r="Z78" s="44"/>
      <x:c r="AA78" s="44"/>
      <x:c r="AB78" s="44"/>
      <x:c r="AC78" s="44"/>
      <x:c r="AD78" s="44"/>
      <x:c r="AE78" s="19" t="str">
        <x:f>IF(COUNTA(Y78:AC78)=0,"",COUNTIF(Y78:AC78,"Yes")/COUNTA(Y78:AC78))</x:f>
      </x:c>
    </x:row>
    <x:row r="79">
      <x:c r="D79" s="18"/>
      <x:c r="E79" s="18"/>
      <x:c r="N79" s="44"/>
      <x:c r="O79" s="44"/>
      <x:c r="P79" s="44"/>
      <x:c r="Q79" s="44"/>
      <x:c r="R79" s="44"/>
      <x:c r="S79" s="44"/>
      <x:c r="T79" s="44"/>
      <x:c r="U79" s="44"/>
      <x:c r="V79" s="45"/>
      <x:c r="W79" s="45"/>
      <x:c r="X79" s="45"/>
      <x:c r="Y79" s="44"/>
      <x:c r="Z79" s="44"/>
      <x:c r="AA79" s="44"/>
      <x:c r="AB79" s="44"/>
      <x:c r="AC79" s="44"/>
      <x:c r="AD79" s="44"/>
      <x:c r="AE79" s="19" t="str">
        <x:f>IF(COUNTA(Y79:AC79)=0,"",COUNTIF(Y79:AC79,"Yes")/COUNTA(Y79:AC79))</x:f>
      </x:c>
    </x:row>
    <x:row r="80">
      <x:c r="D80" s="18"/>
      <x:c r="E80" s="18"/>
      <x:c r="N80" s="44"/>
      <x:c r="O80" s="44"/>
      <x:c r="P80" s="44"/>
      <x:c r="Q80" s="44"/>
      <x:c r="R80" s="44"/>
      <x:c r="S80" s="44"/>
      <x:c r="T80" s="44"/>
      <x:c r="U80" s="44"/>
      <x:c r="V80" s="45"/>
      <x:c r="W80" s="45"/>
      <x:c r="X80" s="45"/>
      <x:c r="Y80" s="44"/>
      <x:c r="Z80" s="44"/>
      <x:c r="AA80" s="44"/>
      <x:c r="AB80" s="44"/>
      <x:c r="AC80" s="44"/>
      <x:c r="AD80" s="44"/>
      <x:c r="AE80" s="19" t="str">
        <x:f>IF(COUNTA(Y80:AC80)=0,"",COUNTIF(Y80:AC80,"Yes")/COUNTA(Y80:AC80))</x:f>
      </x:c>
    </x:row>
    <x:row r="81">
      <x:c r="D81" s="18"/>
      <x:c r="E81" s="18"/>
      <x:c r="N81" s="44"/>
      <x:c r="O81" s="44"/>
      <x:c r="P81" s="44"/>
      <x:c r="Q81" s="44"/>
      <x:c r="R81" s="44"/>
      <x:c r="S81" s="44"/>
      <x:c r="T81" s="44"/>
      <x:c r="U81" s="44"/>
      <x:c r="V81" s="45"/>
      <x:c r="W81" s="45"/>
      <x:c r="X81" s="45"/>
      <x:c r="Y81" s="44"/>
      <x:c r="Z81" s="44"/>
      <x:c r="AA81" s="44"/>
      <x:c r="AB81" s="44"/>
      <x:c r="AC81" s="44"/>
      <x:c r="AD81" s="44"/>
      <x:c r="AE81" s="19" t="str">
        <x:f>IF(COUNTA(Y81:AC81)=0,"",COUNTIF(Y81:AC81,"Yes")/COUNTA(Y81:AC81))</x:f>
      </x:c>
    </x:row>
    <x:row r="82">
      <x:c r="D82" s="18"/>
      <x:c r="E82" s="18"/>
      <x:c r="N82" s="44"/>
      <x:c r="O82" s="44"/>
      <x:c r="P82" s="44"/>
      <x:c r="Q82" s="44"/>
      <x:c r="R82" s="44"/>
      <x:c r="S82" s="44"/>
      <x:c r="T82" s="44"/>
      <x:c r="U82" s="44"/>
      <x:c r="V82" s="45"/>
      <x:c r="W82" s="45"/>
      <x:c r="X82" s="45"/>
      <x:c r="Y82" s="44"/>
      <x:c r="Z82" s="44"/>
      <x:c r="AA82" s="44"/>
      <x:c r="AB82" s="44"/>
      <x:c r="AC82" s="44"/>
      <x:c r="AD82" s="44"/>
      <x:c r="AE82" s="19" t="str">
        <x:f>IF(COUNTA(Y82:AC82)=0,"",COUNTIF(Y82:AC82,"Yes")/COUNTA(Y82:AC82))</x:f>
      </x:c>
    </x:row>
    <x:row r="83">
      <x:c r="D83" s="18"/>
      <x:c r="E83" s="18"/>
      <x:c r="N83" s="44"/>
      <x:c r="O83" s="44"/>
      <x:c r="P83" s="44"/>
      <x:c r="Q83" s="44"/>
      <x:c r="R83" s="44"/>
      <x:c r="S83" s="44"/>
      <x:c r="T83" s="44"/>
      <x:c r="U83" s="44"/>
      <x:c r="V83" s="45"/>
      <x:c r="W83" s="45"/>
      <x:c r="X83" s="45"/>
      <x:c r="Y83" s="44"/>
      <x:c r="Z83" s="44"/>
      <x:c r="AA83" s="44"/>
      <x:c r="AB83" s="44"/>
      <x:c r="AC83" s="44"/>
      <x:c r="AD83" s="44"/>
      <x:c r="AE83" s="19" t="str">
        <x:f>IF(COUNTA(Y83:AC83)=0,"",COUNTIF(Y83:AC83,"Yes")/COUNTA(Y83:AC83))</x:f>
      </x:c>
    </x:row>
    <x:row r="84">
      <x:c r="D84" s="18"/>
      <x:c r="E84" s="18"/>
      <x:c r="N84" s="44"/>
      <x:c r="O84" s="44"/>
      <x:c r="P84" s="44"/>
      <x:c r="Q84" s="44"/>
      <x:c r="R84" s="44"/>
      <x:c r="S84" s="44"/>
      <x:c r="T84" s="44"/>
      <x:c r="U84" s="44"/>
      <x:c r="V84" s="45"/>
      <x:c r="W84" s="45"/>
      <x:c r="X84" s="45"/>
      <x:c r="Y84" s="44"/>
      <x:c r="Z84" s="44"/>
      <x:c r="AA84" s="44"/>
      <x:c r="AB84" s="44"/>
      <x:c r="AC84" s="44"/>
      <x:c r="AD84" s="44"/>
      <x:c r="AE84" s="19" t="str">
        <x:f>IF(COUNTA(Y84:AC84)=0,"",COUNTIF(Y84:AC84,"Yes")/COUNTA(Y84:AC84))</x:f>
      </x:c>
    </x:row>
    <x:row r="85">
      <x:c r="D85" s="18"/>
      <x:c r="E85" s="18"/>
      <x:c r="N85" s="44"/>
      <x:c r="O85" s="44"/>
      <x:c r="P85" s="44"/>
      <x:c r="Q85" s="44"/>
      <x:c r="R85" s="44"/>
      <x:c r="S85" s="44"/>
      <x:c r="T85" s="44"/>
      <x:c r="U85" s="44"/>
      <x:c r="V85" s="45"/>
      <x:c r="W85" s="45"/>
      <x:c r="X85" s="45"/>
      <x:c r="Y85" s="44"/>
      <x:c r="Z85" s="44"/>
      <x:c r="AA85" s="44"/>
      <x:c r="AB85" s="44"/>
      <x:c r="AC85" s="44"/>
      <x:c r="AD85" s="44"/>
      <x:c r="AE85" s="19" t="str">
        <x:f>IF(COUNTA(Y85:AC85)=0,"",COUNTIF(Y85:AC85,"Yes")/COUNTA(Y85:AC85))</x:f>
      </x:c>
    </x:row>
    <x:row r="86">
      <x:c r="D86" s="18"/>
      <x:c r="E86" s="18"/>
      <x:c r="N86" s="44"/>
      <x:c r="O86" s="44"/>
      <x:c r="P86" s="44"/>
      <x:c r="Q86" s="44"/>
      <x:c r="R86" s="44"/>
      <x:c r="S86" s="44"/>
      <x:c r="T86" s="44"/>
      <x:c r="U86" s="44"/>
      <x:c r="V86" s="45"/>
      <x:c r="W86" s="45"/>
      <x:c r="X86" s="45"/>
      <x:c r="Y86" s="44"/>
      <x:c r="Z86" s="44"/>
      <x:c r="AA86" s="44"/>
      <x:c r="AB86" s="44"/>
      <x:c r="AC86" s="44"/>
      <x:c r="AD86" s="44"/>
      <x:c r="AE86" s="19" t="str">
        <x:f>IF(COUNTA(Y86:AC86)=0,"",COUNTIF(Y86:AC86,"Yes")/COUNTA(Y86:AC86))</x:f>
      </x:c>
    </x:row>
    <x:row r="87">
      <x:c r="D87" s="18"/>
      <x:c r="E87" s="18"/>
      <x:c r="N87" s="44"/>
      <x:c r="O87" s="44"/>
      <x:c r="P87" s="44"/>
      <x:c r="Q87" s="44"/>
      <x:c r="R87" s="44"/>
      <x:c r="S87" s="44"/>
      <x:c r="T87" s="44"/>
      <x:c r="U87" s="44"/>
      <x:c r="V87" s="45"/>
      <x:c r="W87" s="45"/>
      <x:c r="X87" s="45"/>
      <x:c r="Y87" s="44"/>
      <x:c r="Z87" s="44"/>
      <x:c r="AA87" s="44"/>
      <x:c r="AB87" s="44"/>
      <x:c r="AC87" s="44"/>
      <x:c r="AD87" s="44"/>
      <x:c r="AE87" s="19" t="str">
        <x:f>IF(COUNTA(Y87:AC87)=0,"",COUNTIF(Y87:AC87,"Yes")/COUNTA(Y87:AC87))</x:f>
      </x:c>
    </x:row>
    <x:row r="88">
      <x:c r="D88" s="18"/>
      <x:c r="E88" s="18"/>
      <x:c r="N88" s="44"/>
      <x:c r="O88" s="44"/>
      <x:c r="P88" s="44"/>
      <x:c r="Q88" s="44"/>
      <x:c r="R88" s="44"/>
      <x:c r="S88" s="44"/>
      <x:c r="T88" s="44"/>
      <x:c r="U88" s="44"/>
      <x:c r="V88" s="45"/>
      <x:c r="W88" s="45"/>
      <x:c r="X88" s="45"/>
      <x:c r="Y88" s="44"/>
      <x:c r="Z88" s="44"/>
      <x:c r="AA88" s="44"/>
      <x:c r="AB88" s="44"/>
      <x:c r="AC88" s="44"/>
      <x:c r="AD88" s="44"/>
      <x:c r="AE88" s="19" t="str">
        <x:f>IF(COUNTA(Y88:AC88)=0,"",COUNTIF(Y88:AC88,"Yes")/COUNTA(Y88:AC88))</x:f>
      </x:c>
    </x:row>
    <x:row r="89">
      <x:c r="D89" s="18"/>
      <x:c r="E89" s="18"/>
      <x:c r="N89" s="44"/>
      <x:c r="O89" s="44"/>
      <x:c r="P89" s="44"/>
      <x:c r="Q89" s="44"/>
      <x:c r="R89" s="44"/>
      <x:c r="S89" s="44"/>
      <x:c r="T89" s="44"/>
      <x:c r="U89" s="44"/>
      <x:c r="V89" s="45"/>
      <x:c r="W89" s="45"/>
      <x:c r="X89" s="45"/>
      <x:c r="Y89" s="44"/>
      <x:c r="Z89" s="44"/>
      <x:c r="AA89" s="44"/>
      <x:c r="AB89" s="44"/>
      <x:c r="AC89" s="44"/>
      <x:c r="AD89" s="44"/>
      <x:c r="AE89" s="19" t="str">
        <x:f>IF(COUNTA(Y89:AC89)=0,"",COUNTIF(Y89:AC89,"Yes")/COUNTA(Y89:AC89))</x:f>
      </x:c>
    </x:row>
    <x:row r="90">
      <x:c r="D90" s="18"/>
      <x:c r="E90" s="18"/>
      <x:c r="N90" s="44"/>
      <x:c r="O90" s="44"/>
      <x:c r="P90" s="44"/>
      <x:c r="Q90" s="44"/>
      <x:c r="R90" s="44"/>
      <x:c r="S90" s="44"/>
      <x:c r="T90" s="44"/>
      <x:c r="U90" s="44"/>
      <x:c r="V90" s="45"/>
      <x:c r="W90" s="45"/>
      <x:c r="X90" s="45"/>
      <x:c r="Y90" s="44"/>
      <x:c r="Z90" s="44"/>
      <x:c r="AA90" s="44"/>
      <x:c r="AB90" s="44"/>
      <x:c r="AC90" s="44"/>
      <x:c r="AD90" s="44"/>
      <x:c r="AE90" s="19" t="str">
        <x:f>IF(COUNTA(Y90:AC90)=0,"",COUNTIF(Y90:AC90,"Yes")/COUNTA(Y90:AC90))</x:f>
      </x:c>
    </x:row>
    <x:row r="91">
      <x:c r="D91" s="18"/>
      <x:c r="E91" s="18"/>
      <x:c r="N91" s="44"/>
      <x:c r="O91" s="44"/>
      <x:c r="P91" s="44"/>
      <x:c r="Q91" s="44"/>
      <x:c r="R91" s="44"/>
      <x:c r="S91" s="44"/>
      <x:c r="T91" s="44"/>
      <x:c r="U91" s="44"/>
      <x:c r="V91" s="45"/>
      <x:c r="W91" s="45"/>
      <x:c r="X91" s="45"/>
      <x:c r="Y91" s="44"/>
      <x:c r="Z91" s="44"/>
      <x:c r="AA91" s="44"/>
      <x:c r="AB91" s="44"/>
      <x:c r="AC91" s="44"/>
      <x:c r="AD91" s="44"/>
      <x:c r="AE91" s="19" t="str">
        <x:f>IF(COUNTA(Y91:AC91)=0,"",COUNTIF(Y91:AC91,"Yes")/COUNTA(Y91:AC91))</x:f>
      </x:c>
    </x:row>
    <x:row r="92">
      <x:c r="D92" s="18"/>
      <x:c r="E92" s="18"/>
      <x:c r="N92" s="44"/>
      <x:c r="O92" s="44"/>
      <x:c r="P92" s="44"/>
      <x:c r="Q92" s="44"/>
      <x:c r="R92" s="44"/>
      <x:c r="S92" s="44"/>
      <x:c r="T92" s="44"/>
      <x:c r="U92" s="44"/>
      <x:c r="V92" s="45"/>
      <x:c r="W92" s="45"/>
      <x:c r="X92" s="45"/>
      <x:c r="Y92" s="44"/>
      <x:c r="Z92" s="44"/>
      <x:c r="AA92" s="44"/>
      <x:c r="AB92" s="44"/>
      <x:c r="AC92" s="44"/>
      <x:c r="AD92" s="44"/>
      <x:c r="AE92" s="19" t="str">
        <x:f>IF(COUNTA(Y92:AC92)=0,"",COUNTIF(Y92:AC92,"Yes")/COUNTA(Y92:AC92))</x:f>
      </x:c>
    </x:row>
    <x:row r="93">
      <x:c r="D93" s="18"/>
      <x:c r="E93" s="18"/>
      <x:c r="N93" s="44"/>
      <x:c r="O93" s="44"/>
      <x:c r="P93" s="44"/>
      <x:c r="Q93" s="44"/>
      <x:c r="R93" s="44"/>
      <x:c r="S93" s="44"/>
      <x:c r="T93" s="44"/>
      <x:c r="U93" s="44"/>
      <x:c r="V93" s="45"/>
      <x:c r="W93" s="45"/>
      <x:c r="X93" s="45"/>
      <x:c r="Y93" s="44"/>
      <x:c r="Z93" s="44"/>
      <x:c r="AA93" s="44"/>
      <x:c r="AB93" s="44"/>
      <x:c r="AC93" s="44"/>
      <x:c r="AD93" s="44"/>
      <x:c r="AE93" s="19" t="str">
        <x:f>IF(COUNTA(Y93:AC93)=0,"",COUNTIF(Y93:AC93,"Yes")/COUNTA(Y93:AC93))</x:f>
      </x:c>
    </x:row>
    <x:row r="94">
      <x:c r="D94" s="18"/>
      <x:c r="E94" s="18"/>
      <x:c r="N94" s="44"/>
      <x:c r="O94" s="44"/>
      <x:c r="P94" s="44"/>
      <x:c r="Q94" s="44"/>
      <x:c r="R94" s="44"/>
      <x:c r="S94" s="44"/>
      <x:c r="T94" s="44"/>
      <x:c r="U94" s="44"/>
      <x:c r="V94" s="45"/>
      <x:c r="W94" s="45"/>
      <x:c r="X94" s="45"/>
      <x:c r="Y94" s="44"/>
      <x:c r="Z94" s="44"/>
      <x:c r="AA94" s="44"/>
      <x:c r="AB94" s="44"/>
      <x:c r="AC94" s="44"/>
      <x:c r="AD94" s="44"/>
      <x:c r="AE94" s="19" t="str">
        <x:f>IF(COUNTA(Y94:AC94)=0,"",COUNTIF(Y94:AC94,"Yes")/COUNTA(Y94:AC94))</x:f>
      </x:c>
    </x:row>
    <x:row r="95">
      <x:c r="D95" s="18"/>
      <x:c r="E95" s="18"/>
      <x:c r="N95" s="44"/>
      <x:c r="O95" s="44"/>
      <x:c r="P95" s="44"/>
      <x:c r="Q95" s="44"/>
      <x:c r="R95" s="44"/>
      <x:c r="S95" s="44"/>
      <x:c r="T95" s="44"/>
      <x:c r="U95" s="44"/>
      <x:c r="V95" s="45"/>
      <x:c r="W95" s="45"/>
      <x:c r="X95" s="45"/>
      <x:c r="Y95" s="44"/>
      <x:c r="Z95" s="44"/>
      <x:c r="AA95" s="44"/>
      <x:c r="AB95" s="44"/>
      <x:c r="AC95" s="44"/>
      <x:c r="AD95" s="44"/>
      <x:c r="AE95" s="19" t="str">
        <x:f>IF(COUNTA(Y95:AC95)=0,"",COUNTIF(Y95:AC95,"Yes")/COUNTA(Y95:AC95))</x:f>
      </x:c>
    </x:row>
    <x:row r="96">
      <x:c r="D96" s="18"/>
      <x:c r="E96" s="18"/>
      <x:c r="N96" s="44"/>
      <x:c r="O96" s="44"/>
      <x:c r="P96" s="44"/>
      <x:c r="Q96" s="44"/>
      <x:c r="R96" s="44"/>
      <x:c r="S96" s="44"/>
      <x:c r="T96" s="44"/>
      <x:c r="U96" s="44"/>
      <x:c r="V96" s="45"/>
      <x:c r="W96" s="45"/>
      <x:c r="X96" s="45"/>
      <x:c r="Y96" s="44"/>
      <x:c r="Z96" s="44"/>
      <x:c r="AA96" s="44"/>
      <x:c r="AB96" s="44"/>
      <x:c r="AC96" s="44"/>
      <x:c r="AD96" s="44"/>
      <x:c r="AE96" s="19" t="str">
        <x:f>IF(COUNTA(Y96:AC96)=0,"",COUNTIF(Y96:AC96,"Yes")/COUNTA(Y96:AC96))</x:f>
      </x:c>
    </x:row>
    <x:row r="97">
      <x:c r="D97" s="18"/>
      <x:c r="E97" s="18"/>
      <x:c r="N97" s="44"/>
      <x:c r="O97" s="44"/>
      <x:c r="P97" s="44"/>
      <x:c r="Q97" s="44"/>
      <x:c r="R97" s="44"/>
      <x:c r="S97" s="44"/>
      <x:c r="T97" s="44"/>
      <x:c r="U97" s="44"/>
      <x:c r="V97" s="45"/>
      <x:c r="W97" s="45"/>
      <x:c r="X97" s="45"/>
      <x:c r="Y97" s="44"/>
      <x:c r="Z97" s="44"/>
      <x:c r="AA97" s="44"/>
      <x:c r="AB97" s="44"/>
      <x:c r="AC97" s="44"/>
      <x:c r="AD97" s="44"/>
      <x:c r="AE97" s="19" t="str">
        <x:f>IF(COUNTA(Y97:AC97)=0,"",COUNTIF(Y97:AC97,"Yes")/COUNTA(Y97:AC97))</x:f>
      </x:c>
    </x:row>
    <x:row r="98">
      <x:c r="D98" s="18"/>
      <x:c r="E98" s="18"/>
      <x:c r="N98" s="44"/>
      <x:c r="O98" s="44"/>
      <x:c r="P98" s="44"/>
      <x:c r="Q98" s="44"/>
      <x:c r="R98" s="44"/>
      <x:c r="S98" s="44"/>
      <x:c r="T98" s="44"/>
      <x:c r="U98" s="44"/>
      <x:c r="V98" s="45"/>
      <x:c r="W98" s="45"/>
      <x:c r="X98" s="45"/>
      <x:c r="Y98" s="44"/>
      <x:c r="Z98" s="44"/>
      <x:c r="AA98" s="44"/>
      <x:c r="AB98" s="44"/>
      <x:c r="AC98" s="44"/>
      <x:c r="AD98" s="44"/>
      <x:c r="AE98" s="19" t="str">
        <x:f>IF(COUNTA(Y98:AC98)=0,"",COUNTIF(Y98:AC98,"Yes")/COUNTA(Y98:AC98))</x:f>
      </x:c>
    </x:row>
    <x:row r="99">
      <x:c r="D99" s="18"/>
      <x:c r="E99" s="18"/>
      <x:c r="N99" s="44"/>
      <x:c r="O99" s="44"/>
      <x:c r="P99" s="44"/>
      <x:c r="Q99" s="44"/>
      <x:c r="R99" s="44"/>
      <x:c r="S99" s="44"/>
      <x:c r="T99" s="44"/>
      <x:c r="U99" s="44"/>
      <x:c r="V99" s="45"/>
      <x:c r="W99" s="45"/>
      <x:c r="X99" s="45"/>
      <x:c r="Y99" s="44"/>
      <x:c r="Z99" s="44"/>
      <x:c r="AA99" s="44"/>
      <x:c r="AB99" s="44"/>
      <x:c r="AC99" s="44"/>
      <x:c r="AD99" s="44"/>
      <x:c r="AE99" s="19" t="str">
        <x:f>IF(COUNTA(Y99:AC99)=0,"",COUNTIF(Y99:AC99,"Yes")/COUNTA(Y99:AC99))</x:f>
      </x:c>
    </x:row>
    <x:row r="100">
      <x:c r="D100" s="18"/>
      <x:c r="E100" s="18"/>
      <x:c r="N100" s="44"/>
      <x:c r="O100" s="44"/>
      <x:c r="P100" s="44"/>
      <x:c r="Q100" s="44"/>
      <x:c r="R100" s="44"/>
      <x:c r="S100" s="44"/>
      <x:c r="T100" s="44"/>
      <x:c r="U100" s="44"/>
      <x:c r="V100" s="45"/>
      <x:c r="W100" s="45"/>
      <x:c r="X100" s="45"/>
      <x:c r="Y100" s="44"/>
      <x:c r="Z100" s="44"/>
      <x:c r="AA100" s="44"/>
      <x:c r="AB100" s="44"/>
      <x:c r="AC100" s="44"/>
      <x:c r="AD100" s="44"/>
      <x:c r="AE100" s="19" t="str">
        <x:f>IF(COUNTA(Y100:AC100)=0,"",COUNTIF(Y100:AC100,"Yes")/COUNTA(Y100:AC100))</x:f>
      </x:c>
    </x:row>
    <x:row r="101">
      <x:c r="D101" s="18"/>
      <x:c r="E101" s="18"/>
      <x:c r="N101" s="44"/>
      <x:c r="O101" s="44"/>
      <x:c r="P101" s="44"/>
      <x:c r="Q101" s="44"/>
      <x:c r="R101" s="44"/>
      <x:c r="S101" s="44"/>
      <x:c r="T101" s="44"/>
      <x:c r="U101" s="44"/>
      <x:c r="V101" s="45"/>
      <x:c r="W101" s="45"/>
      <x:c r="X101" s="45"/>
      <x:c r="Y101" s="44"/>
      <x:c r="Z101" s="44"/>
      <x:c r="AA101" s="44"/>
      <x:c r="AB101" s="44"/>
      <x:c r="AC101" s="44"/>
      <x:c r="AD101" s="44"/>
      <x:c r="AE101" s="19" t="str">
        <x:f>IF(COUNTA(Y101:AC101)=0,"",COUNTIF(Y101:AC101,"Yes")/COUNTA(Y101:AC101))</x:f>
      </x:c>
    </x:row>
    <x:row r="102">
      <x:c r="D102" s="18"/>
      <x:c r="E102" s="18"/>
      <x:c r="N102" s="44"/>
      <x:c r="O102" s="44"/>
      <x:c r="P102" s="44"/>
      <x:c r="Q102" s="44"/>
      <x:c r="R102" s="44"/>
      <x:c r="S102" s="44"/>
      <x:c r="T102" s="44"/>
      <x:c r="U102" s="44"/>
      <x:c r="V102" s="45"/>
      <x:c r="W102" s="45"/>
      <x:c r="X102" s="45"/>
      <x:c r="Y102" s="44"/>
      <x:c r="Z102" s="44"/>
      <x:c r="AA102" s="44"/>
      <x:c r="AB102" s="44"/>
      <x:c r="AC102" s="44"/>
      <x:c r="AD102" s="44"/>
      <x:c r="AE102" s="19" t="str">
        <x:f>IF(COUNTA(Y102:AC102)=0,"",COUNTIF(Y102:AC102,"Yes")/COUNTA(Y102:AC102))</x:f>
      </x:c>
    </x:row>
    <x:row r="103">
      <x:c r="D103" s="18"/>
      <x:c r="E103" s="18"/>
      <x:c r="N103" s="44"/>
      <x:c r="O103" s="44"/>
      <x:c r="P103" s="44"/>
      <x:c r="Q103" s="44"/>
      <x:c r="R103" s="44"/>
      <x:c r="S103" s="44"/>
      <x:c r="T103" s="44"/>
      <x:c r="U103" s="44"/>
      <x:c r="V103" s="45"/>
      <x:c r="W103" s="45"/>
      <x:c r="X103" s="45"/>
      <x:c r="Y103" s="44"/>
      <x:c r="Z103" s="44"/>
      <x:c r="AA103" s="44"/>
      <x:c r="AB103" s="44"/>
      <x:c r="AC103" s="44"/>
      <x:c r="AD103" s="44"/>
      <x:c r="AE103" s="19" t="str">
        <x:f>IF(COUNTA(Y103:AC103)=0,"",COUNTIF(Y103:AC103,"Yes")/COUNTA(Y103:AC103))</x:f>
      </x:c>
    </x:row>
    <x:row r="104">
      <x:c r="D104" s="18"/>
      <x:c r="E104" s="18"/>
      <x:c r="N104" s="44"/>
      <x:c r="O104" s="44"/>
      <x:c r="P104" s="44"/>
      <x:c r="Q104" s="44"/>
      <x:c r="R104" s="44"/>
      <x:c r="S104" s="44"/>
      <x:c r="T104" s="44"/>
      <x:c r="U104" s="44"/>
      <x:c r="V104" s="45"/>
      <x:c r="W104" s="45"/>
      <x:c r="X104" s="45"/>
      <x:c r="Y104" s="44"/>
      <x:c r="Z104" s="44"/>
      <x:c r="AA104" s="44"/>
      <x:c r="AB104" s="44"/>
      <x:c r="AC104" s="44"/>
      <x:c r="AD104" s="44"/>
      <x:c r="AE104" s="19" t="str">
        <x:f>IF(COUNTA(Y104:AC104)=0,"",COUNTIF(Y104:AC104,"Yes")/COUNTA(Y104:AC104))</x:f>
      </x:c>
    </x:row>
    <x:row r="105">
      <x:c r="D105" s="18"/>
      <x:c r="E105" s="18"/>
      <x:c r="N105" s="44"/>
      <x:c r="O105" s="44"/>
      <x:c r="P105" s="44"/>
      <x:c r="Q105" s="44"/>
      <x:c r="R105" s="44"/>
      <x:c r="S105" s="44"/>
      <x:c r="T105" s="44"/>
      <x:c r="U105" s="44"/>
      <x:c r="V105" s="45"/>
      <x:c r="W105" s="45"/>
      <x:c r="X105" s="45"/>
      <x:c r="Y105" s="44"/>
      <x:c r="Z105" s="44"/>
      <x:c r="AA105" s="44"/>
      <x:c r="AB105" s="44"/>
      <x:c r="AC105" s="44"/>
      <x:c r="AD105" s="44"/>
      <x:c r="AE105" s="19" t="str">
        <x:f>IF(COUNTA(Y105:AC105)=0,"",COUNTIF(Y105:AC105,"Yes")/COUNTA(Y105:AC105))</x:f>
      </x:c>
    </x:row>
    <x:row r="106">
      <x:c r="D106" s="18"/>
      <x:c r="E106" s="18"/>
      <x:c r="N106" s="44"/>
      <x:c r="O106" s="44"/>
      <x:c r="P106" s="44"/>
      <x:c r="Q106" s="44"/>
      <x:c r="R106" s="44"/>
      <x:c r="S106" s="44"/>
      <x:c r="T106" s="44"/>
      <x:c r="U106" s="44"/>
      <x:c r="V106" s="45"/>
      <x:c r="W106" s="45"/>
      <x:c r="X106" s="45"/>
      <x:c r="Y106" s="44"/>
      <x:c r="Z106" s="44"/>
      <x:c r="AA106" s="44"/>
      <x:c r="AB106" s="44"/>
      <x:c r="AC106" s="44"/>
      <x:c r="AD106" s="44"/>
      <x:c r="AE106" s="19" t="str">
        <x:f>IF(COUNTA(Y106:AC106)=0,"",COUNTIF(Y106:AC106,"Yes")/COUNTA(Y106:AC106))</x:f>
      </x:c>
    </x:row>
    <x:row r="107">
      <x:c r="D107" s="18"/>
      <x:c r="E107" s="18"/>
      <x:c r="N107" s="44"/>
      <x:c r="O107" s="44"/>
      <x:c r="P107" s="44"/>
      <x:c r="Q107" s="44"/>
      <x:c r="R107" s="44"/>
      <x:c r="S107" s="44"/>
      <x:c r="T107" s="44"/>
      <x:c r="U107" s="44"/>
      <x:c r="V107" s="45"/>
      <x:c r="W107" s="45"/>
      <x:c r="X107" s="45"/>
      <x:c r="Y107" s="44"/>
      <x:c r="Z107" s="44"/>
      <x:c r="AA107" s="44"/>
      <x:c r="AB107" s="44"/>
      <x:c r="AC107" s="44"/>
      <x:c r="AD107" s="44"/>
      <x:c r="AE107" s="19" t="str">
        <x:f>IF(COUNTA(Y107:AC107)=0,"",COUNTIF(Y107:AC107,"Yes")/COUNTA(Y107:AC107))</x:f>
      </x:c>
    </x:row>
    <x:row r="108">
      <x:c r="D108" s="18"/>
      <x:c r="E108" s="18"/>
      <x:c r="N108" s="44"/>
      <x:c r="O108" s="44"/>
      <x:c r="P108" s="44"/>
      <x:c r="Q108" s="44"/>
      <x:c r="R108" s="44"/>
      <x:c r="S108" s="44"/>
      <x:c r="T108" s="44"/>
      <x:c r="U108" s="44"/>
      <x:c r="V108" s="45"/>
      <x:c r="W108" s="45"/>
      <x:c r="X108" s="45"/>
      <x:c r="Y108" s="44"/>
      <x:c r="Z108" s="44"/>
      <x:c r="AA108" s="44"/>
      <x:c r="AB108" s="44"/>
      <x:c r="AC108" s="44"/>
      <x:c r="AD108" s="44"/>
      <x:c r="AE108" s="19" t="str">
        <x:f>IF(COUNTA(Y108:AC108)=0,"",COUNTIF(Y108:AC108,"Yes")/COUNTA(Y108:AC108))</x:f>
      </x:c>
    </x:row>
    <x:row r="109">
      <x:c r="D109" s="18"/>
      <x:c r="E109" s="18"/>
      <x:c r="N109" s="44"/>
      <x:c r="O109" s="44"/>
      <x:c r="P109" s="44"/>
      <x:c r="Q109" s="44"/>
      <x:c r="R109" s="44"/>
      <x:c r="S109" s="44"/>
      <x:c r="T109" s="44"/>
      <x:c r="U109" s="44"/>
      <x:c r="V109" s="45"/>
      <x:c r="W109" s="45"/>
      <x:c r="X109" s="45"/>
      <x:c r="Y109" s="44"/>
      <x:c r="Z109" s="44"/>
      <x:c r="AA109" s="44"/>
      <x:c r="AB109" s="44"/>
      <x:c r="AC109" s="44"/>
      <x:c r="AD109" s="44"/>
      <x:c r="AE109" s="19" t="str">
        <x:f>IF(COUNTA(Y109:AC109)=0,"",COUNTIF(Y109:AC109,"Yes")/COUNTA(Y109:AC109))</x:f>
      </x:c>
    </x:row>
    <x:row r="110">
      <x:c r="D110" s="18"/>
      <x:c r="E110" s="18"/>
      <x:c r="N110" s="44"/>
      <x:c r="O110" s="44"/>
      <x:c r="P110" s="44"/>
      <x:c r="Q110" s="44"/>
      <x:c r="R110" s="44"/>
      <x:c r="S110" s="44"/>
      <x:c r="T110" s="44"/>
      <x:c r="U110" s="44"/>
      <x:c r="V110" s="45"/>
      <x:c r="W110" s="45"/>
      <x:c r="X110" s="45"/>
      <x:c r="Y110" s="44"/>
      <x:c r="Z110" s="44"/>
      <x:c r="AA110" s="44"/>
      <x:c r="AB110" s="44"/>
      <x:c r="AC110" s="44"/>
      <x:c r="AD110" s="44"/>
      <x:c r="AE110" s="19" t="str">
        <x:f>IF(COUNTA(Y110:AC110)=0,"",COUNTIF(Y110:AC110,"Yes")/COUNTA(Y110:AC110))</x:f>
      </x:c>
    </x:row>
    <x:row r="111">
      <x:c r="D111" s="18"/>
      <x:c r="E111" s="18"/>
      <x:c r="N111" s="44"/>
      <x:c r="O111" s="44"/>
      <x:c r="P111" s="44"/>
      <x:c r="Q111" s="44"/>
      <x:c r="R111" s="44"/>
      <x:c r="S111" s="44"/>
      <x:c r="T111" s="44"/>
      <x:c r="U111" s="44"/>
      <x:c r="V111" s="45"/>
      <x:c r="W111" s="45"/>
      <x:c r="X111" s="45"/>
      <x:c r="Y111" s="44"/>
      <x:c r="Z111" s="44"/>
      <x:c r="AA111" s="44"/>
      <x:c r="AB111" s="44"/>
      <x:c r="AC111" s="44"/>
      <x:c r="AD111" s="44"/>
      <x:c r="AE111" s="19" t="str">
        <x:f>IF(COUNTA(Y111:AC111)=0,"",COUNTIF(Y111:AC111,"Yes")/COUNTA(Y111:AC111))</x:f>
      </x:c>
    </x:row>
    <x:row r="112">
      <x:c r="D112" s="18"/>
      <x:c r="E112" s="18"/>
      <x:c r="N112" s="44"/>
      <x:c r="O112" s="44"/>
      <x:c r="P112" s="44"/>
      <x:c r="Q112" s="44"/>
      <x:c r="R112" s="44"/>
      <x:c r="S112" s="44"/>
      <x:c r="T112" s="44"/>
      <x:c r="U112" s="44"/>
      <x:c r="V112" s="45"/>
      <x:c r="W112" s="45"/>
      <x:c r="X112" s="45"/>
      <x:c r="Y112" s="44"/>
      <x:c r="Z112" s="44"/>
      <x:c r="AA112" s="44"/>
      <x:c r="AB112" s="44"/>
      <x:c r="AC112" s="44"/>
      <x:c r="AD112" s="44"/>
      <x:c r="AE112" s="19" t="str">
        <x:f>IF(COUNTA(Y112:AC112)=0,"",COUNTIF(Y112:AC112,"Yes")/COUNTA(Y112:AC112))</x:f>
      </x:c>
    </x:row>
    <x:row r="113">
      <x:c r="D113" s="18"/>
      <x:c r="E113" s="18"/>
      <x:c r="N113" s="44"/>
      <x:c r="O113" s="44"/>
      <x:c r="P113" s="44"/>
      <x:c r="Q113" s="44"/>
      <x:c r="R113" s="44"/>
      <x:c r="S113" s="44"/>
      <x:c r="T113" s="44"/>
      <x:c r="U113" s="44"/>
      <x:c r="V113" s="45"/>
      <x:c r="W113" s="45"/>
      <x:c r="X113" s="45"/>
      <x:c r="Y113" s="44"/>
      <x:c r="Z113" s="44"/>
      <x:c r="AA113" s="44"/>
      <x:c r="AB113" s="44"/>
      <x:c r="AC113" s="44"/>
      <x:c r="AD113" s="44"/>
      <x:c r="AE113" s="19" t="str">
        <x:f>IF(COUNTA(Y113:AC113)=0,"",COUNTIF(Y113:AC113,"Yes")/COUNTA(Y113:AC113))</x:f>
      </x:c>
    </x:row>
    <x:row r="114">
      <x:c r="D114" s="18"/>
      <x:c r="E114" s="18"/>
      <x:c r="N114" s="44"/>
      <x:c r="O114" s="44"/>
      <x:c r="P114" s="44"/>
      <x:c r="Q114" s="44"/>
      <x:c r="R114" s="44"/>
      <x:c r="S114" s="44"/>
      <x:c r="T114" s="44"/>
      <x:c r="U114" s="44"/>
      <x:c r="V114" s="45"/>
      <x:c r="W114" s="45"/>
      <x:c r="X114" s="45"/>
      <x:c r="Y114" s="44"/>
      <x:c r="Z114" s="44"/>
      <x:c r="AA114" s="44"/>
      <x:c r="AB114" s="44"/>
      <x:c r="AC114" s="44"/>
      <x:c r="AD114" s="44"/>
      <x:c r="AE114" s="19" t="str">
        <x:f>IF(COUNTA(Y114:AC114)=0,"",COUNTIF(Y114:AC114,"Yes")/COUNTA(Y114:AC114))</x:f>
      </x:c>
    </x:row>
    <x:row r="115">
      <x:c r="D115" s="18"/>
      <x:c r="E115" s="18"/>
      <x:c r="N115" s="44"/>
      <x:c r="O115" s="44"/>
      <x:c r="P115" s="44"/>
      <x:c r="Q115" s="44"/>
      <x:c r="R115" s="44"/>
      <x:c r="S115" s="44"/>
      <x:c r="T115" s="44"/>
      <x:c r="U115" s="44"/>
      <x:c r="V115" s="45"/>
      <x:c r="W115" s="45"/>
      <x:c r="X115" s="45"/>
      <x:c r="Y115" s="44"/>
      <x:c r="Z115" s="44"/>
      <x:c r="AA115" s="44"/>
      <x:c r="AB115" s="44"/>
      <x:c r="AC115" s="44"/>
      <x:c r="AD115" s="44"/>
      <x:c r="AE115" s="19" t="str">
        <x:f>IF(COUNTA(Y115:AC115)=0,"",COUNTIF(Y115:AC115,"Yes")/COUNTA(Y115:AC115))</x:f>
      </x:c>
    </x:row>
    <x:row r="116">
      <x:c r="D116" s="18"/>
      <x:c r="E116" s="18"/>
      <x:c r="N116" s="44"/>
      <x:c r="O116" s="44"/>
      <x:c r="P116" s="44"/>
      <x:c r="Q116" s="44"/>
      <x:c r="R116" s="44"/>
      <x:c r="S116" s="44"/>
      <x:c r="T116" s="44"/>
      <x:c r="U116" s="44"/>
      <x:c r="V116" s="45"/>
      <x:c r="W116" s="45"/>
      <x:c r="X116" s="45"/>
      <x:c r="Y116" s="44"/>
      <x:c r="Z116" s="44"/>
      <x:c r="AA116" s="44"/>
      <x:c r="AB116" s="44"/>
      <x:c r="AC116" s="44"/>
      <x:c r="AD116" s="44"/>
      <x:c r="AE116" s="19" t="str">
        <x:f>IF(COUNTA(Y116:AC116)=0,"",COUNTIF(Y116:AC116,"Yes")/COUNTA(Y116:AC116))</x:f>
      </x:c>
    </x:row>
    <x:row r="117">
      <x:c r="D117" s="18"/>
      <x:c r="E117" s="18"/>
      <x:c r="N117" s="44"/>
      <x:c r="O117" s="44"/>
      <x:c r="P117" s="44"/>
      <x:c r="Q117" s="44"/>
      <x:c r="R117" s="44"/>
      <x:c r="S117" s="44"/>
      <x:c r="T117" s="44"/>
      <x:c r="U117" s="44"/>
      <x:c r="V117" s="45"/>
      <x:c r="W117" s="45"/>
      <x:c r="X117" s="45"/>
      <x:c r="Y117" s="44"/>
      <x:c r="Z117" s="44"/>
      <x:c r="AA117" s="44"/>
      <x:c r="AB117" s="44"/>
      <x:c r="AC117" s="44"/>
      <x:c r="AD117" s="44"/>
      <x:c r="AE117" s="19" t="str">
        <x:f>IF(COUNTA(Y117:AC117)=0,"",COUNTIF(Y117:AC117,"Yes")/COUNTA(Y117:AC117))</x:f>
      </x:c>
    </x:row>
    <x:row r="118">
      <x:c r="D118" s="18"/>
      <x:c r="E118" s="18"/>
      <x:c r="N118" s="44"/>
      <x:c r="O118" s="44"/>
      <x:c r="P118" s="44"/>
      <x:c r="Q118" s="44"/>
      <x:c r="R118" s="44"/>
      <x:c r="S118" s="44"/>
      <x:c r="T118" s="44"/>
      <x:c r="U118" s="44"/>
      <x:c r="V118" s="45"/>
      <x:c r="W118" s="45"/>
      <x:c r="X118" s="45"/>
      <x:c r="Y118" s="44"/>
      <x:c r="Z118" s="44"/>
      <x:c r="AA118" s="44"/>
      <x:c r="AB118" s="44"/>
      <x:c r="AC118" s="44"/>
      <x:c r="AD118" s="44"/>
      <x:c r="AE118" s="19" t="str">
        <x:f>IF(COUNTA(Y118:AC118)=0,"",COUNTIF(Y118:AC118,"Yes")/COUNTA(Y118:AC118))</x:f>
      </x:c>
    </x:row>
    <x:row r="119">
      <x:c r="D119" s="18"/>
      <x:c r="E119" s="18"/>
      <x:c r="N119" s="44"/>
      <x:c r="O119" s="44"/>
      <x:c r="P119" s="44"/>
      <x:c r="Q119" s="44"/>
      <x:c r="R119" s="44"/>
      <x:c r="S119" s="44"/>
      <x:c r="T119" s="44"/>
      <x:c r="U119" s="44"/>
      <x:c r="V119" s="45"/>
      <x:c r="W119" s="45"/>
      <x:c r="X119" s="45"/>
      <x:c r="Y119" s="44"/>
      <x:c r="Z119" s="44"/>
      <x:c r="AA119" s="44"/>
      <x:c r="AB119" s="44"/>
      <x:c r="AC119" s="44"/>
      <x:c r="AD119" s="44"/>
      <x:c r="AE119" s="19" t="str">
        <x:f>IF(COUNTA(Y119:AC119)=0,"",COUNTIF(Y119:AC119,"Yes")/COUNTA(Y119:AC119))</x:f>
      </x:c>
    </x:row>
    <x:row r="120">
      <x:c r="D120" s="18"/>
      <x:c r="E120" s="18"/>
      <x:c r="N120" s="44"/>
      <x:c r="O120" s="44"/>
      <x:c r="P120" s="44"/>
      <x:c r="Q120" s="44"/>
      <x:c r="R120" s="44"/>
      <x:c r="S120" s="44"/>
      <x:c r="T120" s="44"/>
      <x:c r="U120" s="44"/>
      <x:c r="V120" s="45"/>
      <x:c r="W120" s="45"/>
      <x:c r="X120" s="45"/>
      <x:c r="Y120" s="44"/>
      <x:c r="Z120" s="44"/>
      <x:c r="AA120" s="44"/>
      <x:c r="AB120" s="44"/>
      <x:c r="AC120" s="44"/>
      <x:c r="AD120" s="44"/>
      <x:c r="AE120" s="19" t="str">
        <x:f>IF(COUNTA(Y120:AC120)=0,"",COUNTIF(Y120:AC120,"Yes")/COUNTA(Y120:AC120))</x:f>
      </x:c>
    </x:row>
    <x:row r="121">
      <x:c r="D121" s="18"/>
      <x:c r="E121" s="18"/>
      <x:c r="N121" s="44"/>
      <x:c r="O121" s="44"/>
      <x:c r="P121" s="44"/>
      <x:c r="Q121" s="44"/>
      <x:c r="R121" s="44"/>
      <x:c r="S121" s="44"/>
      <x:c r="T121" s="44"/>
      <x:c r="U121" s="44"/>
      <x:c r="V121" s="45"/>
      <x:c r="W121" s="45"/>
      <x:c r="X121" s="45"/>
      <x:c r="Y121" s="44"/>
      <x:c r="Z121" s="44"/>
      <x:c r="AA121" s="44"/>
      <x:c r="AB121" s="44"/>
      <x:c r="AC121" s="44"/>
      <x:c r="AD121" s="44"/>
      <x:c r="AE121" s="19" t="str">
        <x:f>IF(COUNTA(Y121:AC121)=0,"",COUNTIF(Y121:AC121,"Yes")/COUNTA(Y121:AC121))</x:f>
      </x:c>
    </x:row>
    <x:row r="122">
      <x:c r="D122" s="18"/>
      <x:c r="E122" s="18"/>
      <x:c r="N122" s="44"/>
      <x:c r="O122" s="44"/>
      <x:c r="P122" s="44"/>
      <x:c r="Q122" s="44"/>
      <x:c r="R122" s="44"/>
      <x:c r="S122" s="44"/>
      <x:c r="T122" s="44"/>
      <x:c r="U122" s="44"/>
      <x:c r="V122" s="45"/>
      <x:c r="W122" s="45"/>
      <x:c r="X122" s="45"/>
      <x:c r="Y122" s="44"/>
      <x:c r="Z122" s="44"/>
      <x:c r="AA122" s="44"/>
      <x:c r="AB122" s="44"/>
      <x:c r="AC122" s="44"/>
      <x:c r="AD122" s="44"/>
      <x:c r="AE122" s="19" t="str">
        <x:f>IF(COUNTA(Y122:AC122)=0,"",COUNTIF(Y122:AC122,"Yes")/COUNTA(Y122:AC122))</x:f>
      </x:c>
    </x:row>
    <x:row r="123">
      <x:c r="D123" s="18"/>
      <x:c r="E123" s="18"/>
      <x:c r="N123" s="44"/>
      <x:c r="O123" s="44"/>
      <x:c r="P123" s="44"/>
      <x:c r="Q123" s="44"/>
      <x:c r="R123" s="44"/>
      <x:c r="S123" s="44"/>
      <x:c r="T123" s="44"/>
      <x:c r="U123" s="44"/>
      <x:c r="V123" s="45"/>
      <x:c r="W123" s="45"/>
      <x:c r="X123" s="45"/>
      <x:c r="Y123" s="44"/>
      <x:c r="Z123" s="44"/>
      <x:c r="AA123" s="44"/>
      <x:c r="AB123" s="44"/>
      <x:c r="AC123" s="44"/>
      <x:c r="AD123" s="44"/>
      <x:c r="AE123" s="19" t="str">
        <x:f>IF(COUNTA(Y123:AC123)=0,"",COUNTIF(Y123:AC123,"Yes")/COUNTA(Y123:AC123))</x:f>
      </x:c>
    </x:row>
    <x:row r="124">
      <x:c r="D124" s="18"/>
      <x:c r="E124" s="18"/>
      <x:c r="N124" s="44"/>
      <x:c r="O124" s="44"/>
      <x:c r="P124" s="44"/>
      <x:c r="Q124" s="44"/>
      <x:c r="R124" s="44"/>
      <x:c r="S124" s="44"/>
      <x:c r="T124" s="44"/>
      <x:c r="U124" s="44"/>
      <x:c r="V124" s="45"/>
      <x:c r="W124" s="45"/>
      <x:c r="X124" s="45"/>
      <x:c r="Y124" s="44"/>
      <x:c r="Z124" s="44"/>
      <x:c r="AA124" s="44"/>
      <x:c r="AB124" s="44"/>
      <x:c r="AC124" s="44"/>
      <x:c r="AD124" s="44"/>
      <x:c r="AE124" s="19" t="str">
        <x:f>IF(COUNTA(Y124:AC124)=0,"",COUNTIF(Y124:AC124,"Yes")/COUNTA(Y124:AC124))</x:f>
      </x:c>
    </x:row>
    <x:row r="125">
      <x:c r="D125" s="18"/>
      <x:c r="E125" s="18"/>
      <x:c r="N125" s="44"/>
      <x:c r="O125" s="44"/>
      <x:c r="P125" s="44"/>
      <x:c r="Q125" s="44"/>
      <x:c r="R125" s="44"/>
      <x:c r="S125" s="44"/>
      <x:c r="T125" s="44"/>
      <x:c r="U125" s="44"/>
      <x:c r="V125" s="45"/>
      <x:c r="W125" s="45"/>
      <x:c r="X125" s="45"/>
      <x:c r="Y125" s="44"/>
      <x:c r="Z125" s="44"/>
      <x:c r="AA125" s="44"/>
      <x:c r="AB125" s="44"/>
      <x:c r="AC125" s="44"/>
      <x:c r="AD125" s="44"/>
      <x:c r="AE125" s="19" t="str">
        <x:f>IF(COUNTA(Y125:AC125)=0,"",COUNTIF(Y125:AC125,"Yes")/COUNTA(Y125:AC125))</x:f>
      </x:c>
    </x:row>
    <x:row r="126">
      <x:c r="D126" s="18"/>
      <x:c r="E126" s="18"/>
      <x:c r="N126" s="44"/>
      <x:c r="O126" s="44"/>
      <x:c r="P126" s="44"/>
      <x:c r="Q126" s="44"/>
      <x:c r="R126" s="44"/>
      <x:c r="S126" s="44"/>
      <x:c r="T126" s="44"/>
      <x:c r="U126" s="44"/>
      <x:c r="V126" s="45"/>
      <x:c r="W126" s="45"/>
      <x:c r="X126" s="45"/>
      <x:c r="Y126" s="44"/>
      <x:c r="Z126" s="44"/>
      <x:c r="AA126" s="44"/>
      <x:c r="AB126" s="44"/>
      <x:c r="AC126" s="44"/>
      <x:c r="AD126" s="44"/>
      <x:c r="AE126" s="19" t="str">
        <x:f>IF(COUNTA(Y126:AC126)=0,"",COUNTIF(Y126:AC126,"Yes")/COUNTA(Y126:AC126))</x:f>
      </x:c>
    </x:row>
    <x:row r="127">
      <x:c r="D127" s="18"/>
      <x:c r="E127" s="18"/>
      <x:c r="N127" s="44"/>
      <x:c r="O127" s="44"/>
      <x:c r="P127" s="44"/>
      <x:c r="Q127" s="44"/>
      <x:c r="R127" s="44"/>
      <x:c r="S127" s="44"/>
      <x:c r="T127" s="44"/>
      <x:c r="U127" s="44"/>
      <x:c r="V127" s="45"/>
      <x:c r="W127" s="45"/>
      <x:c r="X127" s="45"/>
      <x:c r="Y127" s="44"/>
      <x:c r="Z127" s="44"/>
      <x:c r="AA127" s="44"/>
      <x:c r="AB127" s="44"/>
      <x:c r="AC127" s="44"/>
      <x:c r="AD127" s="44"/>
      <x:c r="AE127" s="19" t="str">
        <x:f>IF(COUNTA(Y127:AC127)=0,"",COUNTIF(Y127:AC127,"Yes")/COUNTA(Y127:AC127))</x:f>
      </x:c>
    </x:row>
    <x:row r="128">
      <x:c r="D128" s="18"/>
      <x:c r="E128" s="18"/>
      <x:c r="N128" s="44"/>
      <x:c r="O128" s="44"/>
      <x:c r="P128" s="44"/>
      <x:c r="Q128" s="44"/>
      <x:c r="R128" s="44"/>
      <x:c r="S128" s="44"/>
      <x:c r="T128" s="44"/>
      <x:c r="U128" s="44"/>
      <x:c r="V128" s="45"/>
      <x:c r="W128" s="45"/>
      <x:c r="X128" s="45"/>
      <x:c r="Y128" s="44"/>
      <x:c r="Z128" s="44"/>
      <x:c r="AA128" s="44"/>
      <x:c r="AB128" s="44"/>
      <x:c r="AC128" s="44"/>
      <x:c r="AD128" s="44"/>
      <x:c r="AE128" s="19" t="str">
        <x:f>IF(COUNTA(Y128:AC128)=0,"",COUNTIF(Y128:AC128,"Yes")/COUNTA(Y128:AC128))</x:f>
      </x:c>
    </x:row>
    <x:row r="129">
      <x:c r="D129" s="18"/>
      <x:c r="E129" s="18"/>
      <x:c r="N129" s="44"/>
      <x:c r="O129" s="44"/>
      <x:c r="P129" s="44"/>
      <x:c r="Q129" s="44"/>
      <x:c r="R129" s="44"/>
      <x:c r="S129" s="44"/>
      <x:c r="T129" s="44"/>
      <x:c r="U129" s="44"/>
      <x:c r="V129" s="45"/>
      <x:c r="W129" s="45"/>
      <x:c r="X129" s="45"/>
      <x:c r="Y129" s="44"/>
      <x:c r="Z129" s="44"/>
      <x:c r="AA129" s="44"/>
      <x:c r="AB129" s="44"/>
      <x:c r="AC129" s="44"/>
      <x:c r="AD129" s="44"/>
      <x:c r="AE129" s="19" t="str">
        <x:f>IF(COUNTA(Y129:AC129)=0,"",COUNTIF(Y129:AC129,"Yes")/COUNTA(Y129:AC129))</x:f>
      </x:c>
    </x:row>
    <x:row r="130">
      <x:c r="D130" s="18"/>
      <x:c r="E130" s="18"/>
      <x:c r="N130" s="44"/>
      <x:c r="O130" s="44"/>
      <x:c r="P130" s="44"/>
      <x:c r="Q130" s="44"/>
      <x:c r="R130" s="44"/>
      <x:c r="S130" s="44"/>
      <x:c r="T130" s="44"/>
      <x:c r="U130" s="44"/>
      <x:c r="V130" s="45"/>
      <x:c r="W130" s="45"/>
      <x:c r="X130" s="45"/>
      <x:c r="Y130" s="44"/>
      <x:c r="Z130" s="44"/>
      <x:c r="AA130" s="44"/>
      <x:c r="AB130" s="44"/>
      <x:c r="AC130" s="44"/>
      <x:c r="AD130" s="44"/>
      <x:c r="AE130" s="19" t="str">
        <x:f>IF(COUNTA(Y130:AC130)=0,"",COUNTIF(Y130:AC130,"Yes")/COUNTA(Y130:AC130))</x:f>
      </x:c>
    </x:row>
    <x:row r="131">
      <x:c r="D131" s="18"/>
      <x:c r="E131" s="18"/>
      <x:c r="N131" s="44"/>
      <x:c r="O131" s="44"/>
      <x:c r="P131" s="44"/>
      <x:c r="Q131" s="44"/>
      <x:c r="R131" s="44"/>
      <x:c r="S131" s="44"/>
      <x:c r="T131" s="44"/>
      <x:c r="U131" s="44"/>
      <x:c r="V131" s="45"/>
      <x:c r="W131" s="45"/>
      <x:c r="X131" s="45"/>
      <x:c r="Y131" s="44"/>
      <x:c r="Z131" s="44"/>
      <x:c r="AA131" s="44"/>
      <x:c r="AB131" s="44"/>
      <x:c r="AC131" s="44"/>
      <x:c r="AD131" s="44"/>
      <x:c r="AE131" s="19" t="str">
        <x:f>IF(COUNTA(Y131:AC131)=0,"",COUNTIF(Y131:AC131,"Yes")/COUNTA(Y131:AC131))</x:f>
      </x:c>
    </x:row>
    <x:row r="132">
      <x:c r="D132" s="18"/>
      <x:c r="E132" s="18"/>
      <x:c r="N132" s="44"/>
      <x:c r="O132" s="44"/>
      <x:c r="P132" s="44"/>
      <x:c r="Q132" s="44"/>
      <x:c r="R132" s="44"/>
      <x:c r="S132" s="44"/>
      <x:c r="T132" s="44"/>
      <x:c r="U132" s="44"/>
      <x:c r="V132" s="45"/>
      <x:c r="W132" s="45"/>
      <x:c r="X132" s="45"/>
      <x:c r="Y132" s="44"/>
      <x:c r="Z132" s="44"/>
      <x:c r="AA132" s="44"/>
      <x:c r="AB132" s="44"/>
      <x:c r="AC132" s="44"/>
      <x:c r="AD132" s="44"/>
      <x:c r="AE132" s="19" t="str">
        <x:f>IF(COUNTA(Y132:AC132)=0,"",COUNTIF(Y132:AC132,"Yes")/COUNTA(Y132:AC132))</x:f>
      </x:c>
    </x:row>
    <x:row r="133">
      <x:c r="D133" s="18"/>
      <x:c r="E133" s="18"/>
      <x:c r="N133" s="44"/>
      <x:c r="O133" s="44"/>
      <x:c r="P133" s="44"/>
      <x:c r="Q133" s="44"/>
      <x:c r="R133" s="44"/>
      <x:c r="S133" s="44"/>
      <x:c r="T133" s="44"/>
      <x:c r="U133" s="44"/>
      <x:c r="V133" s="45"/>
      <x:c r="W133" s="45"/>
      <x:c r="X133" s="45"/>
      <x:c r="Y133" s="44"/>
      <x:c r="Z133" s="44"/>
      <x:c r="AA133" s="44"/>
      <x:c r="AB133" s="44"/>
      <x:c r="AC133" s="44"/>
      <x:c r="AD133" s="44"/>
      <x:c r="AE133" s="19" t="str">
        <x:f>IF(COUNTA(Y133:AC133)=0,"",COUNTIF(Y133:AC133,"Yes")/COUNTA(Y133:AC133))</x:f>
      </x:c>
    </x:row>
    <x:row r="134">
      <x:c r="D134" s="18"/>
      <x:c r="E134" s="18"/>
      <x:c r="N134" s="44"/>
      <x:c r="O134" s="44"/>
      <x:c r="P134" s="44"/>
      <x:c r="Q134" s="44"/>
      <x:c r="R134" s="44"/>
      <x:c r="S134" s="44"/>
      <x:c r="T134" s="44"/>
      <x:c r="U134" s="44"/>
      <x:c r="V134" s="45"/>
      <x:c r="W134" s="45"/>
      <x:c r="X134" s="45"/>
      <x:c r="Y134" s="44"/>
      <x:c r="Z134" s="44"/>
      <x:c r="AA134" s="44"/>
      <x:c r="AB134" s="44"/>
      <x:c r="AC134" s="44"/>
      <x:c r="AD134" s="44"/>
      <x:c r="AE134" s="19" t="str">
        <x:f>IF(COUNTA(Y134:AC134)=0,"",COUNTIF(Y134:AC134,"Yes")/COUNTA(Y134:AC134))</x:f>
      </x:c>
    </x:row>
    <x:row r="135">
      <x:c r="D135" s="18"/>
      <x:c r="E135" s="18"/>
      <x:c r="N135" s="44"/>
      <x:c r="O135" s="44"/>
      <x:c r="P135" s="44"/>
      <x:c r="Q135" s="44"/>
      <x:c r="R135" s="44"/>
      <x:c r="S135" s="44"/>
      <x:c r="T135" s="44"/>
      <x:c r="U135" s="44"/>
      <x:c r="V135" s="45"/>
      <x:c r="W135" s="45"/>
      <x:c r="X135" s="45"/>
      <x:c r="Y135" s="44"/>
      <x:c r="Z135" s="44"/>
      <x:c r="AA135" s="44"/>
      <x:c r="AB135" s="44"/>
      <x:c r="AC135" s="44"/>
      <x:c r="AD135" s="44"/>
      <x:c r="AE135" s="19" t="str">
        <x:f>IF(COUNTA(Y135:AC135)=0,"",COUNTIF(Y135:AC135,"Yes")/COUNTA(Y135:AC135))</x:f>
      </x:c>
    </x:row>
    <x:row r="136">
      <x:c r="D136" s="18"/>
      <x:c r="E136" s="18"/>
      <x:c r="N136" s="44"/>
      <x:c r="O136" s="44"/>
      <x:c r="P136" s="44"/>
      <x:c r="Q136" s="44"/>
      <x:c r="R136" s="44"/>
      <x:c r="S136" s="44"/>
      <x:c r="T136" s="44"/>
      <x:c r="U136" s="44"/>
      <x:c r="V136" s="45"/>
      <x:c r="W136" s="45"/>
      <x:c r="X136" s="45"/>
      <x:c r="Y136" s="44"/>
      <x:c r="Z136" s="44"/>
      <x:c r="AA136" s="44"/>
      <x:c r="AB136" s="44"/>
      <x:c r="AC136" s="44"/>
      <x:c r="AD136" s="44"/>
      <x:c r="AE136" s="19" t="str">
        <x:f>IF(COUNTA(Y136:AC136)=0,"",COUNTIF(Y136:AC136,"Yes")/COUNTA(Y136:AC136))</x:f>
      </x:c>
    </x:row>
    <x:row r="137">
      <x:c r="D137" s="18"/>
      <x:c r="E137" s="18"/>
      <x:c r="N137" s="44"/>
      <x:c r="O137" s="44"/>
      <x:c r="P137" s="44"/>
      <x:c r="Q137" s="44"/>
      <x:c r="R137" s="44"/>
      <x:c r="S137" s="44"/>
      <x:c r="T137" s="44"/>
      <x:c r="U137" s="44"/>
      <x:c r="V137" s="45"/>
      <x:c r="W137" s="45"/>
      <x:c r="X137" s="45"/>
      <x:c r="Y137" s="44"/>
      <x:c r="Z137" s="44"/>
      <x:c r="AA137" s="44"/>
      <x:c r="AB137" s="44"/>
      <x:c r="AC137" s="44"/>
      <x:c r="AD137" s="44"/>
      <x:c r="AE137" s="19" t="str">
        <x:f>IF(COUNTA(Y137:AC137)=0,"",COUNTIF(Y137:AC137,"Yes")/COUNTA(Y137:AC137))</x:f>
      </x:c>
    </x:row>
    <x:row r="138">
      <x:c r="D138" s="18"/>
      <x:c r="E138" s="18"/>
      <x:c r="N138" s="44"/>
      <x:c r="O138" s="44"/>
      <x:c r="P138" s="44"/>
      <x:c r="Q138" s="44"/>
      <x:c r="R138" s="44"/>
      <x:c r="S138" s="44"/>
      <x:c r="T138" s="44"/>
      <x:c r="U138" s="44"/>
      <x:c r="V138" s="45"/>
      <x:c r="W138" s="45"/>
      <x:c r="X138" s="45"/>
      <x:c r="Y138" s="44"/>
      <x:c r="Z138" s="44"/>
      <x:c r="AA138" s="44"/>
      <x:c r="AB138" s="44"/>
      <x:c r="AC138" s="44"/>
      <x:c r="AD138" s="44"/>
      <x:c r="AE138" s="19" t="str">
        <x:f>IF(COUNTA(Y138:AC138)=0,"",COUNTIF(Y138:AC138,"Yes")/COUNTA(Y138:AC138))</x:f>
      </x:c>
    </x:row>
    <x:row r="139">
      <x:c r="D139" s="18"/>
      <x:c r="E139" s="18"/>
      <x:c r="N139" s="44"/>
      <x:c r="O139" s="44"/>
      <x:c r="P139" s="44"/>
      <x:c r="Q139" s="44"/>
      <x:c r="R139" s="44"/>
      <x:c r="S139" s="44"/>
      <x:c r="T139" s="44"/>
      <x:c r="U139" s="44"/>
      <x:c r="V139" s="45"/>
      <x:c r="W139" s="45"/>
      <x:c r="X139" s="45"/>
      <x:c r="Y139" s="44"/>
      <x:c r="Z139" s="44"/>
      <x:c r="AA139" s="44"/>
      <x:c r="AB139" s="44"/>
      <x:c r="AC139" s="44"/>
      <x:c r="AD139" s="44"/>
      <x:c r="AE139" s="19" t="str">
        <x:f>IF(COUNTA(Y139:AC139)=0,"",COUNTIF(Y139:AC139,"Yes")/COUNTA(Y139:AC139))</x:f>
      </x:c>
    </x:row>
    <x:row r="140">
      <x:c r="D140" s="18"/>
      <x:c r="E140" s="18"/>
      <x:c r="N140" s="44"/>
      <x:c r="O140" s="44"/>
      <x:c r="P140" s="44"/>
      <x:c r="Q140" s="44"/>
      <x:c r="R140" s="44"/>
      <x:c r="S140" s="44"/>
      <x:c r="T140" s="44"/>
      <x:c r="U140" s="44"/>
      <x:c r="V140" s="45"/>
      <x:c r="W140" s="45"/>
      <x:c r="X140" s="45"/>
      <x:c r="Y140" s="44"/>
      <x:c r="Z140" s="44"/>
      <x:c r="AA140" s="44"/>
      <x:c r="AB140" s="44"/>
      <x:c r="AC140" s="44"/>
      <x:c r="AD140" s="44"/>
      <x:c r="AE140" s="19" t="str">
        <x:f>IF(COUNTA(Y140:AC140)=0,"",COUNTIF(Y140:AC140,"Yes")/COUNTA(Y140:AC140))</x:f>
      </x:c>
    </x:row>
    <x:row r="141">
      <x:c r="D141" s="18"/>
      <x:c r="E141" s="18"/>
      <x:c r="N141" s="44"/>
      <x:c r="O141" s="44"/>
      <x:c r="P141" s="44"/>
      <x:c r="Q141" s="44"/>
      <x:c r="R141" s="44"/>
      <x:c r="S141" s="44"/>
      <x:c r="T141" s="44"/>
      <x:c r="U141" s="44"/>
      <x:c r="V141" s="45"/>
      <x:c r="W141" s="45"/>
      <x:c r="X141" s="45"/>
      <x:c r="Y141" s="44"/>
      <x:c r="Z141" s="44"/>
      <x:c r="AA141" s="44"/>
      <x:c r="AB141" s="44"/>
      <x:c r="AC141" s="44"/>
      <x:c r="AD141" s="44"/>
      <x:c r="AE141" s="19" t="str">
        <x:f>IF(COUNTA(Y141:AC141)=0,"",COUNTIF(Y141:AC141,"Yes")/COUNTA(Y141:AC141))</x:f>
      </x:c>
    </x:row>
    <x:row r="142">
      <x:c r="D142" s="18"/>
      <x:c r="E142" s="18"/>
      <x:c r="N142" s="44"/>
      <x:c r="O142" s="44"/>
      <x:c r="P142" s="44"/>
      <x:c r="Q142" s="44"/>
      <x:c r="R142" s="44"/>
      <x:c r="S142" s="44"/>
      <x:c r="T142" s="44"/>
      <x:c r="U142" s="44"/>
      <x:c r="V142" s="45"/>
      <x:c r="W142" s="45"/>
      <x:c r="X142" s="45"/>
      <x:c r="Y142" s="44"/>
      <x:c r="Z142" s="44"/>
      <x:c r="AA142" s="44"/>
      <x:c r="AB142" s="44"/>
      <x:c r="AC142" s="44"/>
      <x:c r="AD142" s="44"/>
      <x:c r="AE142" s="19" t="str">
        <x:f>IF(COUNTA(Y142:AC142)=0,"",COUNTIF(Y142:AC142,"Yes")/COUNTA(Y142:AC142))</x:f>
      </x:c>
    </x:row>
    <x:row r="143">
      <x:c r="D143" s="18"/>
      <x:c r="E143" s="18"/>
      <x:c r="N143" s="44"/>
      <x:c r="O143" s="44"/>
      <x:c r="P143" s="44"/>
      <x:c r="Q143" s="44"/>
      <x:c r="R143" s="44"/>
      <x:c r="S143" s="44"/>
      <x:c r="T143" s="44"/>
      <x:c r="U143" s="44"/>
      <x:c r="V143" s="45"/>
      <x:c r="W143" s="45"/>
      <x:c r="X143" s="45"/>
      <x:c r="Y143" s="44"/>
      <x:c r="Z143" s="44"/>
      <x:c r="AA143" s="44"/>
      <x:c r="AB143" s="44"/>
      <x:c r="AC143" s="44"/>
      <x:c r="AD143" s="44"/>
      <x:c r="AE143" s="19" t="str">
        <x:f>IF(COUNTA(Y143:AC143)=0,"",COUNTIF(Y143:AC143,"Yes")/COUNTA(Y143:AC143))</x:f>
      </x:c>
    </x:row>
    <x:row r="144">
      <x:c r="D144" s="18"/>
      <x:c r="E144" s="18"/>
      <x:c r="N144" s="44"/>
      <x:c r="O144" s="44"/>
      <x:c r="P144" s="44"/>
      <x:c r="Q144" s="44"/>
      <x:c r="R144" s="44"/>
      <x:c r="S144" s="44"/>
      <x:c r="T144" s="44"/>
      <x:c r="U144" s="44"/>
      <x:c r="V144" s="45"/>
      <x:c r="W144" s="45"/>
      <x:c r="X144" s="45"/>
      <x:c r="Y144" s="44"/>
      <x:c r="Z144" s="44"/>
      <x:c r="AA144" s="44"/>
      <x:c r="AB144" s="44"/>
      <x:c r="AC144" s="44"/>
      <x:c r="AD144" s="44"/>
      <x:c r="AE144" s="19" t="str">
        <x:f>IF(COUNTA(Y144:AC144)=0,"",COUNTIF(Y144:AC144,"Yes")/COUNTA(Y144:AC144))</x:f>
      </x:c>
    </x:row>
    <x:row r="145">
      <x:c r="D145" s="18"/>
      <x:c r="E145" s="18"/>
      <x:c r="N145" s="44"/>
      <x:c r="O145" s="44"/>
      <x:c r="P145" s="44"/>
      <x:c r="Q145" s="44"/>
      <x:c r="R145" s="44"/>
      <x:c r="S145" s="44"/>
      <x:c r="T145" s="44"/>
      <x:c r="U145" s="44"/>
      <x:c r="V145" s="45"/>
      <x:c r="W145" s="45"/>
      <x:c r="X145" s="45"/>
      <x:c r="Y145" s="44"/>
      <x:c r="Z145" s="44"/>
      <x:c r="AA145" s="44"/>
      <x:c r="AB145" s="44"/>
      <x:c r="AC145" s="44"/>
      <x:c r="AD145" s="44"/>
      <x:c r="AE145" s="19" t="str">
        <x:f>IF(COUNTA(Y145:AC145)=0,"",COUNTIF(Y145:AC145,"Yes")/COUNTA(Y145:AC145))</x:f>
      </x:c>
    </x:row>
    <x:row r="146">
      <x:c r="D146" s="18"/>
      <x:c r="E146" s="18"/>
      <x:c r="N146" s="44"/>
      <x:c r="O146" s="44"/>
      <x:c r="P146" s="44"/>
      <x:c r="Q146" s="44"/>
      <x:c r="R146" s="44"/>
      <x:c r="S146" s="44"/>
      <x:c r="T146" s="44"/>
      <x:c r="U146" s="44"/>
      <x:c r="V146" s="45"/>
      <x:c r="W146" s="45"/>
      <x:c r="X146" s="45"/>
      <x:c r="Y146" s="44"/>
      <x:c r="Z146" s="44"/>
      <x:c r="AA146" s="44"/>
      <x:c r="AB146" s="44"/>
      <x:c r="AC146" s="44"/>
      <x:c r="AD146" s="44"/>
      <x:c r="AE146" s="19" t="str">
        <x:f>IF(COUNTA(Y146:AC146)=0,"",COUNTIF(Y146:AC146,"Yes")/COUNTA(Y146:AC146))</x:f>
      </x:c>
    </x:row>
    <x:row r="147">
      <x:c r="D147" s="18"/>
      <x:c r="E147" s="18"/>
      <x:c r="N147" s="44"/>
      <x:c r="O147" s="44"/>
      <x:c r="P147" s="44"/>
      <x:c r="Q147" s="44"/>
      <x:c r="R147" s="44"/>
      <x:c r="S147" s="44"/>
      <x:c r="T147" s="44"/>
      <x:c r="U147" s="44"/>
      <x:c r="V147" s="45"/>
      <x:c r="W147" s="45"/>
      <x:c r="X147" s="45"/>
      <x:c r="Y147" s="44"/>
      <x:c r="Z147" s="44"/>
      <x:c r="AA147" s="44"/>
      <x:c r="AB147" s="44"/>
      <x:c r="AC147" s="44"/>
      <x:c r="AD147" s="44"/>
      <x:c r="AE147" s="19" t="str">
        <x:f>IF(COUNTA(Y147:AC147)=0,"",COUNTIF(Y147:AC147,"Yes")/COUNTA(Y147:AC147))</x:f>
      </x:c>
    </x:row>
    <x:row r="148">
      <x:c r="D148" s="18"/>
      <x:c r="E148" s="18"/>
      <x:c r="N148" s="44"/>
      <x:c r="O148" s="44"/>
      <x:c r="P148" s="44"/>
      <x:c r="Q148" s="44"/>
      <x:c r="R148" s="44"/>
      <x:c r="S148" s="44"/>
      <x:c r="T148" s="44"/>
      <x:c r="U148" s="44"/>
      <x:c r="V148" s="45"/>
      <x:c r="W148" s="45"/>
      <x:c r="X148" s="45"/>
      <x:c r="Y148" s="44"/>
      <x:c r="Z148" s="44"/>
      <x:c r="AA148" s="44"/>
      <x:c r="AB148" s="44"/>
      <x:c r="AC148" s="44"/>
      <x:c r="AD148" s="44"/>
      <x:c r="AE148" s="19" t="str">
        <x:f>IF(COUNTA(Y148:AC148)=0,"",COUNTIF(Y148:AC148,"Yes")/COUNTA(Y148:AC148))</x:f>
      </x:c>
    </x:row>
    <x:row r="149">
      <x:c r="D149" s="18"/>
      <x:c r="E149" s="18"/>
      <x:c r="N149" s="44"/>
      <x:c r="O149" s="44"/>
      <x:c r="P149" s="44"/>
      <x:c r="Q149" s="44"/>
      <x:c r="R149" s="44"/>
      <x:c r="S149" s="44"/>
      <x:c r="T149" s="44"/>
      <x:c r="U149" s="44"/>
      <x:c r="V149" s="45"/>
      <x:c r="W149" s="45"/>
      <x:c r="X149" s="45"/>
      <x:c r="Y149" s="44"/>
      <x:c r="Z149" s="44"/>
      <x:c r="AA149" s="44"/>
      <x:c r="AB149" s="44"/>
      <x:c r="AC149" s="44"/>
      <x:c r="AD149" s="44"/>
      <x:c r="AE149" s="19" t="str">
        <x:f>IF(COUNTA(Y149:AC149)=0,"",COUNTIF(Y149:AC149,"Yes")/COUNTA(Y149:AC149))</x:f>
      </x:c>
    </x:row>
    <x:row r="150">
      <x:c r="D150" s="18"/>
      <x:c r="E150" s="18"/>
      <x:c r="N150" s="44"/>
      <x:c r="O150" s="44"/>
      <x:c r="P150" s="44"/>
      <x:c r="Q150" s="44"/>
      <x:c r="R150" s="44"/>
      <x:c r="S150" s="44"/>
      <x:c r="T150" s="44"/>
      <x:c r="U150" s="44"/>
      <x:c r="V150" s="45"/>
      <x:c r="W150" s="45"/>
      <x:c r="X150" s="45"/>
      <x:c r="Y150" s="44"/>
      <x:c r="Z150" s="44"/>
      <x:c r="AA150" s="44"/>
      <x:c r="AB150" s="44"/>
      <x:c r="AC150" s="44"/>
      <x:c r="AD150" s="44"/>
      <x:c r="AE150" s="19" t="str">
        <x:f>IF(COUNTA(Y150:AC150)=0,"",COUNTIF(Y150:AC150,"Yes")/COUNTA(Y150:AC150))</x:f>
      </x:c>
    </x:row>
    <x:row r="151">
      <x:c r="D151" s="18"/>
      <x:c r="E151" s="18"/>
      <x:c r="N151" s="44"/>
      <x:c r="O151" s="44"/>
      <x:c r="P151" s="44"/>
      <x:c r="Q151" s="44"/>
      <x:c r="R151" s="44"/>
      <x:c r="S151" s="44"/>
      <x:c r="T151" s="44"/>
      <x:c r="U151" s="44"/>
      <x:c r="V151" s="45"/>
      <x:c r="W151" s="45"/>
      <x:c r="X151" s="45"/>
      <x:c r="Y151" s="44"/>
      <x:c r="Z151" s="44"/>
      <x:c r="AA151" s="44"/>
      <x:c r="AB151" s="44"/>
      <x:c r="AC151" s="44"/>
      <x:c r="AD151" s="44"/>
      <x:c r="AE151" s="19" t="str">
        <x:f>IF(COUNTA(Y151:AC151)=0,"",COUNTIF(Y151:AC151,"Yes")/COUNTA(Y151:AC151))</x:f>
      </x:c>
    </x:row>
    <x:row r="152">
      <x:c r="D152" s="18"/>
      <x:c r="E152" s="18"/>
      <x:c r="N152" s="44"/>
      <x:c r="O152" s="44"/>
      <x:c r="P152" s="44"/>
      <x:c r="Q152" s="44"/>
      <x:c r="R152" s="44"/>
      <x:c r="S152" s="44"/>
      <x:c r="T152" s="44"/>
      <x:c r="U152" s="44"/>
      <x:c r="V152" s="45"/>
      <x:c r="W152" s="45"/>
      <x:c r="X152" s="45"/>
      <x:c r="Y152" s="44"/>
      <x:c r="Z152" s="44"/>
      <x:c r="AA152" s="44"/>
      <x:c r="AB152" s="44"/>
      <x:c r="AC152" s="44"/>
      <x:c r="AD152" s="44"/>
      <x:c r="AE152" s="19" t="str">
        <x:f>IF(COUNTA(Y152:AC152)=0,"",COUNTIF(Y152:AC152,"Yes")/COUNTA(Y152:AC152))</x:f>
      </x:c>
    </x:row>
    <x:row r="153">
      <x:c r="D153" s="18"/>
      <x:c r="E153" s="18"/>
      <x:c r="N153" s="44"/>
      <x:c r="O153" s="44"/>
      <x:c r="P153" s="44"/>
      <x:c r="Q153" s="44"/>
      <x:c r="R153" s="44"/>
      <x:c r="S153" s="44"/>
      <x:c r="T153" s="44"/>
      <x:c r="U153" s="44"/>
      <x:c r="V153" s="45"/>
      <x:c r="W153" s="45"/>
      <x:c r="X153" s="45"/>
      <x:c r="Y153" s="44"/>
      <x:c r="Z153" s="44"/>
      <x:c r="AA153" s="44"/>
      <x:c r="AB153" s="44"/>
      <x:c r="AC153" s="44"/>
      <x:c r="AD153" s="44"/>
      <x:c r="AE153" s="19" t="str">
        <x:f>IF(COUNTA(Y153:AC153)=0,"",COUNTIF(Y153:AC153,"Yes")/COUNTA(Y153:AC153))</x:f>
      </x:c>
    </x:row>
    <x:row r="154">
      <x:c r="D154" s="18"/>
      <x:c r="E154" s="18"/>
      <x:c r="N154" s="44"/>
      <x:c r="O154" s="44"/>
      <x:c r="P154" s="44"/>
      <x:c r="Q154" s="44"/>
      <x:c r="R154" s="44"/>
      <x:c r="S154" s="44"/>
      <x:c r="T154" s="44"/>
      <x:c r="U154" s="44"/>
      <x:c r="V154" s="45"/>
      <x:c r="W154" s="45"/>
      <x:c r="X154" s="45"/>
      <x:c r="Y154" s="44"/>
      <x:c r="Z154" s="44"/>
      <x:c r="AA154" s="44"/>
      <x:c r="AB154" s="44"/>
      <x:c r="AC154" s="44"/>
      <x:c r="AD154" s="44"/>
      <x:c r="AE154" s="19" t="str">
        <x:f>IF(COUNTA(Y154:AC154)=0,"",COUNTIF(Y154:AC154,"Yes")/COUNTA(Y154:AC154))</x:f>
      </x:c>
    </x:row>
    <x:row r="155">
      <x:c r="D155" s="18"/>
      <x:c r="E155" s="18"/>
      <x:c r="N155" s="44"/>
      <x:c r="O155" s="44"/>
      <x:c r="P155" s="44"/>
      <x:c r="Q155" s="44"/>
      <x:c r="R155" s="44"/>
      <x:c r="S155" s="44"/>
      <x:c r="T155" s="44"/>
      <x:c r="U155" s="44"/>
      <x:c r="V155" s="45"/>
      <x:c r="W155" s="45"/>
      <x:c r="X155" s="45"/>
      <x:c r="Y155" s="44"/>
      <x:c r="Z155" s="44"/>
      <x:c r="AA155" s="44"/>
      <x:c r="AB155" s="44"/>
      <x:c r="AC155" s="44"/>
      <x:c r="AD155" s="44"/>
      <x:c r="AE155" s="19" t="str">
        <x:f>IF(COUNTA(Y155:AC155)=0,"",COUNTIF(Y155:AC155,"Yes")/COUNTA(Y155:AC155))</x:f>
      </x:c>
    </x:row>
    <x:row r="156">
      <x:c r="D156" s="18"/>
      <x:c r="E156" s="18"/>
      <x:c r="N156" s="44"/>
      <x:c r="O156" s="44"/>
      <x:c r="P156" s="44"/>
      <x:c r="Q156" s="44"/>
      <x:c r="R156" s="44"/>
      <x:c r="S156" s="44"/>
      <x:c r="T156" s="44"/>
      <x:c r="U156" s="44"/>
      <x:c r="V156" s="45"/>
      <x:c r="W156" s="45"/>
      <x:c r="X156" s="45"/>
      <x:c r="Y156" s="44"/>
      <x:c r="Z156" s="44"/>
      <x:c r="AA156" s="44"/>
      <x:c r="AB156" s="44"/>
      <x:c r="AC156" s="44"/>
      <x:c r="AD156" s="44"/>
      <x:c r="AE156" s="19" t="str">
        <x:f>IF(COUNTA(Y156:AC156)=0,"",COUNTIF(Y156:AC156,"Yes")/COUNTA(Y156:AC156))</x:f>
      </x:c>
    </x:row>
    <x:row r="157">
      <x:c r="D157" s="18"/>
      <x:c r="E157" s="18"/>
      <x:c r="N157" s="44"/>
      <x:c r="O157" s="44"/>
      <x:c r="P157" s="44"/>
      <x:c r="Q157" s="44"/>
      <x:c r="R157" s="44"/>
      <x:c r="S157" s="44"/>
      <x:c r="T157" s="44"/>
      <x:c r="U157" s="44"/>
      <x:c r="V157" s="45"/>
      <x:c r="W157" s="45"/>
      <x:c r="X157" s="45"/>
      <x:c r="Y157" s="44"/>
      <x:c r="Z157" s="44"/>
      <x:c r="AA157" s="44"/>
      <x:c r="AB157" s="44"/>
      <x:c r="AC157" s="44"/>
      <x:c r="AD157" s="44"/>
      <x:c r="AE157" s="19" t="str">
        <x:f>IF(COUNTA(Y157:AC157)=0,"",COUNTIF(Y157:AC157,"Yes")/COUNTA(Y157:AC157))</x:f>
      </x:c>
    </x:row>
    <x:row r="158">
      <x:c r="D158" s="18"/>
      <x:c r="E158" s="18"/>
      <x:c r="N158" s="44"/>
      <x:c r="O158" s="44"/>
      <x:c r="P158" s="44"/>
      <x:c r="Q158" s="44"/>
      <x:c r="R158" s="44"/>
      <x:c r="S158" s="44"/>
      <x:c r="T158" s="44"/>
      <x:c r="U158" s="44"/>
      <x:c r="V158" s="45"/>
      <x:c r="W158" s="45"/>
      <x:c r="X158" s="45"/>
      <x:c r="Y158" s="44"/>
      <x:c r="Z158" s="44"/>
      <x:c r="AA158" s="44"/>
      <x:c r="AB158" s="44"/>
      <x:c r="AC158" s="44"/>
      <x:c r="AD158" s="44"/>
      <x:c r="AE158" s="19" t="str">
        <x:f>IF(COUNTA(Y158:AC158)=0,"",COUNTIF(Y158:AC158,"Yes")/COUNTA(Y158:AC158))</x:f>
      </x:c>
    </x:row>
    <x:row r="159">
      <x:c r="D159" s="18"/>
      <x:c r="E159" s="18"/>
      <x:c r="N159" s="44"/>
      <x:c r="O159" s="44"/>
      <x:c r="P159" s="44"/>
      <x:c r="Q159" s="44"/>
      <x:c r="R159" s="44"/>
      <x:c r="S159" s="44"/>
      <x:c r="T159" s="44"/>
      <x:c r="U159" s="44"/>
      <x:c r="V159" s="45"/>
      <x:c r="W159" s="45"/>
      <x:c r="X159" s="45"/>
      <x:c r="Y159" s="44"/>
      <x:c r="Z159" s="44"/>
      <x:c r="AA159" s="44"/>
      <x:c r="AB159" s="44"/>
      <x:c r="AC159" s="44"/>
      <x:c r="AD159" s="44"/>
      <x:c r="AE159" s="19" t="str">
        <x:f>IF(COUNTA(Y159:AC159)=0,"",COUNTIF(Y159:AC159,"Yes")/COUNTA(Y159:AC159))</x:f>
      </x:c>
    </x:row>
    <x:row r="160">
      <x:c r="D160" s="18"/>
      <x:c r="E160" s="18"/>
      <x:c r="N160" s="44"/>
      <x:c r="O160" s="44"/>
      <x:c r="P160" s="44"/>
      <x:c r="Q160" s="44"/>
      <x:c r="R160" s="44"/>
      <x:c r="S160" s="44"/>
      <x:c r="T160" s="44"/>
      <x:c r="U160" s="44"/>
      <x:c r="V160" s="45"/>
      <x:c r="W160" s="45"/>
      <x:c r="X160" s="45"/>
      <x:c r="Y160" s="44"/>
      <x:c r="Z160" s="44"/>
      <x:c r="AA160" s="44"/>
      <x:c r="AB160" s="44"/>
      <x:c r="AC160" s="44"/>
      <x:c r="AD160" s="44"/>
      <x:c r="AE160" s="19" t="str">
        <x:f>IF(COUNTA(Y160:AC160)=0,"",COUNTIF(Y160:AC160,"Yes")/COUNTA(Y160:AC160))</x:f>
      </x:c>
    </x:row>
    <x:row r="161">
      <x:c r="D161" s="18"/>
      <x:c r="E161" s="18"/>
      <x:c r="N161" s="44"/>
      <x:c r="O161" s="44"/>
      <x:c r="P161" s="44"/>
      <x:c r="Q161" s="44"/>
      <x:c r="R161" s="44"/>
      <x:c r="S161" s="44"/>
      <x:c r="T161" s="44"/>
      <x:c r="U161" s="44"/>
      <x:c r="V161" s="45"/>
      <x:c r="W161" s="45"/>
      <x:c r="X161" s="45"/>
      <x:c r="Y161" s="44"/>
      <x:c r="Z161" s="44"/>
      <x:c r="AA161" s="44"/>
      <x:c r="AB161" s="44"/>
      <x:c r="AC161" s="44"/>
      <x:c r="AD161" s="44"/>
      <x:c r="AE161" s="19" t="str">
        <x:f>IF(COUNTA(Y161:AC161)=0,"",COUNTIF(Y161:AC161,"Yes")/COUNTA(Y161:AC161))</x:f>
      </x:c>
    </x:row>
    <x:row r="162">
      <x:c r="D162" s="18"/>
      <x:c r="E162" s="18"/>
      <x:c r="N162" s="44"/>
      <x:c r="O162" s="44"/>
      <x:c r="P162" s="44"/>
      <x:c r="Q162" s="44"/>
      <x:c r="R162" s="44"/>
      <x:c r="S162" s="44"/>
      <x:c r="T162" s="44"/>
      <x:c r="U162" s="44"/>
      <x:c r="V162" s="45"/>
      <x:c r="W162" s="45"/>
      <x:c r="X162" s="45"/>
      <x:c r="Y162" s="44"/>
      <x:c r="Z162" s="44"/>
      <x:c r="AA162" s="44"/>
      <x:c r="AB162" s="44"/>
      <x:c r="AC162" s="44"/>
      <x:c r="AD162" s="44"/>
      <x:c r="AE162" s="19" t="str">
        <x:f>IF(COUNTA(Y162:AC162)=0,"",COUNTIF(Y162:AC162,"Yes")/COUNTA(Y162:AC162))</x:f>
      </x:c>
    </x:row>
    <x:row r="163">
      <x:c r="D163" s="18"/>
      <x:c r="E163" s="18"/>
      <x:c r="N163" s="44"/>
      <x:c r="O163" s="44"/>
      <x:c r="P163" s="44"/>
      <x:c r="Q163" s="44"/>
      <x:c r="R163" s="44"/>
      <x:c r="S163" s="44"/>
      <x:c r="T163" s="44"/>
      <x:c r="U163" s="44"/>
      <x:c r="V163" s="45"/>
      <x:c r="W163" s="45"/>
      <x:c r="X163" s="45"/>
      <x:c r="Y163" s="44"/>
      <x:c r="Z163" s="44"/>
      <x:c r="AA163" s="44"/>
      <x:c r="AB163" s="44"/>
      <x:c r="AC163" s="44"/>
      <x:c r="AD163" s="44"/>
      <x:c r="AE163" s="19" t="str">
        <x:f>IF(COUNTA(Y163:AC163)=0,"",COUNTIF(Y163:AC163,"Yes")/COUNTA(Y163:AC163))</x:f>
      </x:c>
    </x:row>
    <x:row r="164">
      <x:c r="D164" s="18"/>
      <x:c r="E164" s="18"/>
      <x:c r="N164" s="44"/>
      <x:c r="O164" s="44"/>
      <x:c r="P164" s="44"/>
      <x:c r="Q164" s="44"/>
      <x:c r="R164" s="44"/>
      <x:c r="S164" s="44"/>
      <x:c r="T164" s="44"/>
      <x:c r="U164" s="44"/>
      <x:c r="V164" s="45"/>
      <x:c r="W164" s="45"/>
      <x:c r="X164" s="45"/>
      <x:c r="Y164" s="44"/>
      <x:c r="Z164" s="44"/>
      <x:c r="AA164" s="44"/>
      <x:c r="AB164" s="44"/>
      <x:c r="AC164" s="44"/>
      <x:c r="AD164" s="44"/>
      <x:c r="AE164" s="19" t="str">
        <x:f>IF(COUNTA(Y164:AC164)=0,"",COUNTIF(Y164:AC164,"Yes")/COUNTA(Y164:AC164))</x:f>
      </x:c>
    </x:row>
    <x:row r="165">
      <x:c r="D165" s="18"/>
      <x:c r="E165" s="18"/>
      <x:c r="N165" s="44"/>
      <x:c r="O165" s="44"/>
      <x:c r="P165" s="44"/>
      <x:c r="Q165" s="44"/>
      <x:c r="R165" s="44"/>
      <x:c r="S165" s="44"/>
      <x:c r="T165" s="44"/>
      <x:c r="U165" s="44"/>
      <x:c r="V165" s="45"/>
      <x:c r="W165" s="45"/>
      <x:c r="X165" s="45"/>
      <x:c r="Y165" s="44"/>
      <x:c r="Z165" s="44"/>
      <x:c r="AA165" s="44"/>
      <x:c r="AB165" s="44"/>
      <x:c r="AC165" s="44"/>
      <x:c r="AD165" s="44"/>
      <x:c r="AE165" s="19" t="str">
        <x:f>IF(COUNTA(Y165:AC165)=0,"",COUNTIF(Y165:AC165,"Yes")/COUNTA(Y165:AC165))</x:f>
      </x:c>
    </x:row>
    <x:row r="166">
      <x:c r="D166" s="18"/>
      <x:c r="E166" s="18"/>
      <x:c r="N166" s="44"/>
      <x:c r="O166" s="44"/>
      <x:c r="P166" s="44"/>
      <x:c r="Q166" s="44"/>
      <x:c r="R166" s="44"/>
      <x:c r="S166" s="44"/>
      <x:c r="T166" s="44"/>
      <x:c r="U166" s="44"/>
      <x:c r="V166" s="45"/>
      <x:c r="W166" s="45"/>
      <x:c r="X166" s="45"/>
      <x:c r="Y166" s="44"/>
      <x:c r="Z166" s="44"/>
      <x:c r="AA166" s="44"/>
      <x:c r="AB166" s="44"/>
      <x:c r="AC166" s="44"/>
      <x:c r="AD166" s="44"/>
      <x:c r="AE166" s="19" t="str">
        <x:f>IF(COUNTA(Y166:AC166)=0,"",COUNTIF(Y166:AC166,"Yes")/COUNTA(Y166:AC166))</x:f>
      </x:c>
    </x:row>
    <x:row r="167">
      <x:c r="D167" s="18"/>
      <x:c r="E167" s="18"/>
      <x:c r="N167" s="44"/>
      <x:c r="O167" s="44"/>
      <x:c r="P167" s="44"/>
      <x:c r="Q167" s="44"/>
      <x:c r="R167" s="44"/>
      <x:c r="S167" s="44"/>
      <x:c r="T167" s="44"/>
      <x:c r="U167" s="44"/>
      <x:c r="V167" s="45"/>
      <x:c r="W167" s="45"/>
      <x:c r="X167" s="45"/>
      <x:c r="Y167" s="44"/>
      <x:c r="Z167" s="44"/>
      <x:c r="AA167" s="44"/>
      <x:c r="AB167" s="44"/>
      <x:c r="AC167" s="44"/>
      <x:c r="AD167" s="44"/>
      <x:c r="AE167" s="19" t="str">
        <x:f>IF(COUNTA(Y167:AC167)=0,"",COUNTIF(Y167:AC167,"Yes")/COUNTA(Y167:AC167))</x:f>
      </x:c>
    </x:row>
    <x:row r="168">
      <x:c r="D168" s="18"/>
      <x:c r="E168" s="18"/>
      <x:c r="N168" s="44"/>
      <x:c r="O168" s="44"/>
      <x:c r="P168" s="44"/>
      <x:c r="Q168" s="44"/>
      <x:c r="R168" s="44"/>
      <x:c r="S168" s="44"/>
      <x:c r="T168" s="44"/>
      <x:c r="U168" s="44"/>
      <x:c r="V168" s="45"/>
      <x:c r="W168" s="45"/>
      <x:c r="X168" s="45"/>
      <x:c r="Y168" s="44"/>
      <x:c r="Z168" s="44"/>
      <x:c r="AA168" s="44"/>
      <x:c r="AB168" s="44"/>
      <x:c r="AC168" s="44"/>
      <x:c r="AD168" s="44"/>
      <x:c r="AE168" s="19" t="str">
        <x:f>IF(COUNTA(Y168:AC168)=0,"",COUNTIF(Y168:AC168,"Yes")/COUNTA(Y168:AC168))</x:f>
      </x:c>
    </x:row>
    <x:row r="169">
      <x:c r="D169" s="18"/>
      <x:c r="E169" s="18"/>
      <x:c r="N169" s="44"/>
      <x:c r="O169" s="44"/>
      <x:c r="P169" s="44"/>
      <x:c r="Q169" s="44"/>
      <x:c r="R169" s="44"/>
      <x:c r="S169" s="44"/>
      <x:c r="T169" s="44"/>
      <x:c r="U169" s="44"/>
      <x:c r="V169" s="45"/>
      <x:c r="W169" s="45"/>
      <x:c r="X169" s="45"/>
      <x:c r="Y169" s="44"/>
      <x:c r="Z169" s="44"/>
      <x:c r="AA169" s="44"/>
      <x:c r="AB169" s="44"/>
      <x:c r="AC169" s="44"/>
      <x:c r="AD169" s="44"/>
      <x:c r="AE169" s="19" t="str">
        <x:f>IF(COUNTA(Y169:AC169)=0,"",COUNTIF(Y169:AC169,"Yes")/COUNTA(Y169:AC169))</x:f>
      </x:c>
    </x:row>
    <x:row r="170">
      <x:c r="D170" s="18"/>
      <x:c r="E170" s="18"/>
      <x:c r="N170" s="44"/>
      <x:c r="O170" s="44"/>
      <x:c r="P170" s="44"/>
      <x:c r="Q170" s="44"/>
      <x:c r="R170" s="44"/>
      <x:c r="S170" s="44"/>
      <x:c r="T170" s="44"/>
      <x:c r="U170" s="44"/>
      <x:c r="V170" s="45"/>
      <x:c r="W170" s="45"/>
      <x:c r="X170" s="45"/>
      <x:c r="Y170" s="44"/>
      <x:c r="Z170" s="44"/>
      <x:c r="AA170" s="44"/>
      <x:c r="AB170" s="44"/>
      <x:c r="AC170" s="44"/>
      <x:c r="AD170" s="44"/>
      <x:c r="AE170" s="19" t="str">
        <x:f>IF(COUNTA(Y170:AC170)=0,"",COUNTIF(Y170:AC170,"Yes")/COUNTA(Y170:AC170))</x:f>
      </x:c>
    </x:row>
    <x:row r="171">
      <x:c r="D171" s="18"/>
      <x:c r="E171" s="18"/>
      <x:c r="N171" s="44"/>
      <x:c r="O171" s="44"/>
      <x:c r="P171" s="44"/>
      <x:c r="Q171" s="44"/>
      <x:c r="R171" s="44"/>
      <x:c r="S171" s="44"/>
      <x:c r="T171" s="44"/>
      <x:c r="U171" s="44"/>
      <x:c r="V171" s="45"/>
      <x:c r="W171" s="45"/>
      <x:c r="X171" s="45"/>
      <x:c r="Y171" s="44"/>
      <x:c r="Z171" s="44"/>
      <x:c r="AA171" s="44"/>
      <x:c r="AB171" s="44"/>
      <x:c r="AC171" s="44"/>
      <x:c r="AD171" s="44"/>
      <x:c r="AE171" s="19" t="str">
        <x:f>IF(COUNTA(Y171:AC171)=0,"",COUNTIF(Y171:AC171,"Yes")/COUNTA(Y171:AC171))</x:f>
      </x:c>
    </x:row>
    <x:row r="172">
      <x:c r="D172" s="18"/>
      <x:c r="E172" s="18"/>
      <x:c r="N172" s="44"/>
      <x:c r="O172" s="44"/>
      <x:c r="P172" s="44"/>
      <x:c r="Q172" s="44"/>
      <x:c r="R172" s="44"/>
      <x:c r="S172" s="44"/>
      <x:c r="T172" s="44"/>
      <x:c r="U172" s="44"/>
      <x:c r="V172" s="45"/>
      <x:c r="W172" s="45"/>
      <x:c r="X172" s="45"/>
      <x:c r="Y172" s="44"/>
      <x:c r="Z172" s="44"/>
      <x:c r="AA172" s="44"/>
      <x:c r="AB172" s="44"/>
      <x:c r="AC172" s="44"/>
      <x:c r="AD172" s="44"/>
      <x:c r="AE172" s="19" t="str">
        <x:f>IF(COUNTA(Y172:AC172)=0,"",COUNTIF(Y172:AC172,"Yes")/COUNTA(Y172:AC172))</x:f>
      </x:c>
    </x:row>
    <x:row r="173">
      <x:c r="D173" s="18"/>
      <x:c r="E173" s="18"/>
      <x:c r="N173" s="44"/>
      <x:c r="O173" s="44"/>
      <x:c r="P173" s="44"/>
      <x:c r="Q173" s="44"/>
      <x:c r="R173" s="44"/>
      <x:c r="S173" s="44"/>
      <x:c r="T173" s="44"/>
      <x:c r="U173" s="44"/>
      <x:c r="V173" s="45"/>
      <x:c r="W173" s="45"/>
      <x:c r="X173" s="45"/>
      <x:c r="Y173" s="44"/>
      <x:c r="Z173" s="44"/>
      <x:c r="AA173" s="44"/>
      <x:c r="AB173" s="44"/>
      <x:c r="AC173" s="44"/>
      <x:c r="AD173" s="44"/>
      <x:c r="AE173" s="19" t="str">
        <x:f>IF(COUNTA(Y173:AC173)=0,"",COUNTIF(Y173:AC173,"Yes")/COUNTA(Y173:AC173))</x:f>
      </x:c>
    </x:row>
    <x:row r="174">
      <x:c r="D174" s="18"/>
      <x:c r="E174" s="18"/>
      <x:c r="N174" s="44"/>
      <x:c r="O174" s="44"/>
      <x:c r="P174" s="44"/>
      <x:c r="Q174" s="44"/>
      <x:c r="R174" s="44"/>
      <x:c r="S174" s="44"/>
      <x:c r="T174" s="44"/>
      <x:c r="U174" s="44"/>
      <x:c r="V174" s="45"/>
      <x:c r="W174" s="45"/>
      <x:c r="X174" s="45"/>
      <x:c r="Y174" s="44"/>
      <x:c r="Z174" s="44"/>
      <x:c r="AA174" s="44"/>
      <x:c r="AB174" s="44"/>
      <x:c r="AC174" s="44"/>
      <x:c r="AD174" s="44"/>
      <x:c r="AE174" s="19" t="str">
        <x:f>IF(COUNTA(Y174:AC174)=0,"",COUNTIF(Y174:AC174,"Yes")/COUNTA(Y174:AC174))</x:f>
      </x:c>
    </x:row>
    <x:row r="175">
      <x:c r="D175" s="18"/>
      <x:c r="E175" s="18"/>
      <x:c r="N175" s="44"/>
      <x:c r="O175" s="44"/>
      <x:c r="P175" s="44"/>
      <x:c r="Q175" s="44"/>
      <x:c r="R175" s="44"/>
      <x:c r="S175" s="44"/>
      <x:c r="T175" s="44"/>
      <x:c r="U175" s="44"/>
      <x:c r="V175" s="45"/>
      <x:c r="W175" s="45"/>
      <x:c r="X175" s="45"/>
      <x:c r="Y175" s="44"/>
      <x:c r="Z175" s="44"/>
      <x:c r="AA175" s="44"/>
      <x:c r="AB175" s="44"/>
      <x:c r="AC175" s="44"/>
      <x:c r="AD175" s="44"/>
      <x:c r="AE175" s="19" t="str">
        <x:f>IF(COUNTA(Y175:AC175)=0,"",COUNTIF(Y175:AC175,"Yes")/COUNTA(Y175:AC175))</x:f>
      </x:c>
    </x:row>
    <x:row r="176">
      <x:c r="D176" s="18"/>
      <x:c r="E176" s="18"/>
      <x:c r="N176" s="44"/>
      <x:c r="O176" s="44"/>
      <x:c r="P176" s="44"/>
      <x:c r="Q176" s="44"/>
      <x:c r="R176" s="44"/>
      <x:c r="S176" s="44"/>
      <x:c r="T176" s="44"/>
      <x:c r="U176" s="44"/>
      <x:c r="V176" s="45"/>
      <x:c r="W176" s="45"/>
      <x:c r="X176" s="45"/>
      <x:c r="Y176" s="44"/>
      <x:c r="Z176" s="44"/>
      <x:c r="AA176" s="44"/>
      <x:c r="AB176" s="44"/>
      <x:c r="AC176" s="44"/>
      <x:c r="AD176" s="44"/>
      <x:c r="AE176" s="19" t="str">
        <x:f>IF(COUNTA(Y176:AC176)=0,"",COUNTIF(Y176:AC176,"Yes")/COUNTA(Y176:AC176))</x:f>
      </x:c>
    </x:row>
    <x:row r="177">
      <x:c r="D177" s="18"/>
      <x:c r="E177" s="18"/>
      <x:c r="N177" s="44"/>
      <x:c r="O177" s="44"/>
      <x:c r="P177" s="44"/>
      <x:c r="Q177" s="44"/>
      <x:c r="R177" s="44"/>
      <x:c r="S177" s="44"/>
      <x:c r="T177" s="44"/>
      <x:c r="U177" s="44"/>
      <x:c r="V177" s="45"/>
      <x:c r="W177" s="45"/>
      <x:c r="X177" s="45"/>
      <x:c r="Y177" s="44"/>
      <x:c r="Z177" s="44"/>
      <x:c r="AA177" s="44"/>
      <x:c r="AB177" s="44"/>
      <x:c r="AC177" s="44"/>
      <x:c r="AD177" s="44"/>
      <x:c r="AE177" s="19" t="str">
        <x:f>IF(COUNTA(Y177:AC177)=0,"",COUNTIF(Y177:AC177,"Yes")/COUNTA(Y177:AC177))</x:f>
      </x:c>
    </x:row>
    <x:row r="178">
      <x:c r="D178" s="18"/>
      <x:c r="E178" s="18"/>
      <x:c r="N178" s="44"/>
      <x:c r="O178" s="44"/>
      <x:c r="P178" s="44"/>
      <x:c r="Q178" s="44"/>
      <x:c r="R178" s="44"/>
      <x:c r="S178" s="44"/>
      <x:c r="T178" s="44"/>
      <x:c r="U178" s="44"/>
      <x:c r="V178" s="45"/>
      <x:c r="W178" s="45"/>
      <x:c r="X178" s="45"/>
      <x:c r="Y178" s="44"/>
      <x:c r="Z178" s="44"/>
      <x:c r="AA178" s="44"/>
      <x:c r="AB178" s="44"/>
      <x:c r="AC178" s="44"/>
      <x:c r="AD178" s="44"/>
      <x:c r="AE178" s="19" t="str">
        <x:f>IF(COUNTA(Y178:AC178)=0,"",COUNTIF(Y178:AC178,"Yes")/COUNTA(Y178:AC178))</x:f>
      </x:c>
    </x:row>
    <x:row r="179">
      <x:c r="D179" s="18"/>
      <x:c r="E179" s="18"/>
      <x:c r="N179" s="44"/>
      <x:c r="O179" s="44"/>
      <x:c r="P179" s="44"/>
      <x:c r="Q179" s="44"/>
      <x:c r="R179" s="44"/>
      <x:c r="S179" s="44"/>
      <x:c r="T179" s="44"/>
      <x:c r="U179" s="44"/>
      <x:c r="V179" s="45"/>
      <x:c r="W179" s="45"/>
      <x:c r="X179" s="45"/>
      <x:c r="Y179" s="44"/>
      <x:c r="Z179" s="44"/>
      <x:c r="AA179" s="44"/>
      <x:c r="AB179" s="44"/>
      <x:c r="AC179" s="44"/>
      <x:c r="AD179" s="44"/>
      <x:c r="AE179" s="19" t="str">
        <x:f>IF(COUNTA(Y179:AC179)=0,"",COUNTIF(Y179:AC179,"Yes")/COUNTA(Y179:AC179))</x:f>
      </x:c>
    </x:row>
    <x:row r="180">
      <x:c r="D180" s="18"/>
      <x:c r="E180" s="18"/>
      <x:c r="N180" s="44"/>
      <x:c r="O180" s="44"/>
      <x:c r="P180" s="44"/>
      <x:c r="Q180" s="44"/>
      <x:c r="R180" s="44"/>
      <x:c r="S180" s="44"/>
      <x:c r="T180" s="44"/>
      <x:c r="U180" s="44"/>
      <x:c r="V180" s="45"/>
      <x:c r="W180" s="45"/>
      <x:c r="X180" s="45"/>
      <x:c r="Y180" s="44"/>
      <x:c r="Z180" s="44"/>
      <x:c r="AA180" s="44"/>
      <x:c r="AB180" s="44"/>
      <x:c r="AC180" s="44"/>
      <x:c r="AD180" s="44"/>
      <x:c r="AE180" s="19" t="str">
        <x:f>IF(COUNTA(Y180:AC180)=0,"",COUNTIF(Y180:AC180,"Yes")/COUNTA(Y180:AC180))</x:f>
      </x:c>
    </x:row>
    <x:row r="181">
      <x:c r="D181" s="18"/>
      <x:c r="E181" s="18"/>
      <x:c r="N181" s="44"/>
      <x:c r="O181" s="44"/>
      <x:c r="P181" s="44"/>
      <x:c r="Q181" s="44"/>
      <x:c r="R181" s="44"/>
      <x:c r="S181" s="44"/>
      <x:c r="T181" s="44"/>
      <x:c r="U181" s="44"/>
      <x:c r="V181" s="45"/>
      <x:c r="W181" s="45"/>
      <x:c r="X181" s="45"/>
      <x:c r="Y181" s="44"/>
      <x:c r="Z181" s="44"/>
      <x:c r="AA181" s="44"/>
      <x:c r="AB181" s="44"/>
      <x:c r="AC181" s="44"/>
      <x:c r="AD181" s="44"/>
      <x:c r="AE181" s="19" t="str">
        <x:f>IF(COUNTA(Y181:AC181)=0,"",COUNTIF(Y181:AC181,"Yes")/COUNTA(Y181:AC181))</x:f>
      </x:c>
    </x:row>
    <x:row r="182">
      <x:c r="D182" s="18"/>
      <x:c r="E182" s="18"/>
      <x:c r="N182" s="44"/>
      <x:c r="O182" s="44"/>
      <x:c r="P182" s="44"/>
      <x:c r="Q182" s="44"/>
      <x:c r="R182" s="44"/>
      <x:c r="S182" s="44"/>
      <x:c r="T182" s="44"/>
      <x:c r="U182" s="44"/>
      <x:c r="V182" s="45"/>
      <x:c r="W182" s="45"/>
      <x:c r="X182" s="45"/>
      <x:c r="Y182" s="44"/>
      <x:c r="Z182" s="44"/>
      <x:c r="AA182" s="44"/>
      <x:c r="AB182" s="44"/>
      <x:c r="AC182" s="44"/>
      <x:c r="AD182" s="44"/>
      <x:c r="AE182" s="19" t="str">
        <x:f>IF(COUNTA(Y182:AC182)=0,"",COUNTIF(Y182:AC182,"Yes")/COUNTA(Y182:AC182))</x:f>
      </x:c>
    </x:row>
    <x:row r="183">
      <x:c r="D183" s="18"/>
      <x:c r="E183" s="18"/>
      <x:c r="N183" s="44"/>
      <x:c r="O183" s="44"/>
      <x:c r="P183" s="44"/>
      <x:c r="Q183" s="44"/>
      <x:c r="R183" s="44"/>
      <x:c r="S183" s="44"/>
      <x:c r="T183" s="44"/>
      <x:c r="U183" s="44"/>
      <x:c r="V183" s="45"/>
      <x:c r="W183" s="45"/>
      <x:c r="X183" s="45"/>
      <x:c r="Y183" s="44"/>
      <x:c r="Z183" s="44"/>
      <x:c r="AA183" s="44"/>
      <x:c r="AB183" s="44"/>
      <x:c r="AC183" s="44"/>
      <x:c r="AD183" s="44"/>
      <x:c r="AE183" s="19" t="str">
        <x:f>IF(COUNTA(Y183:AC183)=0,"",COUNTIF(Y183:AC183,"Yes")/COUNTA(Y183:AC183))</x:f>
      </x:c>
    </x:row>
    <x:row r="184">
      <x:c r="D184" s="18"/>
      <x:c r="E184" s="18"/>
      <x:c r="N184" s="44"/>
      <x:c r="O184" s="44"/>
      <x:c r="P184" s="44"/>
      <x:c r="Q184" s="44"/>
      <x:c r="R184" s="44"/>
      <x:c r="S184" s="44"/>
      <x:c r="T184" s="44"/>
      <x:c r="U184" s="44"/>
      <x:c r="V184" s="45"/>
      <x:c r="W184" s="45"/>
      <x:c r="X184" s="45"/>
      <x:c r="Y184" s="44"/>
      <x:c r="Z184" s="44"/>
      <x:c r="AA184" s="44"/>
      <x:c r="AB184" s="44"/>
      <x:c r="AC184" s="44"/>
      <x:c r="AD184" s="44"/>
      <x:c r="AE184" s="19" t="str">
        <x:f>IF(COUNTA(Y184:AC184)=0,"",COUNTIF(Y184:AC184,"Yes")/COUNTA(Y184:AC184))</x:f>
      </x:c>
    </x:row>
    <x:row r="185">
      <x:c r="D185" s="18"/>
      <x:c r="E185" s="18"/>
      <x:c r="N185" s="44"/>
      <x:c r="O185" s="44"/>
      <x:c r="P185" s="44"/>
      <x:c r="Q185" s="44"/>
      <x:c r="R185" s="44"/>
      <x:c r="S185" s="44"/>
      <x:c r="T185" s="44"/>
      <x:c r="U185" s="44"/>
      <x:c r="V185" s="45"/>
      <x:c r="W185" s="45"/>
      <x:c r="X185" s="45"/>
      <x:c r="Y185" s="44"/>
      <x:c r="Z185" s="44"/>
      <x:c r="AA185" s="44"/>
      <x:c r="AB185" s="44"/>
      <x:c r="AC185" s="44"/>
      <x:c r="AD185" s="44"/>
      <x:c r="AE185" s="19" t="str">
        <x:f>IF(COUNTA(Y185:AC185)=0,"",COUNTIF(Y185:AC185,"Yes")/COUNTA(Y185:AC185))</x:f>
      </x:c>
    </x:row>
    <x:row r="186">
      <x:c r="D186" s="18"/>
      <x:c r="E186" s="18"/>
      <x:c r="N186" s="44"/>
      <x:c r="O186" s="44"/>
      <x:c r="P186" s="44"/>
      <x:c r="Q186" s="44"/>
      <x:c r="R186" s="44"/>
      <x:c r="S186" s="44"/>
      <x:c r="T186" s="44"/>
      <x:c r="U186" s="44"/>
      <x:c r="V186" s="45"/>
      <x:c r="W186" s="45"/>
      <x:c r="X186" s="45"/>
      <x:c r="Y186" s="44"/>
      <x:c r="Z186" s="44"/>
      <x:c r="AA186" s="44"/>
      <x:c r="AB186" s="44"/>
      <x:c r="AC186" s="44"/>
      <x:c r="AD186" s="44"/>
      <x:c r="AE186" s="19" t="str">
        <x:f>IF(COUNTA(Y186:AC186)=0,"",COUNTIF(Y186:AC186,"Yes")/COUNTA(Y186:AC186))</x:f>
      </x:c>
    </x:row>
    <x:row r="187">
      <x:c r="D187" s="18"/>
      <x:c r="E187" s="18"/>
      <x:c r="N187" s="44"/>
      <x:c r="O187" s="44"/>
      <x:c r="P187" s="44"/>
      <x:c r="Q187" s="44"/>
      <x:c r="R187" s="44"/>
      <x:c r="S187" s="44"/>
      <x:c r="T187" s="44"/>
      <x:c r="U187" s="44"/>
      <x:c r="V187" s="45"/>
      <x:c r="W187" s="45"/>
      <x:c r="X187" s="45"/>
      <x:c r="Y187" s="44"/>
      <x:c r="Z187" s="44"/>
      <x:c r="AA187" s="44"/>
      <x:c r="AB187" s="44"/>
      <x:c r="AC187" s="44"/>
      <x:c r="AD187" s="44"/>
      <x:c r="AE187" s="19" t="str">
        <x:f>IF(COUNTA(Y187:AC187)=0,"",COUNTIF(Y187:AC187,"Yes")/COUNTA(Y187:AC187))</x:f>
      </x:c>
    </x:row>
    <x:row r="188">
      <x:c r="D188" s="18"/>
      <x:c r="E188" s="18"/>
      <x:c r="N188" s="44"/>
      <x:c r="O188" s="44"/>
      <x:c r="P188" s="44"/>
      <x:c r="Q188" s="44"/>
      <x:c r="R188" s="44"/>
      <x:c r="S188" s="44"/>
      <x:c r="T188" s="44"/>
      <x:c r="U188" s="44"/>
      <x:c r="V188" s="45"/>
      <x:c r="W188" s="45"/>
      <x:c r="X188" s="45"/>
      <x:c r="Y188" s="44"/>
      <x:c r="Z188" s="44"/>
      <x:c r="AA188" s="44"/>
      <x:c r="AB188" s="44"/>
      <x:c r="AC188" s="44"/>
      <x:c r="AD188" s="44"/>
      <x:c r="AE188" s="19" t="str">
        <x:f>IF(COUNTA(Y188:AC188)=0,"",COUNTIF(Y188:AC188,"Yes")/COUNTA(Y188:AC188))</x:f>
      </x:c>
    </x:row>
    <x:row r="189">
      <x:c r="D189" s="18"/>
      <x:c r="E189" s="18"/>
      <x:c r="N189" s="44"/>
      <x:c r="O189" s="44"/>
      <x:c r="P189" s="44"/>
      <x:c r="Q189" s="44"/>
      <x:c r="R189" s="44"/>
      <x:c r="S189" s="44"/>
      <x:c r="T189" s="44"/>
      <x:c r="U189" s="44"/>
      <x:c r="V189" s="45"/>
      <x:c r="W189" s="45"/>
      <x:c r="X189" s="45"/>
      <x:c r="Y189" s="44"/>
      <x:c r="Z189" s="44"/>
      <x:c r="AA189" s="44"/>
      <x:c r="AB189" s="44"/>
      <x:c r="AC189" s="44"/>
      <x:c r="AD189" s="44"/>
      <x:c r="AE189" s="19" t="str">
        <x:f>IF(COUNTA(Y189:AC189)=0,"",COUNTIF(Y189:AC189,"Yes")/COUNTA(Y189:AC189))</x:f>
      </x:c>
    </x:row>
    <x:row r="190">
      <x:c r="D190" s="18"/>
      <x:c r="E190" s="18"/>
      <x:c r="N190" s="44"/>
      <x:c r="O190" s="44"/>
      <x:c r="P190" s="44"/>
      <x:c r="Q190" s="44"/>
      <x:c r="R190" s="44"/>
      <x:c r="S190" s="44"/>
      <x:c r="T190" s="44"/>
      <x:c r="U190" s="44"/>
      <x:c r="V190" s="45"/>
      <x:c r="W190" s="45"/>
      <x:c r="X190" s="45"/>
      <x:c r="Y190" s="44"/>
      <x:c r="Z190" s="44"/>
      <x:c r="AA190" s="44"/>
      <x:c r="AB190" s="44"/>
      <x:c r="AC190" s="44"/>
      <x:c r="AD190" s="44"/>
      <x:c r="AE190" s="19" t="str">
        <x:f>IF(COUNTA(Y190:AC190)=0,"",COUNTIF(Y190:AC190,"Yes")/COUNTA(Y190:AC190))</x:f>
      </x:c>
    </x:row>
    <x:row r="191">
      <x:c r="D191" s="18"/>
      <x:c r="E191" s="18"/>
      <x:c r="N191" s="44"/>
      <x:c r="O191" s="44"/>
      <x:c r="P191" s="44"/>
      <x:c r="Q191" s="44"/>
      <x:c r="R191" s="44"/>
      <x:c r="S191" s="44"/>
      <x:c r="T191" s="44"/>
      <x:c r="U191" s="44"/>
      <x:c r="V191" s="45"/>
      <x:c r="W191" s="45"/>
      <x:c r="X191" s="45"/>
      <x:c r="Y191" s="44"/>
      <x:c r="Z191" s="44"/>
      <x:c r="AA191" s="44"/>
      <x:c r="AB191" s="44"/>
      <x:c r="AC191" s="44"/>
      <x:c r="AD191" s="44"/>
      <x:c r="AE191" s="19" t="str">
        <x:f>IF(COUNTA(Y191:AC191)=0,"",COUNTIF(Y191:AC191,"Yes")/COUNTA(Y191:AC191))</x:f>
      </x:c>
    </x:row>
    <x:row r="192">
      <x:c r="D192" s="18"/>
      <x:c r="E192" s="18"/>
      <x:c r="N192" s="44"/>
      <x:c r="O192" s="44"/>
      <x:c r="P192" s="44"/>
      <x:c r="Q192" s="44"/>
      <x:c r="R192" s="44"/>
      <x:c r="S192" s="44"/>
      <x:c r="T192" s="44"/>
      <x:c r="U192" s="44"/>
      <x:c r="V192" s="45"/>
      <x:c r="W192" s="45"/>
      <x:c r="X192" s="45"/>
      <x:c r="Y192" s="44"/>
      <x:c r="Z192" s="44"/>
      <x:c r="AA192" s="44"/>
      <x:c r="AB192" s="44"/>
      <x:c r="AC192" s="44"/>
      <x:c r="AD192" s="44"/>
      <x:c r="AE192" s="19" t="str">
        <x:f>IF(COUNTA(Y192:AC192)=0,"",COUNTIF(Y192:AC192,"Yes")/COUNTA(Y192:AC192))</x:f>
      </x:c>
    </x:row>
    <x:row r="193">
      <x:c r="D193" s="18"/>
      <x:c r="E193" s="18"/>
      <x:c r="N193" s="44"/>
      <x:c r="O193" s="44"/>
      <x:c r="P193" s="44"/>
      <x:c r="Q193" s="44"/>
      <x:c r="R193" s="44"/>
      <x:c r="S193" s="44"/>
      <x:c r="T193" s="44"/>
      <x:c r="U193" s="44"/>
      <x:c r="V193" s="45"/>
      <x:c r="W193" s="45"/>
      <x:c r="X193" s="45"/>
      <x:c r="Y193" s="44"/>
      <x:c r="Z193" s="44"/>
      <x:c r="AA193" s="44"/>
      <x:c r="AB193" s="44"/>
      <x:c r="AC193" s="44"/>
      <x:c r="AD193" s="44"/>
      <x:c r="AE193" s="19" t="str">
        <x:f>IF(COUNTA(Y193:AC193)=0,"",COUNTIF(Y193:AC193,"Yes")/COUNTA(Y193:AC193))</x:f>
      </x:c>
    </x:row>
    <x:row r="194">
      <x:c r="D194" s="18"/>
      <x:c r="E194" s="18"/>
      <x:c r="N194" s="44"/>
      <x:c r="O194" s="44"/>
      <x:c r="P194" s="44"/>
      <x:c r="Q194" s="44"/>
      <x:c r="R194" s="44"/>
      <x:c r="S194" s="44"/>
      <x:c r="T194" s="44"/>
      <x:c r="U194" s="44"/>
      <x:c r="V194" s="45"/>
      <x:c r="W194" s="45"/>
      <x:c r="X194" s="45"/>
      <x:c r="Y194" s="44"/>
      <x:c r="Z194" s="44"/>
      <x:c r="AA194" s="44"/>
      <x:c r="AB194" s="44"/>
      <x:c r="AC194" s="44"/>
      <x:c r="AD194" s="44"/>
      <x:c r="AE194" s="19" t="str">
        <x:f>IF(COUNTA(Y194:AC194)=0,"",COUNTIF(Y194:AC194,"Yes")/COUNTA(Y194:AC194))</x:f>
      </x:c>
    </x:row>
    <x:row r="195">
      <x:c r="D195" s="18"/>
      <x:c r="E195" s="18"/>
      <x:c r="N195" s="44"/>
      <x:c r="O195" s="44"/>
      <x:c r="P195" s="44"/>
      <x:c r="Q195" s="44"/>
      <x:c r="R195" s="44"/>
      <x:c r="S195" s="44"/>
      <x:c r="T195" s="44"/>
      <x:c r="U195" s="44"/>
      <x:c r="V195" s="45"/>
      <x:c r="W195" s="45"/>
      <x:c r="X195" s="45"/>
      <x:c r="Y195" s="44"/>
      <x:c r="Z195" s="44"/>
      <x:c r="AA195" s="44"/>
      <x:c r="AB195" s="44"/>
      <x:c r="AC195" s="44"/>
      <x:c r="AD195" s="44"/>
      <x:c r="AE195" s="19" t="str">
        <x:f>IF(COUNTA(Y195:AC195)=0,"",COUNTIF(Y195:AC195,"Yes")/COUNTA(Y195:AC195))</x:f>
      </x:c>
    </x:row>
    <x:row r="196">
      <x:c r="D196" s="18"/>
      <x:c r="E196" s="18"/>
      <x:c r="N196" s="44"/>
      <x:c r="O196" s="44"/>
      <x:c r="P196" s="44"/>
      <x:c r="Q196" s="44"/>
      <x:c r="R196" s="44"/>
      <x:c r="S196" s="44"/>
      <x:c r="T196" s="44"/>
      <x:c r="U196" s="44"/>
      <x:c r="V196" s="45"/>
      <x:c r="W196" s="45"/>
      <x:c r="X196" s="45"/>
      <x:c r="Y196" s="44"/>
      <x:c r="Z196" s="44"/>
      <x:c r="AA196" s="44"/>
      <x:c r="AB196" s="44"/>
      <x:c r="AC196" s="44"/>
      <x:c r="AD196" s="44"/>
      <x:c r="AE196" s="19" t="str">
        <x:f>IF(COUNTA(Y196:AC196)=0,"",COUNTIF(Y196:AC196,"Yes")/COUNTA(Y196:AC196))</x:f>
      </x:c>
    </x:row>
    <x:row r="197">
      <x:c r="D197" s="18"/>
      <x:c r="E197" s="18"/>
      <x:c r="N197" s="44"/>
      <x:c r="O197" s="44"/>
      <x:c r="P197" s="44"/>
      <x:c r="Q197" s="44"/>
      <x:c r="R197" s="44"/>
      <x:c r="S197" s="44"/>
      <x:c r="T197" s="44"/>
      <x:c r="U197" s="44"/>
      <x:c r="V197" s="45"/>
      <x:c r="W197" s="45"/>
      <x:c r="X197" s="45"/>
      <x:c r="Y197" s="44"/>
      <x:c r="Z197" s="44"/>
      <x:c r="AA197" s="44"/>
      <x:c r="AB197" s="44"/>
      <x:c r="AC197" s="44"/>
      <x:c r="AD197" s="44"/>
      <x:c r="AE197" s="19" t="str">
        <x:f>IF(COUNTA(Y197:AC197)=0,"",COUNTIF(Y197:AC197,"Yes")/COUNTA(Y197:AC197))</x:f>
      </x:c>
    </x:row>
    <x:row r="198">
      <x:c r="D198" s="18"/>
      <x:c r="E198" s="18"/>
      <x:c r="N198" s="44"/>
      <x:c r="O198" s="44"/>
      <x:c r="P198" s="44"/>
      <x:c r="Q198" s="44"/>
      <x:c r="R198" s="44"/>
      <x:c r="S198" s="44"/>
      <x:c r="T198" s="44"/>
      <x:c r="U198" s="44"/>
      <x:c r="V198" s="45"/>
      <x:c r="W198" s="45"/>
      <x:c r="X198" s="45"/>
      <x:c r="Y198" s="44"/>
      <x:c r="Z198" s="44"/>
      <x:c r="AA198" s="44"/>
      <x:c r="AB198" s="44"/>
      <x:c r="AC198" s="44"/>
      <x:c r="AD198" s="44"/>
      <x:c r="AE198" s="19" t="str">
        <x:f>IF(COUNTA(Y198:AC198)=0,"",COUNTIF(Y198:AC198,"Yes")/COUNTA(Y198:AC198))</x:f>
      </x:c>
    </x:row>
    <x:row r="199">
      <x:c r="D199" s="18"/>
      <x:c r="E199" s="18"/>
      <x:c r="N199" s="44"/>
      <x:c r="O199" s="44"/>
      <x:c r="P199" s="44"/>
      <x:c r="Q199" s="44"/>
      <x:c r="R199" s="44"/>
      <x:c r="S199" s="44"/>
      <x:c r="T199" s="44"/>
      <x:c r="U199" s="44"/>
      <x:c r="V199" s="45"/>
      <x:c r="W199" s="45"/>
      <x:c r="X199" s="45"/>
      <x:c r="Y199" s="44"/>
      <x:c r="Z199" s="44"/>
      <x:c r="AA199" s="44"/>
      <x:c r="AB199" s="44"/>
      <x:c r="AC199" s="44"/>
      <x:c r="AD199" s="44"/>
      <x:c r="AE199" s="19" t="str">
        <x:f>IF(COUNTA(Y199:AC199)=0,"",COUNTIF(Y199:AC199,"Yes")/COUNTA(Y199:AC199))</x:f>
      </x:c>
    </x:row>
    <x:row r="200">
      <x:c r="D200" s="18"/>
      <x:c r="E200" s="18"/>
      <x:c r="N200" s="44"/>
      <x:c r="O200" s="44"/>
      <x:c r="P200" s="44"/>
      <x:c r="Q200" s="44"/>
      <x:c r="R200" s="44"/>
      <x:c r="S200" s="44"/>
      <x:c r="T200" s="44"/>
      <x:c r="U200" s="44"/>
      <x:c r="V200" s="45"/>
      <x:c r="W200" s="45"/>
      <x:c r="X200" s="45"/>
      <x:c r="Y200" s="44"/>
      <x:c r="Z200" s="44"/>
      <x:c r="AA200" s="44"/>
      <x:c r="AB200" s="44"/>
      <x:c r="AC200" s="44"/>
      <x:c r="AD200" s="44"/>
      <x:c r="AE200" s="19" t="str">
        <x:f>IF(COUNTA(Y200:AC200)=0,"",COUNTIF(Y200:AC200,"Yes")/COUNTA(Y200:AC200))</x:f>
      </x:c>
    </x:row>
    <x:row r="201">
      <x:c r="D201" s="18"/>
      <x:c r="E201" s="18"/>
      <x:c r="N201" s="44"/>
      <x:c r="O201" s="44"/>
      <x:c r="P201" s="44"/>
      <x:c r="Q201" s="44"/>
      <x:c r="R201" s="44"/>
      <x:c r="S201" s="44"/>
      <x:c r="T201" s="44"/>
      <x:c r="U201" s="44"/>
      <x:c r="V201" s="45"/>
      <x:c r="W201" s="45"/>
      <x:c r="X201" s="45"/>
      <x:c r="Y201" s="44"/>
      <x:c r="Z201" s="44"/>
      <x:c r="AA201" s="44"/>
      <x:c r="AB201" s="44"/>
      <x:c r="AC201" s="44"/>
      <x:c r="AD201" s="44"/>
      <x:c r="AE201" s="19" t="str">
        <x:f>IF(COUNTA(Y201:AC201)=0,"",COUNTIF(Y201:AC201,"Yes")/COUNTA(Y201:AC201))</x:f>
      </x:c>
    </x:row>
    <x:row r="202">
      <x:c r="D202" s="18"/>
      <x:c r="E202" s="18"/>
      <x:c r="N202" s="44"/>
      <x:c r="O202" s="44"/>
      <x:c r="P202" s="44"/>
      <x:c r="Q202" s="44"/>
      <x:c r="R202" s="44"/>
      <x:c r="S202" s="44"/>
      <x:c r="T202" s="44"/>
      <x:c r="U202" s="44"/>
      <x:c r="V202" s="45"/>
      <x:c r="W202" s="45"/>
      <x:c r="X202" s="45"/>
      <x:c r="Y202" s="44"/>
      <x:c r="Z202" s="44"/>
      <x:c r="AA202" s="44"/>
      <x:c r="AB202" s="44"/>
      <x:c r="AC202" s="44"/>
      <x:c r="AD202" s="44"/>
      <x:c r="AE202" s="19" t="str">
        <x:f>IF(COUNTA(Y202:AC202)=0,"",COUNTIF(Y202:AC202,"Yes")/COUNTA(Y202:AC202))</x:f>
      </x:c>
    </x:row>
    <x:row r="203">
      <x:c r="D203" s="18"/>
      <x:c r="E203" s="18"/>
      <x:c r="N203" s="44"/>
      <x:c r="O203" s="44"/>
      <x:c r="P203" s="44"/>
      <x:c r="Q203" s="44"/>
      <x:c r="R203" s="44"/>
      <x:c r="S203" s="44"/>
      <x:c r="T203" s="44"/>
      <x:c r="U203" s="44"/>
      <x:c r="V203" s="45"/>
      <x:c r="W203" s="45"/>
      <x:c r="X203" s="45"/>
      <x:c r="Y203" s="44"/>
      <x:c r="Z203" s="44"/>
      <x:c r="AA203" s="44"/>
      <x:c r="AB203" s="44"/>
      <x:c r="AC203" s="44"/>
      <x:c r="AD203" s="44"/>
      <x:c r="AE203" s="19" t="str">
        <x:f>IF(COUNTA(Y203:AC203)=0,"",COUNTIF(Y203:AC203,"Yes")/COUNTA(Y203:AC203))</x:f>
      </x:c>
    </x:row>
    <x:row r="204">
      <x:c r="D204" s="18"/>
      <x:c r="E204" s="18"/>
      <x:c r="N204" s="44"/>
      <x:c r="O204" s="44"/>
      <x:c r="P204" s="44"/>
      <x:c r="Q204" s="44"/>
      <x:c r="R204" s="44"/>
      <x:c r="S204" s="44"/>
      <x:c r="T204" s="44"/>
      <x:c r="U204" s="44"/>
      <x:c r="V204" s="45"/>
      <x:c r="W204" s="45"/>
      <x:c r="X204" s="45"/>
      <x:c r="Y204" s="44"/>
      <x:c r="Z204" s="44"/>
      <x:c r="AA204" s="44"/>
      <x:c r="AB204" s="44"/>
      <x:c r="AC204" s="44"/>
      <x:c r="AD204" s="44"/>
      <x:c r="AE204" s="19" t="str">
        <x:f>IF(COUNTA(Y204:AC204)=0,"",COUNTIF(Y204:AC204,"Yes")/COUNTA(Y204:AC204))</x:f>
      </x:c>
    </x:row>
    <x:row r="205">
      <x:c r="D205" s="18"/>
      <x:c r="E205" s="18"/>
      <x:c r="N205" s="44"/>
      <x:c r="O205" s="44"/>
      <x:c r="P205" s="44"/>
      <x:c r="Q205" s="44"/>
      <x:c r="R205" s="44"/>
      <x:c r="S205" s="44"/>
      <x:c r="T205" s="44"/>
      <x:c r="U205" s="44"/>
      <x:c r="V205" s="45"/>
      <x:c r="W205" s="45"/>
      <x:c r="X205" s="45"/>
      <x:c r="Y205" s="44"/>
      <x:c r="Z205" s="44"/>
      <x:c r="AA205" s="44"/>
      <x:c r="AB205" s="44"/>
      <x:c r="AC205" s="44"/>
      <x:c r="AD205" s="44"/>
      <x:c r="AE205" s="19" t="str">
        <x:f>IF(COUNTA(Y205:AC205)=0,"",COUNTIF(Y205:AC205,"Yes")/COUNTA(Y205:AC205))</x:f>
      </x:c>
    </x:row>
  </x:sheetData>
  <x:mergeCells>
    <x:mergeCell ref="A2:AE2"/>
  </x:mergeCells>
  <x:conditionalFormatting sqref="M6:M205">
    <x:cfRule type="containsText" dxfId="0" priority="1" operator="containsText" text="WAIT"/>
    <x:cfRule type="containsText" dxfId="1" priority="2" operator="containsText" text="ACCEPTABLE"/>
    <x:cfRule type="containsText" dxfId="2" priority="3" operator="containsText" text="PREFERRED"/>
  </x:conditionalFormatting>
  <x:conditionalFormatting sqref="F6:F205">
    <x:cfRule type="containsText" dxfId="3" priority="4" operator="containsText" text="Invalidated"/>
  </x:conditionalFormatting>
  <x:pageMargins left="0.7" right="0.7" top="0.75" bottom="0.75" header="0.3" footer="0.3"/>
  <x:tableParts count="1">
    <x:tablePart xmlns:r="http://schemas.openxmlformats.org/officeDocument/2006/relationships" r:id="R73f4d34fb8834096"/>
  </x:tableParts>
</x:worksheet>
</file>

<file path=xl/worksheets/sheet3.xml><?xml version="1.0" encoding="utf-8"?>
<x:worksheet xmlns:x="http://schemas.openxmlformats.org/spreadsheetml/2006/main">
  <x:sheetPr>
    <x:tabColor rgb="FF27C2D1"/>
  </x:sheetPr>
  <x:sheetViews>
    <x:sheetView showGridLines="0" workbookViewId="0">
      <x:pane ySplit="5" topLeftCell="A6" activePane="bottomLeft" state="frozen"/>
    </x:sheetView>
  </x:sheetViews>
  <x:sheetFormatPr defaultRowHeight="15"/>
  <x:cols>
    <x:col min="1" max="1" width="16" hidden="0" customWidth="1"/>
    <x:col min="2" max="2" width="16" hidden="0" customWidth="1"/>
    <x:col min="3" max="3" width="16" hidden="0" customWidth="1"/>
    <x:col min="4" max="4" width="16" hidden="0" customWidth="1"/>
    <x:col min="5" max="5" width="16" hidden="0" customWidth="1"/>
    <x:col min="6" max="6" width="16" hidden="0" customWidth="1"/>
    <x:col min="7" max="7" width="30" hidden="0" customWidth="1"/>
    <x:col min="8" max="8" width="30" hidden="0" customWidth="1"/>
    <x:col min="9" max="9" width="16" hidden="0" customWidth="1"/>
    <x:col min="10" max="10" width="16" hidden="0" customWidth="1"/>
    <x:col min="11" max="11" width="30" hidden="0" customWidth="1"/>
  </x:cols>
  <x:sheetData>
    <x:row r="1">
      <x:c r="A1" s="1"/>
      <x:c r="B1" s="1"/>
      <x:c r="C1" s="1"/>
      <x:c r="D1" s="1"/>
      <x:c r="E1" s="1"/>
      <x:c r="F1" s="1"/>
      <x:c r="G1" s="1"/>
      <x:c r="H1" s="1"/>
      <x:c r="I1" s="1"/>
      <x:c r="J1" s="1"/>
      <x:c r="K1" s="1"/>
    </x:row>
    <x:row r="2">
      <x:c r="A2" s="2" t="str">
        <x:v>Evidence Log</x:v>
      </x:c>
      <x:c r="B2" s="1"/>
      <x:c r="C2" s="1"/>
      <x:c r="D2" s="1"/>
      <x:c r="E2" s="1"/>
      <x:c r="F2" s="1"/>
      <x:c r="G2" s="1"/>
      <x:c r="H2" s="1"/>
      <x:c r="I2" s="1"/>
      <x:c r="J2" s="1"/>
      <x:c r="K2" s="1"/>
    </x:row>
    <x:row r="3">
      <x:c r="A3" s="3"/>
      <x:c r="B3" s="3"/>
      <x:c r="C3" s="3"/>
      <x:c r="D3" s="3"/>
      <x:c r="E3" s="3"/>
      <x:c r="F3" s="3"/>
      <x:c r="G3" s="3"/>
      <x:c r="H3" s="3"/>
      <x:c r="I3" s="3"/>
      <x:c r="J3" s="3"/>
      <x:c r="K3" s="3"/>
    </x:row>
    <x:row r="4">
      <x:c r="A4" s="1"/>
      <x:c r="B4" s="1"/>
      <x:c r="C4" s="1"/>
      <x:c r="D4" s="1"/>
      <x:c r="E4" s="1"/>
      <x:c r="F4" s="1"/>
      <x:c r="G4" s="1"/>
      <x:c r="H4" s="1"/>
      <x:c r="I4" s="1"/>
      <x:c r="J4" s="1"/>
      <x:c r="K4" s="1"/>
    </x:row>
    <x:row r="5">
      <x:c r="A5" s="24" t="str">
        <x:v>Observation ID</x:v>
      </x:c>
      <x:c r="B5" s="25" t="str">
        <x:v>Thesis ID</x:v>
      </x:c>
      <x:c r="C5" s="25" t="str">
        <x:v>Observed At</x:v>
      </x:c>
      <x:c r="D5" s="25" t="str">
        <x:v>Evidence Type</x:v>
      </x:c>
      <x:c r="E5" s="25" t="str">
        <x:v>Source</x:v>
      </x:c>
      <x:c r="F5" s="25" t="str">
        <x:v>Source Class</x:v>
      </x:c>
      <x:c r="G5" s="25" t="str">
        <x:v>URL</x:v>
      </x:c>
      <x:c r="H5" s="25" t="str">
        <x:v>Factual Claim</x:v>
      </x:c>
      <x:c r="I5" s="25" t="str">
        <x:v>Effect</x:v>
      </x:c>
      <x:c r="J5" s="25" t="str">
        <x:v>Reliability 1 to 5</x:v>
      </x:c>
      <x:c r="K5" s="26" t="str">
        <x:v>Notes</x:v>
      </x:c>
    </x:row>
    <x:row r="6">
      <x:c r="A6" s="27" t="str">
        <x:v>EV-2026-001</x:v>
      </x:c>
      <x:c r="B6" s="27" t="str">
        <x:v>EEI-2026-001</x:v>
      </x:c>
      <x:c r="C6" s="28" t="n">
        <x:v>46276.51043981482</x:v>
      </x:c>
      <x:c r="D6" s="27" t="str">
        <x:v>Supporting</x:v>
      </x:c>
      <x:c r="E6" s="27" t="str">
        <x:v>Associated Press</x:v>
      </x:c>
      <x:c r="F6" s="27" t="str">
        <x:v>High quality reporting</x:v>
      </x:c>
      <x:c r="G6" s="29" t="str">
        <x:v>https://apnews.com/article/yemen-houthis-iran-mokha-mandeb-shipping-saudi-025d052a14d9481258d51009a76d0bd6</x:v>
      </x:c>
      <x:c r="H6" s="29" t="str">
        <x:v>Houthi forces captured Mayun Island in the Bab el-Mandeb Strait, threatening a major alternative route for Saudi crude exports.</x:v>
      </x:c>
      <x:c r="I6" s="29" t="str">
        <x:v>Strengthens</x:v>
      </x:c>
      <x:c r="J6" s="29" t="n">
        <x:v>4</x:v>
      </x:c>
      <x:c r="K6" s="29" t="str">
        <x:v>Two opposing Yemeni officials confirmed the capture to AP; shipping through the strait was already about 60% below prior levels.</x:v>
      </x:c>
    </x:row>
    <x:row r="7">
      <x:c r="A7" s="27" t="str">
        <x:v>EV-2026-002</x:v>
      </x:c>
      <x:c r="B7" s="27" t="str">
        <x:v>EEI-2026-001</x:v>
      </x:c>
      <x:c r="C7" s="28" t="n">
        <x:v>46276.51043981482</x:v>
      </x:c>
      <x:c r="D7" s="27" t="str">
        <x:v>Supporting</x:v>
      </x:c>
      <x:c r="E7" s="27" t="str">
        <x:v>Reuters / IEA</x:v>
      </x:c>
      <x:c r="F7" s="27" t="str">
        <x:v>High quality reporting</x:v>
      </x:c>
      <x:c r="G7" s="29" t="str">
        <x:v>https://www.reuters.com/world/middle-east/saudi-oil-supply-hits-more-than-three-decade-low-after-houthi-attacks-iea-says-2026-09-11/</x:v>
      </x:c>
      <x:c r="H7" s="29" t="str">
        <x:v>The IEA estimated Saudi August supply at 6 million bpd, down 2.3 million bpd month over month, with crude loadings down 1.1 million bpd.</x:v>
      </x:c>
      <x:c r="I7" s="29" t="str">
        <x:v>Strengthens</x:v>
      </x:c>
      <x:c r="J7" s="29" t="n">
        <x:v>4</x:v>
      </x:c>
      <x:c r="K7" s="29" t="str">
        <x:v>Saudi self-reported figures were higher, creating a measurement contradiction; the IEA emphasized barrels reaching the market.</x:v>
      </x:c>
    </x:row>
    <x:row r="8">
      <x:c r="A8" s="27" t="str">
        <x:v>EV-2026-003</x:v>
      </x:c>
      <x:c r="B8" s="27" t="str">
        <x:v>EEI-2026-001</x:v>
      </x:c>
      <x:c r="C8" s="28" t="n">
        <x:v>46276.51043981482</x:v>
      </x:c>
      <x:c r="D8" s="27" t="str">
        <x:v>Market confirmation</x:v>
      </x:c>
      <x:c r="E8" s="27" t="str">
        <x:v>Reuters</x:v>
      </x:c>
      <x:c r="F8" s="27" t="str">
        <x:v>High quality reporting</x:v>
      </x:c>
      <x:c r="G8" s="29" t="str">
        <x:v>https://www.reuters.com/business/energy/oil-prices-set-end-week-over-100-first-time-nearly-4-months-2026-09-11/</x:v>
      </x:c>
      <x:c r="H8" s="29" t="str">
        <x:v>Brent and WTI remained on course for gains above 8% for the week, while U.S. diesel reached a record above $6 per gallon.</x:v>
      </x:c>
      <x:c r="I8" s="29" t="str">
        <x:v>Strengthens thesis; weakens entry</x:v>
      </x:c>
      <x:c r="J8" s="29" t="n">
        <x:v>4</x:v>
      </x:c>
      <x:c r="K8" s="29" t="str">
        <x:v>Crude fell from Friday highs as possible diplomatic efforts were reported, reinforcing the WAIT classification.</x:v>
      </x:c>
    </x:row>
    <x:row r="9">
      <x:c r="A9" s="27" t="str">
        <x:v>EV-2026-004</x:v>
      </x:c>
      <x:c r="B9" s="27" t="str">
        <x:v>EEI-2026-004</x:v>
      </x:c>
      <x:c r="C9" s="28" t="n">
        <x:v>46276.51043981482</x:v>
      </x:c>
      <x:c r="D9" s="27" t="str">
        <x:v>Supporting</x:v>
      </x:c>
      <x:c r="E9" s="27" t="str">
        <x:v>U.S. Bureau of Labor Statistics</x:v>
      </x:c>
      <x:c r="F9" s="27" t="str">
        <x:v>Primary government data</x:v>
      </x:c>
      <x:c r="G9" s="29" t="str">
        <x:v>https://www.bls.gov/news.release/ppi.nr0.htm</x:v>
      </x:c>
      <x:c r="H9" s="29" t="str">
        <x:v>August final-demand PPI rose 0.4% month over month and 5.4% year over year; final-demand energy rose 4.2% and diesel rose 24.1%.</x:v>
      </x:c>
      <x:c r="I9" s="29" t="str">
        <x:v>Strengthens</x:v>
      </x:c>
      <x:c r="J9" s="29" t="n">
        <x:v>5</x:v>
      </x:c>
      <x:c r="K9" s="29" t="str">
        <x:v>Core final demand excluding food, energy and trade services still rose 4.7% year over year.</x:v>
      </x:c>
    </x:row>
    <x:row r="10">
      <x:c r="A10" s="27" t="str">
        <x:v>EV-2026-005</x:v>
      </x:c>
      <x:c r="B10" s="27" t="str">
        <x:v>EEI-2026-004</x:v>
      </x:c>
      <x:c r="C10" s="28" t="n">
        <x:v>46276.51043981482</x:v>
      </x:c>
      <x:c r="D10" s="27" t="str">
        <x:v>Market confirmation</x:v>
      </x:c>
      <x:c r="E10" s="27" t="str">
        <x:v>Reuters</x:v>
      </x:c>
      <x:c r="F10" s="27" t="str">
        <x:v>High quality reporting</x:v>
      </x:c>
      <x:c r="G10" s="29" t="str">
        <x:v>https://www.reuters.com/world/europe/global-bond-selloff-pushes-10-year-us-yield-toward-5-oil-rate-hike-fears-2026-09-11/</x:v>
      </x:c>
      <x:c r="H10" s="29" t="str">
        <x:v>The U.S. 10-year yield reached 4.979%, G7 10-year yields rose about 19 bps on the week, and Fed-hike pricing rose to 72% from 49% a week earlier.</x:v>
      </x:c>
      <x:c r="I10" s="29" t="str">
        <x:v>Strengthens</x:v>
      </x:c>
      <x:c r="J10" s="29" t="n">
        <x:v>4</x:v>
      </x:c>
      <x:c r="K10" s="29" t="str">
        <x:v>The September 11 CPI release remained a major near-term binary modifier.</x:v>
      </x:c>
    </x:row>
    <x:row r="11">
      <x:c r="A11" s="27" t="str">
        <x:v>EV-2026-006</x:v>
      </x:c>
      <x:c r="B11" s="27" t="str">
        <x:v>EEI-2026-004</x:v>
      </x:c>
      <x:c r="C11" s="28" t="n">
        <x:v>46276.51043981482</x:v>
      </x:c>
      <x:c r="D11" s="27" t="str">
        <x:v>Supporting</x:v>
      </x:c>
      <x:c r="E11" s="27" t="str">
        <x:v>Reuters</x:v>
      </x:c>
      <x:c r="F11" s="27" t="str">
        <x:v>High quality reporting</x:v>
      </x:c>
      <x:c r="G11" s="29" t="str">
        <x:v>https://www.reuters.com/business/barclays-expects-ecb-deliver-another-rate-hike-december-inflation-pressures-2026-09-11/</x:v>
      </x:c>
      <x:c r="H11" s="29" t="str">
        <x:v>The ECB raised rates 25 bps and warned inflation could remain above target; markets priced a 94% chance of another December hike.</x:v>
      </x:c>
      <x:c r="I11" s="29" t="str">
        <x:v>Strengthens</x:v>
      </x:c>
      <x:c r="J11" s="29" t="n">
        <x:v>4</x:v>
      </x:c>
      <x:c r="K11" s="29" t="str">
        <x:v>This confirms the mechanism globally but does not guarantee identical Federal Reserve action.</x:v>
      </x:c>
    </x:row>
    <x:row r="12">
      <x:c r="A12" s="27" t="str">
        <x:v>EV-2026-007</x:v>
      </x:c>
      <x:c r="B12" s="27" t="str">
        <x:v>EEI-2026-003</x:v>
      </x:c>
      <x:c r="C12" s="28" t="n">
        <x:v>46276.51043981482</x:v>
      </x:c>
      <x:c r="D12" s="27" t="str">
        <x:v>Contradictory</x:v>
      </x:c>
      <x:c r="E12" s="27" t="str">
        <x:v>U.S. Bureau of Labor Statistics</x:v>
      </x:c>
      <x:c r="F12" s="27" t="str">
        <x:v>Primary government data</x:v>
      </x:c>
      <x:c r="G12" s="29" t="str">
        <x:v>https://www.bls.gov/news.release/ppi.nr0.htm</x:v>
      </x:c>
      <x:c r="H12" s="29" t="str">
        <x:v>Producer inflation was 5.4% year over year in August and energy accounted for most of the monthly goods increase.</x:v>
      </x:c>
      <x:c r="I12" s="29" t="str">
        <x:v>Weakens</x:v>
      </x:c>
      <x:c r="J12" s="29" t="n">
        <x:v>5</x:v>
      </x:c>
      <x:c r="K12" s="29" t="str">
        <x:v>Higher inflation and rates may impair broad market breadth around the midterms even if political control shifts.</x:v>
      </x:c>
    </x:row>
    <x:row r="13">
      <x:c r="A13" s="27" t="str">
        <x:v>EV-2026-008</x:v>
      </x:c>
      <x:c r="B13" s="27" t="str">
        <x:v>EEI-2026-003</x:v>
      </x:c>
      <x:c r="C13" s="28" t="n">
        <x:v>46276.51043981482</x:v>
      </x:c>
      <x:c r="D13" s="27" t="str">
        <x:v>Contradictory</x:v>
      </x:c>
      <x:c r="E13" s="27" t="str">
        <x:v>Reuters</x:v>
      </x:c>
      <x:c r="F13" s="27" t="str">
        <x:v>High quality reporting</x:v>
      </x:c>
      <x:c r="G13" s="29" t="str">
        <x:v>https://www.reuters.com/world/europe/global-bond-selloff-pushes-10-year-us-yield-toward-5-oil-rate-hike-fears-2026-09-11/</x:v>
      </x:c>
      <x:c r="H13" s="29" t="str">
        <x:v>Long yields approached 5% and Fed-hike odds rose before CPI, increasing the discount-rate risk to a broad equity rebound.</x:v>
      </x:c>
      <x:c r="I13" s="29" t="str">
        <x:v>Weakens</x:v>
      </x:c>
      <x:c r="J13" s="29" t="n">
        <x:v>4</x:v>
      </x:c>
      <x:c r="K13" s="29" t="str">
        <x:v>Treat as a modifier, not a full invalidation; sector leadership could still differ from the broad index.</x:v>
      </x:c>
    </x:row>
    <x:row r="14">
      <x:c r="A14" s="27" t="str">
        <x:v>EV-2026-009</x:v>
      </x:c>
      <x:c r="B14" s="27" t="str">
        <x:v>EEI-2026-003</x:v>
      </x:c>
      <x:c r="C14" s="28" t="n">
        <x:v>46276.65429398148</x:v>
      </x:c>
      <x:c r="D14" s="27" t="str">
        <x:v>Contradictory</x:v>
      </x:c>
      <x:c r="E14" s="27" t="str">
        <x:v>U.S. Bureau of Labor Statistics</x:v>
      </x:c>
      <x:c r="F14" s="27" t="str">
        <x:v>Primary government data</x:v>
      </x:c>
      <x:c r="G14" s="29" t="str">
        <x:v>https://www.bls.gov/news.release/cpi.nr0.htm</x:v>
      </x:c>
      <x:c r="H14" s="29" t="str">
        <x:v>August CPI rose 0.4% month over month and 3.4% year over year. Energy rose 2.1%, gasoline rose 3.9%, and core CPI rose 0.3% month over month.</x:v>
      </x:c>
      <x:c r="I14" s="29" t="str">
        <x:v>Weakens</x:v>
      </x:c>
      <x:c r="J14" s="29" t="n">
        <x:v>5</x:v>
      </x:c>
      <x:c r="K14" s="29" t="str">
        <x:v>The report confirms that inflation remains a material modifier to any uncertainty-relief or breadth thesis.</x:v>
      </x:c>
    </x:row>
    <x:row r="15">
      <x:c r="A15" s="27" t="str">
        <x:v>EV-2026-010</x:v>
      </x:c>
      <x:c r="B15" s="27" t="str">
        <x:v>EEI-2026-003</x:v>
      </x:c>
      <x:c r="C15" s="28" t="n">
        <x:v>46276.65429398148</x:v>
      </x:c>
      <x:c r="D15" s="27" t="str">
        <x:v>Market confirmation</x:v>
      </x:c>
      <x:c r="E15" s="27" t="str">
        <x:v>Reuters and market price data</x:v>
      </x:c>
      <x:c r="F15" s="27" t="str">
        <x:v>High quality reporting and market data</x:v>
      </x:c>
      <x:c r="G15" s="29" t="str">
        <x:v>https://www.reuters.com/business/wall-st-futures-recover-oil-slides-ahead-inflation-test-2026-09-11/</x:v>
      </x:c>
      <x:c r="H15" s="29" t="str">
        <x:v>U.S. equities rose with positive exchange breadth and VIX at 16.16, but intraday ETF data showed SPY up 1.07% versus RSP 0.73% and IWM 0.68%.</x:v>
      </x:c>
      <x:c r="I15" s="29" t="str">
        <x:v>Mixed</x:v>
      </x:c>
      <x:c r="J15" s="29" t="n">
        <x:v>4</x:v>
      </x:c>
      <x:c r="K15" s="29" t="str">
        <x:v>A broad one-day rebound is constructive, but relative performance still does not confirm sustained equal-weight or small-cap leadership.</x:v>
      </x:c>
    </x:row>
    <x:row r="16">
      <x:c r="A16" s="27" t="str">
        <x:v>EV-2026-011</x:v>
      </x:c>
      <x:c r="B16" s="27" t="str">
        <x:v>EEI-2026-003</x:v>
      </x:c>
      <x:c r="C16" s="28" t="n">
        <x:v>46276.65429398148</x:v>
      </x:c>
      <x:c r="D16" s="27" t="str">
        <x:v>Contradictory</x:v>
      </x:c>
      <x:c r="E16" s="27" t="str">
        <x:v>Reuters / University of Michigan</x:v>
      </x:c>
      <x:c r="F16" s="27" t="str">
        <x:v>High quality reporting</x:v>
      </x:c>
      <x:c r="G16" s="29" t="str">
        <x:v>https://www.reuters.com/business/us-consumer-sentiment-deteriorates-september-inflation-expectations-rise-2026-09-11/</x:v>
      </x:c>
      <x:c r="H16" s="29" t="str">
        <x:v>Preliminary September consumer sentiment fell to 47.8 from 51.7, while one-year inflation expectations rose to 4.6% from 4.0%.</x:v>
      </x:c>
      <x:c r="I16" s="29" t="str">
        <x:v>Weakens</x:v>
      </x:c>
      <x:c r="J16" s="29" t="n">
        <x:v>4</x:v>
      </x:c>
      <x:c r="K16" s="29" t="str">
        <x:v>The deterioration challenges the risk-appetite and domestic-cyclical mechanism, especially for small caps and financials.</x:v>
      </x:c>
    </x:row>
    <x:row r="17">
      <x:c r="A17" s="27" t="str">
        <x:v>EV-2026-012</x:v>
      </x:c>
      <x:c r="B17" s="27" t="str">
        <x:v>EEI-2026-003</x:v>
      </x:c>
      <x:c r="C17" s="28" t="n">
        <x:v>46276.65429398148</x:v>
      </x:c>
      <x:c r="D17" s="27" t="str">
        <x:v>Neutral</x:v>
      </x:c>
      <x:c r="E17" s="27" t="str">
        <x:v>Reuters</x:v>
      </x:c>
      <x:c r="F17" s="27" t="str">
        <x:v>High quality reporting</x:v>
      </x:c>
      <x:c r="G17" s="29" t="str">
        <x:v>https://www.reuters.com/legal/government/trump-musk-super-pacs-unleash-millions-boost-republicans-battleground-races-2026-09-11/</x:v>
      </x:c>
      <x:c r="H17" s="29" t="str">
        <x:v>Major political committees increased spending across several competitive House and Senate states with less than eight weeks before the election.</x:v>
      </x:c>
      <x:c r="I17" s="29" t="str">
        <x:v>Neutral</x:v>
      </x:c>
      <x:c r="J17" s="29" t="n">
        <x:v>4</x:v>
      </x:c>
      <x:c r="K17" s="29" t="str">
        <x:v>This supports the conclusion that congressional-control uncertainty remains unresolved. Campaign spending does not establish which party will win.</x:v>
      </x:c>
    </x:row>
    <x:row r="18" ht="60" hidden="0" customHeight="1">
      <x:c r="A18" s="29" t="str">
        <x:v>EV-2026-013</x:v>
      </x:c>
      <x:c r="B18" s="29" t="str">
        <x:v>EEI-2026-001</x:v>
      </x:c>
      <x:c r="C18" s="50" t="n">
        <x:v>46276.833333333336</x:v>
      </x:c>
      <x:c r="D18" s="29" t="str">
        <x:v>Market confirmation</x:v>
      </x:c>
      <x:c r="E18" s="29" t="str">
        <x:v>Reuters</x:v>
      </x:c>
      <x:c r="F18" s="29" t="str">
        <x:v>High quality reporting</x:v>
      </x:c>
      <x:c r="G18" s="29" t="str">
        <x:v>https://www.reuters.com/business/energy/oil-prices-set-end-week-over-100-first-time-nearly-4-months-2026-09-11/</x:v>
      </x:c>
      <x:c r="H18" s="29" t="str">
        <x:v>Brent settled at $104.61 and WTI at $100.05 on September 11. Both still posted weekly gains above 8% despite a Friday retreat after reports of possible talks over Hormuz shipping.</x:v>
      </x:c>
      <x:c r="I18" s="29" t="str">
        <x:v>Strengthens thesis; weakens entry</x:v>
      </x:c>
      <x:c r="J18" s="29" t="n">
        <x:v>4</x:v>
      </x:c>
      <x:c r="K18" s="29" t="str">
        <x:v>The supply shock remained visible in prices, but the reaction to diplomatic headlines confirms that de-escalation is a live invalidation risk.</x:v>
      </x:c>
    </x:row>
    <x:row r="19" ht="36" hidden="0" customHeight="1">
      <x:c r="A19" s="29" t="str">
        <x:v>EV-2026-014</x:v>
      </x:c>
      <x:c r="B19" s="29" t="str">
        <x:v>EEI-2026-001</x:v>
      </x:c>
      <x:c r="C19" s="50" t="n">
        <x:v>46276.833333333336</x:v>
      </x:c>
      <x:c r="D19" s="29" t="str">
        <x:v>Paper-trade outcome</x:v>
      </x:c>
      <x:c r="E19" s="29" t="str">
        <x:v>Nasdaq market data</x:v>
      </x:c>
      <x:c r="F19" s="29" t="str">
        <x:v>Primary market data</x:v>
      </x:c>
      <x:c r="G19" s="29" t="str">
        <x:v>https://www.nasdaq.com/market-activity/etf/bno/historical</x:v>
      </x:c>
      <x:c r="H19" s="29" t="str">
        <x:v>BNO closed at $61.36 on September 11 versus the $57.21 September 8 opening entry, a 7.25% paper gain.</x:v>
      </x:c>
      <x:c r="I19" s="29" t="str">
        <x:v>Strengthens expression</x:v>
      </x:c>
      <x:c r="J19" s="29" t="n">
        <x:v>5</x:v>
      </x:c>
      <x:c r="K19" s="29" t="str">
        <x:v>The Brent-linked fund was the cleanest expression of the global seaborne crude-supply thesis.</x:v>
      </x:c>
    </x:row>
    <x:row r="20" ht="36" hidden="0" customHeight="1">
      <x:c r="A20" s="29" t="str">
        <x:v>EV-2026-015</x:v>
      </x:c>
      <x:c r="B20" s="29" t="str">
        <x:v>EEI-2026-001</x:v>
      </x:c>
      <x:c r="C20" s="50" t="n">
        <x:v>46276.833333333336</x:v>
      </x:c>
      <x:c r="D20" s="29" t="str">
        <x:v>Paper-trade outcome</x:v>
      </x:c>
      <x:c r="E20" s="29" t="str">
        <x:v>Nasdaq market data</x:v>
      </x:c>
      <x:c r="F20" s="29" t="str">
        <x:v>Primary market data</x:v>
      </x:c>
      <x:c r="G20" s="29" t="str">
        <x:v>https://www.nasdaq.com/market-activity/etf/uso/historical</x:v>
      </x:c>
      <x:c r="H20" s="29" t="str">
        <x:v>USO closed at $154.86 on September 11 versus the $144.60 September 8 opening entry, a 7.10% paper gain.</x:v>
      </x:c>
      <x:c r="I20" s="29" t="str">
        <x:v>Strengthens expression</x:v>
      </x:c>
      <x:c r="J20" s="29" t="n">
        <x:v>5</x:v>
      </x:c>
      <x:c r="K20" s="29" t="str">
        <x:v>WTI-linked exposure tracked the direction nearly as well as the Brent-linked fund over this short window.</x:v>
      </x:c>
    </x:row>
    <x:row r="21" ht="48" hidden="0" customHeight="1">
      <x:c r="A21" s="29" t="str">
        <x:v>EV-2026-016</x:v>
      </x:c>
      <x:c r="B21" s="29" t="str">
        <x:v>EEI-2026-001</x:v>
      </x:c>
      <x:c r="C21" s="50" t="n">
        <x:v>46276.833333333336</x:v>
      </x:c>
      <x:c r="D21" s="29" t="str">
        <x:v>Paper-trade outcome</x:v>
      </x:c>
      <x:c r="E21" s="29" t="str">
        <x:v>Nasdaq market data</x:v>
      </x:c>
      <x:c r="F21" s="29" t="str">
        <x:v>Primary market data</x:v>
      </x:c>
      <x:c r="G21" s="29" t="str">
        <x:v>https://www.nasdaq.com/market-activity/etf/xop/historical</x:v>
      </x:c>
      <x:c r="H21" s="29" t="str">
        <x:v>XOP closed at $195.75 on September 11 versus the $193.84 September 8 opening entry, a 0.99% paper gain.</x:v>
      </x:c>
      <x:c r="I21" s="29" t="str">
        <x:v>Mixed expression</x:v>
      </x:c>
      <x:c r="J21" s="29" t="n">
        <x:v>5</x:v>
      </x:c>
      <x:c r="K21" s="29" t="str">
        <x:v>Producer equities substantially lagged direct crude funds, confirming the methodology's need to score expression performance separately.</x:v>
      </x:c>
    </x:row>
    <x:row r="22">
      <x:c r="A22" s="27" t="str">
        <x:v>EV-2026-017</x:v>
      </x:c>
      <x:c r="B22" s="27" t="str">
        <x:v>EEI-2026-001</x:v>
      </x:c>
      <x:c r="C22" s="49" t="n">
        <x:v>46277.49940972222</x:v>
      </x:c>
      <x:c r="D22" s="27" t="str">
        <x:v>Supporting</x:v>
      </x:c>
      <x:c r="E22" s="27" t="str">
        <x:v>Reuters</x:v>
      </x:c>
      <x:c r="F22" s="27" t="str">
        <x:v>High quality reporting</x:v>
      </x:c>
      <x:c r="G22" s="29" t="str">
        <x:v>https://www.reuters.com/business/energy/saudis-shut-down-oil-pipeline-houthis-tighten-grip-red-sea-shipping-2026-09-12/</x:v>
      </x:c>
      <x:c r="H22" s="29" t="str">
        <x:v>Saudi Arabia temporarily shut its 1,200-km East-West pipeline after a drone attack. Reuters reported the route had been transporting roughly 4-5 million bpd, or 4%-5% of global supply, as a bypass around constrained Hormuz.</x:v>
      </x:c>
      <x:c r="I22" s="29" t="str">
        <x:v>Strengthens</x:v>
      </x:c>
      <x:c r="J22" s="29" t="n">
        <x:v>4</x:v>
      </x:c>
      <x:c r="K22" s="29" t="str">
        <x:v>A new physical disruption to the principal Saudi bypass route; reported while markets were closed, so price confirmation is pending.</x:v>
      </x:c>
    </x:row>
    <x:row r="23">
      <x:c r="A23" s="27" t="str">
        <x:v>EV-2026-018</x:v>
      </x:c>
      <x:c r="B23" s="27" t="str">
        <x:v>EEI-2026-001</x:v>
      </x:c>
      <x:c r="C23" s="49" t="n">
        <x:v>46277.49940972222</x:v>
      </x:c>
      <x:c r="D23" s="27" t="str">
        <x:v>Supporting</x:v>
      </x:c>
      <x:c r="E23" s="27" t="str">
        <x:v>Associated Press</x:v>
      </x:c>
      <x:c r="F23" s="27" t="str">
        <x:v>High quality reporting</x:v>
      </x:c>
      <x:c r="G23" s="29" t="str">
        <x:v>https://apnews.com/article/324485fad65647d4a897d5bfdcb7849c</x:v>
      </x:c>
      <x:c r="H23" s="29" t="str">
        <x:v>Iraq confirmed the pipeline attack originated from Iraqi territory, dismissed a local commander and opened an investigation; the attack forced the East-West pipeline shutdown.</x:v>
      </x:c>
      <x:c r="I23" s="29" t="str">
        <x:v>Strengthens</x:v>
      </x:c>
      <x:c r="J23" s="29" t="n">
        <x:v>4</x:v>
      </x:c>
      <x:c r="K23" s="29" t="str">
        <x:v>Independent confirmation of origin and shutdown. The attacker and ultimate sponsor remain unconfirmed.</x:v>
      </x:c>
    </x:row>
    <x:row r="24">
      <x:c r="A24" s="27" t="str">
        <x:v>EV-2026-019</x:v>
      </x:c>
      <x:c r="B24" s="27" t="str">
        <x:v>EEI-2026-001</x:v>
      </x:c>
      <x:c r="C24" s="49" t="n">
        <x:v>46277.49940972222</x:v>
      </x:c>
      <x:c r="D24" s="27" t="str">
        <x:v>Contradictory</x:v>
      </x:c>
      <x:c r="E24" s="27" t="str">
        <x:v>Reuters</x:v>
      </x:c>
      <x:c r="F24" s="27" t="str">
        <x:v>High quality reporting</x:v>
      </x:c>
      <x:c r="G24" s="29" t="str">
        <x:v>https://www.reuters.com/business/energy/trump-says-iran-probably-responsible-attack-saudi-pipeline-2026-09-12/</x:v>
      </x:c>
      <x:c r="H24" s="29" t="str">
        <x:v>No group claimed responsibility; President Trump said Iran was probably responsible while also reporting Houthi contacts and describing some continuing traffic allowances.</x:v>
      </x:c>
      <x:c r="I24" s="29" t="str">
        <x:v>Weakens entry; limits attribution</x:v>
      </x:c>
      <x:c r="J24" s="29" t="n">
        <x:v>4</x:v>
      </x:c>
      <x:c r="K24" s="29" t="str">
        <x:v>Supports escalation risk but prevents treating attribution as established fact and preserves a possible diplomatic off-ramp.</x:v>
      </x:c>
    </x:row>
    <x:row r="25">
      <x:c r="A25" s="27" t="str">
        <x:v>EV-2026-020</x:v>
      </x:c>
      <x:c r="B25" s="27" t="str">
        <x:v>EEI-2026-004</x:v>
      </x:c>
      <x:c r="C25" s="49" t="n">
        <x:v>46277.49940972222</x:v>
      </x:c>
      <x:c r="D25" s="27" t="str">
        <x:v>Supporting</x:v>
      </x:c>
      <x:c r="E25" s="27" t="str">
        <x:v>Financial Times</x:v>
      </x:c>
      <x:c r="F25" s="27" t="str">
        <x:v>High quality reporting</x:v>
      </x:c>
      <x:c r="G25" s="29" t="str">
        <x:v>https://www.ft.com/content/a83e620a-bb72-478a-ac77-10635ec653bd</x:v>
      </x:c>
      <x:c r="H25" s="29" t="str">
        <x:v>Austrian central-bank governor Martin Kocher warned that oil near $100 through year-end could require further ECB hikes; the ECB adverse scenario associates $99 oil and EUR77/MWh gas with 3.2% inflation in 2027.</x:v>
      </x:c>
      <x:c r="I25" s="29" t="str">
        <x:v>Strengthens</x:v>
      </x:c>
      <x:c r="J25" s="29" t="n">
        <x:v>4</x:v>
      </x:c>
      <x:c r="K25" s="29" t="str">
        <x:v>Kocher also said broad second-round wage and price effects are not yet evident, which remains the strongest near-term contradiction.</x:v>
      </x:c>
    </x:row>
    <x:row r="26">
      <x:c r="A26" s="27" t="str">
        <x:v>EV-2026-021</x:v>
      </x:c>
      <x:c r="B26" s="27" t="str">
        <x:v>EEI-2026-003</x:v>
      </x:c>
      <x:c r="C26" s="28" t="n">
        <x:v>46277.63582175926</x:v>
      </x:c>
      <x:c r="D26" s="27" t="str">
        <x:v>Contradictory</x:v>
      </x:c>
      <x:c r="E26" s="27" t="str">
        <x:v>Reuters</x:v>
      </x:c>
      <x:c r="F26" s="27" t="str">
        <x:v>High quality reporting</x:v>
      </x:c>
      <x:c r="G26" s="29" t="str">
        <x:v>https://www.reuters.com/business/energy/saudis-shut-down-oil-pipeline-houthis-tighten-grip-red-sea-shipping-2026-09-12/</x:v>
      </x:c>
      <x:c r="H26" s="29" t="str">
        <x:v>Saudi Arabia temporarily closed its East-West pipeline after a drone attack. The route had carried about 4-5 million barrels per day while Hormuz was constrained.</x:v>
      </x:c>
      <x:c r="I26" s="29" t="str">
        <x:v>Weakens timing and trading edge</x:v>
      </x:c>
      <x:c r="J26" s="29" t="n">
        <x:v>4</x:v>
      </x:c>
      <x:c r="K26" s="29" t="str">
        <x:v>This is an oil-thesis trigger but only a macro modifier here: higher energy and transport costs can lift inflation and yields, delaying broad equity participation.</x:v>
      </x:c>
    </x:row>
    <x:row r="27">
      <x:c r="A27" s="27" t="str">
        <x:v>EV-2026-022</x:v>
      </x:c>
      <x:c r="B27" s="27" t="str">
        <x:v>EEI-2026-003</x:v>
      </x:c>
      <x:c r="C27" s="28" t="n">
        <x:v>46277.63582175926</x:v>
      </x:c>
      <x:c r="D27" s="27" t="str">
        <x:v>Contradictory</x:v>
      </x:c>
      <x:c r="E27" s="27" t="str">
        <x:v>Associated Press</x:v>
      </x:c>
      <x:c r="F27" s="27" t="str">
        <x:v>High quality reporting</x:v>
      </x:c>
      <x:c r="G27" s="29" t="str">
        <x:v>https://apnews.com/article/324485fad65647d4a897d5bfdcb7849c</x:v>
      </x:c>
      <x:c r="H27" s="29" t="str">
        <x:v>Iraq independently confirmed that the pipeline attack originated from Iraqi territory and opened an investigation after the shutdown.</x:v>
      </x:c>
      <x:c r="I27" s="29" t="str">
        <x:v>Confirms modifier</x:v>
      </x:c>
      <x:c r="J27" s="29" t="n">
        <x:v>4</x:v>
      </x:c>
      <x:c r="K27" s="29" t="str">
        <x:v>The attacker and sponsor remain unconfirmed. The pipeline closure is described as temporary and markets were closed when the news arrived.</x:v>
      </x:c>
    </x:row>
    <x:row r="28">
      <x:c r="A28" s="27" t="str">
        <x:v>EV-2026-023</x:v>
      </x:c>
      <x:c r="B28" s="27" t="str">
        <x:v>EEI-2026-003</x:v>
      </x:c>
      <x:c r="C28" s="28" t="n">
        <x:v>46277.63582175926</x:v>
      </x:c>
      <x:c r="D28" s="27" t="str">
        <x:v>Market confirmation</x:v>
      </x:c>
      <x:c r="E28" s="27" t="str">
        <x:v>Reuters and market price data</x:v>
      </x:c>
      <x:c r="F28" s="27" t="str">
        <x:v>High quality reporting and market data</x:v>
      </x:c>
      <x:c r="G28" s="29" t="str">
        <x:v>https://www.reuters.com/business/wall-st-futures-recover-oil-slides-ahead-inflation-test-2026-09-11/</x:v>
      </x:c>
      <x:c r="H28" s="29" t="str">
        <x:v>Friday's close showed SPY up 0.87%, RSP 0.79%, IWM 0.40% and XLI 1.07%; XLV and XBI fell. S&amp;P 500 breadth was positive, VIX closed at 15.88, and the index lost 0.8% for the week.</x:v>
      </x:c>
      <x:c r="I28" s="29" t="str">
        <x:v>Mixed</x:v>
      </x:c>
      <x:c r="J28" s="29" t="n">
        <x:v>4</x:v>
      </x:c>
      <x:c r="K28" s="29" t="str">
        <x:v>The rebound was broad within the S&amp;P 500, but small caps and health care did not confirm and the market has not reacted to the weekend energy disruption.</x:v>
      </x:c>
    </x:row>
    <x:row r="29">
      <x:c r="A29" s="27" t="str">
        <x:v>EV-2026-024</x:v>
      </x:c>
      <x:c r="B29" s="27" t="str">
        <x:v>EEI-2026-001</x:v>
      </x:c>
      <x:c r="C29" s="49" t="n">
        <x:v>46278.49491898148</x:v>
      </x:c>
      <x:c r="D29" s="27" t="str">
        <x:v>Supporting</x:v>
      </x:c>
      <x:c r="E29" s="27" t="str">
        <x:v>Reuters / UKMTO</x:v>
      </x:c>
      <x:c r="F29" s="27" t="str">
        <x:v>High quality reporting and official maritime notice</x:v>
      </x:c>
      <x:c r="G29" s="29" t="str">
        <x:v>https://www.reuters.com/business/energy/new-report-attack-strait-hormuz-shipping-fans-fears-threats-oil-supplies-2026-09-13/</x:v>
      </x:c>
      <x:c r="H29" s="29" t="str">
        <x:v>UKMTO reported that a projectile struck a vessel in the Strait of Hormuz, causing a fire; local authorities evacuated the crew.</x:v>
      </x:c>
      <x:c r="I29" s="29" t="str">
        <x:v>Strengthens</x:v>
      </x:c>
      <x:c r="J29" s="29" t="n">
        <x:v>4</x:v>
      </x:c>
      <x:c r="K29" s="29" t="str">
        <x:v>Direct evidence that active attacks continue to deter shipping. Reuters did not identify the attacker.</x:v>
      </x:c>
    </x:row>
    <x:row r="30">
      <x:c r="A30" s="27" t="str">
        <x:v>EV-2026-025</x:v>
      </x:c>
      <x:c r="B30" s="27" t="str">
        <x:v>EEI-2026-001</x:v>
      </x:c>
      <x:c r="C30" s="49" t="n">
        <x:v>46278.49491898148</x:v>
      </x:c>
      <x:c r="D30" s="27" t="str">
        <x:v>Supporting</x:v>
      </x:c>
      <x:c r="E30" s="27" t="str">
        <x:v>Associated Press</x:v>
      </x:c>
      <x:c r="F30" s="27" t="str">
        <x:v>High quality reporting</x:v>
      </x:c>
      <x:c r="G30" s="29" t="str">
        <x:v>https://apnews.com/article/aa034da0d8226f5a3b4794b10afb8b3b</x:v>
      </x:c>
      <x:c r="H30" s="29" t="str">
        <x:v>AP reported that an Iranian cargo ship was struck near Qeshm Island early Sunday, killing one person and injuring four; UKMTO reported a projectile impact and fire.</x:v>
      </x:c>
      <x:c r="I30" s="29" t="str">
        <x:v>Strengthens</x:v>
      </x:c>
      <x:c r="J30" s="29" t="n">
        <x:v>4</x:v>
      </x:c>
      <x:c r="K30" s="29" t="str">
        <x:v>Independent confirmation of the incident and casualties; responsibility remains unknown.</x:v>
      </x:c>
    </x:row>
    <x:row r="31">
      <x:c r="A31" s="27" t="str">
        <x:v>EV-2026-026</x:v>
      </x:c>
      <x:c r="B31" s="27" t="str">
        <x:v>EEI-2026-001</x:v>
      </x:c>
      <x:c r="C31" s="49" t="n">
        <x:v>46278.49491898148</x:v>
      </x:c>
      <x:c r="D31" s="27" t="str">
        <x:v>Market confirmation</x:v>
      </x:c>
      <x:c r="E31" s="27" t="str">
        <x:v>Reuters and Saudi market data</x:v>
      </x:c>
      <x:c r="F31" s="27" t="str">
        <x:v>High quality reporting and market data</x:v>
      </x:c>
      <x:c r="G31" s="29" t="str">
        <x:v>https://www.reuters.com/world/middle-east/saudi-shares-drop-after-drone-attacks-target-key-oil-pipeline-2026-09-13/</x:v>
      </x:c>
      <x:c r="H31" s="29" t="str">
        <x:v>Saudi Arabia's benchmark fell 1.0% in early Sunday trade; Aramco fell 1.1%, Saudi Arabian Mining 2.4% and Rabigh Refining 7.3% after the pipeline attacks.</x:v>
      </x:c>
      <x:c r="I31" s="29" t="str">
        <x:v>Confirms regional risk; no crude confirmation</x:v>
      </x:c>
      <x:c r="J31" s="29" t="n">
        <x:v>4</x:v>
      </x:c>
      <x:c r="K31" s="29" t="str">
        <x:v>This is the first regional market reaction, but direct crude and U.S. candidate expressions have not traded since the weekend attacks.</x:v>
      </x:c>
    </x:row>
    <x:row r="32">
      <x:c r="A32" s="27" t="str">
        <x:v>EV-2026-027</x:v>
      </x:c>
      <x:c r="B32" s="27" t="str">
        <x:v>EEI-2026-001</x:v>
      </x:c>
      <x:c r="C32" s="49" t="n">
        <x:v>46278.49491898148</x:v>
      </x:c>
      <x:c r="D32" s="27" t="str">
        <x:v>Neutral</x:v>
      </x:c>
      <x:c r="E32" s="27" t="str">
        <x:v>Reuters</x:v>
      </x:c>
      <x:c r="F32" s="27" t="str">
        <x:v>High quality reporting</x:v>
      </x:c>
      <x:c r="G32" s="29" t="str">
        <x:v>https://www.reuters.com/world/middle-east/no-signed-hormuz-deal-expected-yet-oman-meeting-monday-iranian-official-says-2026-09-12/</x:v>
      </x:c>
      <x:c r="H32" s="29" t="str">
        <x:v>Iran and Gulf states plan to discuss Hormuz in Oman on Monday, but a senior Iranian official said no signed agreement is expected and Iran continues to seek transit-fee authority.</x:v>
      </x:c>
      <x:c r="I32" s="29" t="str">
        <x:v>Supports persistence; preserves diplomatic off-ramp</x:v>
      </x:c>
      <x:c r="J32" s="29" t="n">
        <x:v>4</x:v>
      </x:c>
      <x:c r="K32" s="29" t="str">
        <x:v>The meeting is a live event-risk modifier. A surprise interim deal could reverse risk premiums quickly.</x:v>
      </x:c>
    </x:row>
    <x:row r="33">
      <x:c r="A33" s="27" t="str">
        <x:v>EV-2026-028</x:v>
      </x:c>
      <x:c r="B33" s="27" t="str">
        <x:v>EEI-2026-004</x:v>
      </x:c>
      <x:c r="C33" s="49" t="n">
        <x:v>46278.49491898148</x:v>
      </x:c>
      <x:c r="D33" s="27" t="str">
        <x:v>Supporting</x:v>
      </x:c>
      <x:c r="E33" s="27" t="str">
        <x:v>Reuters</x:v>
      </x:c>
      <x:c r="F33" s="27" t="str">
        <x:v>High quality reporting</x:v>
      </x:c>
      <x:c r="G33" s="29" t="str">
        <x:v>https://www.reuters.com/business/energy/white-house-weighs-how-use-defense-production-act-expand-us-oil-refining-2026-09-11/</x:v>
      </x:c>
      <x:c r="H33" s="29" t="str">
        <x:v>Reuters reported U.S. refinery utilization at 98% and White House consideration of Defense Production Act support for refinery efficiency or expansion as diesel exceeded $6 per gallon.</x:v>
      </x:c>
      <x:c r="I33" s="29" t="str">
        <x:v>Strengthens constraint; no policy decision</x:v>
      </x:c>
      <x:c r="J33" s="29" t="n">
        <x:v>4</x:v>
      </x:c>
      <x:c r="K33" s="29" t="str">
        <x:v>No final decision was made, a new refinery would take years, and the April presidential determination already authorized potential support.</x:v>
      </x:c>
    </x:row>
    <x:row r="34">
      <x:c r="A34" s="27" t="str">
        <x:v>EV-2026-029</x:v>
      </x:c>
      <x:c r="B34" s="27" t="str">
        <x:v>EEI-2026-003</x:v>
      </x:c>
      <x:c r="C34" s="28" t="n">
        <x:v>46278.63196759259</x:v>
      </x:c>
      <x:c r="D34" s="27" t="str">
        <x:v>Contradictory</x:v>
      </x:c>
      <x:c r="E34" s="27" t="str">
        <x:v>Reuters</x:v>
      </x:c>
      <x:c r="F34" s="27" t="str">
        <x:v>High quality reporting</x:v>
      </x:c>
      <x:c r="G34" s="29" t="str">
        <x:v>https://www.reuters.com/business/energy/saudi-pipeline-outage-threatens-loss-4-global-oil-supply-2026-09-13/</x:v>
      </x:c>
      <x:c r="H34" s="29" t="str">
        <x:v>Reuters reported that the East-West pipeline had been moving about 4 million barrels per day, roughly 4% of world supply. Yanbu export stocks were estimated at five to seven days, while one repair estimate was five to six weeks.</x:v>
      </x:c>
      <x:c r="I34" s="29" t="str">
        <x:v>Weakens timing and trading edge</x:v>
      </x:c>
      <x:c r="J34" s="29" t="n">
        <x:v>4</x:v>
      </x:c>
      <x:c r="K34" s="29" t="str">
        <x:v>Saudi Arabia has not confirmed the damage or repair duration, and partial pumping could resume sooner. The confirmed shutdown remains an oil-thesis trigger and a macro modifier here.</x:v>
      </x:c>
    </x:row>
    <x:row r="35">
      <x:c r="A35" s="27" t="str">
        <x:v>EV-2026-030</x:v>
      </x:c>
      <x:c r="B35" s="27" t="str">
        <x:v>EEI-2026-003</x:v>
      </x:c>
      <x:c r="C35" s="28" t="n">
        <x:v>46278.63196759259</x:v>
      </x:c>
      <x:c r="D35" s="27" t="str">
        <x:v>Market confirmation</x:v>
      </x:c>
      <x:c r="E35" s="27" t="str">
        <x:v>Reuters and Saudi market data</x:v>
      </x:c>
      <x:c r="F35" s="27" t="str">
        <x:v>High quality reporting and market data</x:v>
      </x:c>
      <x:c r="G35" s="29" t="str">
        <x:v>https://www.reuters.com/world/middle-east/saudi-shares-drop-after-drone-attacks-target-key-oil-pipeline-2026-09-13/</x:v>
      </x:c>
      <x:c r="H35" s="29" t="str">
        <x:v>Saudi Arabia's benchmark fell 1.3% on Sunday; Aramco fell 1.6% and Saudi Arabian Mining fell 3.2% after the pipeline and Gulf shipping attacks.</x:v>
      </x:c>
      <x:c r="I35" s="29" t="str">
        <x:v>Confirms regional risk; U.S. confirmation pending</x:v>
      </x:c>
      <x:c r="J35" s="29" t="n">
        <x:v>4</x:v>
      </x:c>
      <x:c r="K35" s="29" t="str">
        <x:v>The regional reaction supports the adverse macro modifier. U.S. equity breadth, volatility, rates and candidate funds have not traded since the new weekend evidence.</x:v>
      </x:c>
    </x:row>
    <x:row r="36">
      <x:c r="A36" s="27" t="str">
        <x:v>EV-2026-031</x:v>
      </x:c>
      <x:c r="B36" s="27" t="str">
        <x:v>EEI-2026-003</x:v>
      </x:c>
      <x:c r="C36" s="28" t="n">
        <x:v>46278.63196759259</x:v>
      </x:c>
      <x:c r="D36" s="27" t="str">
        <x:v>Neutral</x:v>
      </x:c>
      <x:c r="E36" s="27" t="str">
        <x:v>Reuters</x:v>
      </x:c>
      <x:c r="F36" s="27" t="str">
        <x:v>High quality reporting</x:v>
      </x:c>
      <x:c r="G36" s="29" t="str">
        <x:v>https://www.reuters.com/world/us/dallas-convention-some-loyalists-question-trump-centric-midterms-strategy-2026-09-11/</x:v>
      </x:c>
      <x:c r="H36" s="29" t="str">
        <x:v>Reuters reported debate within the Republican campaign over using President Trump as the central midterm messenger, with inflation and the Iran war prominent in voter concerns.</x:v>
      </x:c>
      <x:c r="I36" s="29" t="str">
        <x:v>No thesis-stage change</x:v>
      </x:c>
      <x:c r="J36" s="29" t="n">
        <x:v>4</x:v>
      </x:c>
      <x:c r="K36" s="29" t="str">
        <x:v>This is campaign-strategy evidence, not independent confirmation of congressional control or a specific investable policy outcome.</x:v>
      </x:c>
    </x:row>
    <x:row r="37">
      <x:c r="A37" s="27" t="str">
        <x:v>EV-2026-032</x:v>
      </x:c>
      <x:c r="B37" s="27" t="str">
        <x:v>EEI-2026-001</x:v>
      </x:c>
      <x:c r="C37" s="28" t="n">
        <x:v>46279.38055555556</x:v>
      </x:c>
      <x:c r="D37" s="27" t="str">
        <x:v>Market confirmation</x:v>
      </x:c>
      <x:c r="E37" s="27" t="str">
        <x:v>Reuters</x:v>
      </x:c>
      <x:c r="F37" s="27" t="str">
        <x:v>High quality reporting</x:v>
      </x:c>
      <x:c r="G37" s="29" t="str">
        <x:v>https://www.reuters.com/business/energy/oil-prices-jump-more-than-3-after-new-strikes-saudi-strait-hormuz-2026-09-13/</x:v>
      </x:c>
      <x:c r="H37" s="29" t="str">
        <x:v>Brent rose 3.1% to $107.82 and WTI to $102.82, with Brent reaching $108.65, after weekend pipeline and shipping attacks.</x:v>
      </x:c>
      <x:c r="I37" s="29" t="str">
        <x:v>Strengthens thesis; weakens entry</x:v>
      </x:c>
      <x:c r="J37" s="29" t="n">
        <x:v>4</x:v>
      </x:c>
      <x:c r="K37" s="29" t="str">
        <x:v>The missing liquid-market confirmation arrived, but after a 9% prior-week rally and a gap, so Entry Window remains WAIT.</x:v>
      </x:c>
    </x:row>
    <x:row r="38">
      <x:c r="A38" s="27" t="str">
        <x:v>EV-2026-033</x:v>
      </x:c>
      <x:c r="B38" s="27" t="str">
        <x:v>EEI-2026-001</x:v>
      </x:c>
      <x:c r="C38" s="28" t="n">
        <x:v>46279.38055555556</x:v>
      </x:c>
      <x:c r="D38" s="27" t="str">
        <x:v>Physical confirmation</x:v>
      </x:c>
      <x:c r="E38" s="27" t="str">
        <x:v>Reuters</x:v>
      </x:c>
      <x:c r="F38" s="27" t="str">
        <x:v>High quality reporting</x:v>
      </x:c>
      <x:c r="G38" s="29" t="str">
        <x:v>https://www.reuters.com/business/energy/asias-oil-traders-seeing-no-quick-end-middle-east-war-stay-bullish-prices-2026-09-14/</x:v>
      </x:c>
      <x:c r="H38" s="29" t="str">
        <x:v>Dubai/Oman spot premiums reached the highest levels since March; South Korean refiners paid about $24 per barrel premiums for U.S. crude and Iraqi Basrah Medium traded near a $20 premium as Hormuz flows remained constrained.</x:v>
      </x:c>
      <x:c r="I38" s="29" t="str">
        <x:v>Strengthens</x:v>
      </x:c>
      <x:c r="J38" s="29" t="n">
        <x:v>4</x:v>
      </x:c>
      <x:c r="K38" s="29" t="str">
        <x:v>Physical replacement-barrel costs confirm scarcity beyond futures prices; prolonged disruption and rapid-recovery scenarios remain wide.</x:v>
      </x:c>
    </x:row>
    <x:row r="39">
      <x:c r="A39" s="27" t="str">
        <x:v>EV-2026-034</x:v>
      </x:c>
      <x:c r="B39" s="27" t="str">
        <x:v>EEI-2026-001</x:v>
      </x:c>
      <x:c r="C39" s="28" t="n">
        <x:v>46279.38055555556</x:v>
      </x:c>
      <x:c r="D39" s="27" t="str">
        <x:v>Modifier</x:v>
      </x:c>
      <x:c r="E39" s="27" t="str">
        <x:v>Reuters</x:v>
      </x:c>
      <x:c r="F39" s="27" t="str">
        <x:v>High quality reporting</x:v>
      </x:c>
      <x:c r="G39" s="29" t="str">
        <x:v>https://www.reuters.com/world/middle-east/oman-meeting-between-gulf-states-iran-postponed-omani-foreign-minister-says-2026-09-13/</x:v>
      </x:c>
      <x:c r="H39" s="29" t="str">
        <x:v>Oman said the planned Gulf-Iran meeting was postponed.</x:v>
      </x:c>
      <x:c r="I39" s="29" t="str">
        <x:v>Mixed</x:v>
      </x:c>
      <x:c r="J39" s="29" t="n">
        <x:v>4</x:v>
      </x:c>
      <x:c r="K39" s="29" t="str">
        <x:v>The delay weakens the immediate diplomatic off-ramp but does not eliminate future negotiations or reversal risk.</x:v>
      </x:c>
    </x:row>
    <x:row r="40">
      <x:c r="A40" s="27" t="str">
        <x:v>EV-2026-035</x:v>
      </x:c>
      <x:c r="B40" s="27" t="str">
        <x:v>EEI-2026-005</x:v>
      </x:c>
      <x:c r="C40" s="28" t="n">
        <x:v>46279.38055555556</x:v>
      </x:c>
      <x:c r="D40" s="27" t="str">
        <x:v>Trigger</x:v>
      </x:c>
      <x:c r="E40" s="27" t="str">
        <x:v>The Motley Fool — Thomas Niel</x:v>
      </x:c>
      <x:c r="F40" s="27" t="str">
        <x:v>Idea generator only</x:v>
      </x:c>
      <x:c r="G40" s="29" t="str">
        <x:v>https://www.fool.com/investing/2026/09/13/should-you-buy-bristol-myers-squibb-stock-yield/</x:v>
      </x:c>
      <x:c r="H40" s="29" t="str">
        <x:v>A free September 13 editorial argued that BMY's growth portfolio and roughly 4% dividend yield may offset patent-cliff concerns.</x:v>
      </x:c>
      <x:c r="I40" s="29" t="str">
        <x:v>Research trigger only</x:v>
      </x:c>
      <x:c r="J40" s="29" t="n">
        <x:v>2</x:v>
      </x:c>
      <x:c r="K40" s="29" t="str">
        <x:v>Not an official paid-service recommendation. Author disclosed no position; Motley Fool disclosed positions in/recommendations involving BMY. Promotional framing is not evidence.</x:v>
      </x:c>
    </x:row>
    <x:row r="41">
      <x:c r="A41" s="27" t="str">
        <x:v>EV-2026-036</x:v>
      </x:c>
      <x:c r="B41" s="27" t="str">
        <x:v>EEI-2026-005</x:v>
      </x:c>
      <x:c r="C41" s="28" t="n">
        <x:v>46279.38055555556</x:v>
      </x:c>
      <x:c r="D41" s="27" t="str">
        <x:v>Supporting</x:v>
      </x:c>
      <x:c r="E41" s="27" t="str">
        <x:v>Bristol Myers Squibb SEC exhibit</x:v>
      </x:c>
      <x:c r="F41" s="27" t="str">
        <x:v>Primary company filing</x:v>
      </x:c>
      <x:c r="G41" s="29" t="str">
        <x:v>https://www.sec.gov/Archives/edgar/data/14272/000001427226000018/a2026q2ex991-filing.htm</x:v>
      </x:c>
      <x:c r="H41" s="29" t="str">
        <x:v>Q2 revenue was $13.0 billion, up 6%; Growth Portfolio revenue was $7.6 billion, up 15%; 2026 revenue and non-GAAP EPS guidance were raised.</x:v>
      </x:c>
      <x:c r="I41" s="29" t="str">
        <x:v>Strengthens</x:v>
      </x:c>
      <x:c r="J41" s="29" t="n">
        <x:v>5</x:v>
      </x:c>
      <x:c r="K41" s="29" t="str">
        <x:v>Legacy revenue still declined and patent expirations remain the central contradiction; cash flow and leverage require continued tracking.</x:v>
      </x:c>
    </x:row>
    <x:row r="42">
      <x:c r="A42" s="27" t="str">
        <x:v>EV-2026-037</x:v>
      </x:c>
      <x:c r="B42" s="27" t="str">
        <x:v>EEI-2026-006</x:v>
      </x:c>
      <x:c r="C42" s="28" t="n">
        <x:v>46279.38055555556</x:v>
      </x:c>
      <x:c r="D42" s="27" t="str">
        <x:v>Trigger</x:v>
      </x:c>
      <x:c r="E42" s="27" t="str">
        <x:v>The Motley Fool — Catie Hogan</x:v>
      </x:c>
      <x:c r="F42" s="27" t="str">
        <x:v>Idea generator only</x:v>
      </x:c>
      <x:c r="G42" s="29" t="str">
        <x:v>https://www.fool.com/investing/2026/09/13/is-lululemon-nearing-its-bottom/</x:v>
      </x:c>
      <x:c r="H42" s="29" t="str">
        <x:v>A free September 13 editorial argued LULU may be near a bottom as new leadership begins a turnaround.</x:v>
      </x:c>
      <x:c r="I42" s="29" t="str">
        <x:v>Research trigger only</x:v>
      </x:c>
      <x:c r="J42" s="29" t="n">
        <x:v>2</x:v>
      </x:c>
      <x:c r="K42" s="29" t="str">
        <x:v>Not an official paid-service recommendation. Valuation and a fallen share price do not confirm operating stabilization.</x:v>
      </x:c>
    </x:row>
    <x:row r="43">
      <x:c r="A43" s="27" t="str">
        <x:v>EV-2026-038</x:v>
      </x:c>
      <x:c r="B43" s="27" t="str">
        <x:v>EEI-2026-006</x:v>
      </x:c>
      <x:c r="C43" s="28" t="n">
        <x:v>46279.38055555556</x:v>
      </x:c>
      <x:c r="D43" s="27" t="str">
        <x:v>Contradictory</x:v>
      </x:c>
      <x:c r="E43" s="27" t="str">
        <x:v>lululemon / reported Q2 results</x:v>
      </x:c>
      <x:c r="F43" s="27" t="str">
        <x:v>Primary company results and independent reporting</x:v>
      </x:c>
      <x:c r="G43" s="29" t="str">
        <x:v>https://corporate.lululemon.com/investors</x:v>
      </x:c>
      <x:c r="H43" s="29" t="str">
        <x:v>Q2 revenue fell about 4% to $2.42 billion, global comparable sales fell 9%, Americas comparable sales fell 12%, and full-year revenue guidance was cut to a 5%-7% decline.</x:v>
      </x:c>
      <x:c r="I43" s="29" t="str">
        <x:v>Weakens</x:v>
      </x:c>
      <x:c r="J43" s="29" t="n">
        <x:v>4</x:v>
      </x:c>
      <x:c r="K43" s="29" t="str">
        <x:v>The turnaround variable is still moving the wrong way; next-quarter comps, inventory and underlying gross margin are required.</x:v>
      </x:c>
    </x:row>
    <x:row r="44">
      <x:c r="A44" s="27" t="str">
        <x:v>EV-2026-039</x:v>
      </x:c>
      <x:c r="B44" s="27" t="str">
        <x:v>EEI-2026-007</x:v>
      </x:c>
      <x:c r="C44" s="28" t="n">
        <x:v>46279.38055555556</x:v>
      </x:c>
      <x:c r="D44" s="27" t="str">
        <x:v>Trigger</x:v>
      </x:c>
      <x:c r="E44" s="27" t="str">
        <x:v>The Motley Fool — Danny Vena</x:v>
      </x:c>
      <x:c r="F44" s="27" t="str">
        <x:v>Idea generator only</x:v>
      </x:c>
      <x:c r="G44" s="29" t="str">
        <x:v>https://www.fool.com/investing/2026/09/09/aerovironment-just-delivered-historic-results-wall-street-says-it-s-a-buy/</x:v>
      </x:c>
      <x:c r="H44" s="29" t="str">
        <x:v>A free September 9 editorial highlighted AVAV's bookings, backlog and counter-drone demand.</x:v>
      </x:c>
      <x:c r="I44" s="29" t="str">
        <x:v>Research trigger only</x:v>
      </x:c>
      <x:c r="J44" s="29" t="n">
        <x:v>2</x:v>
      </x:c>
      <x:c r="K44" s="29" t="str">
        <x:v>Not treated as confirmation or an expert enhancer; disclosed-position detail was not visible in the accessible excerpt.</x:v>
      </x:c>
    </x:row>
    <x:row r="45">
      <x:c r="A45" s="27" t="str">
        <x:v>EV-2026-040</x:v>
      </x:c>
      <x:c r="B45" s="27" t="str">
        <x:v>EEI-2026-007</x:v>
      </x:c>
      <x:c r="C45" s="28" t="n">
        <x:v>46279.38055555556</x:v>
      </x:c>
      <x:c r="D45" s="27" t="str">
        <x:v>Supporting</x:v>
      </x:c>
      <x:c r="E45" s="27" t="str">
        <x:v>AeroVironment SEC Form 10-Q</x:v>
      </x:c>
      <x:c r="F45" s="27" t="str">
        <x:v>Primary company filing</x:v>
      </x:c>
      <x:c r="G45" s="29" t="str">
        <x:v>https://www.sec.gov/Archives/edgar/data/1368622/000110465926106423/avav-20260801x10q.htm</x:v>
      </x:c>
      <x:c r="H45" s="29" t="str">
        <x:v>Q1 revenue was $480.5 million; Autonomous Systems revenue rose 21% to $346 million; funded backlog was about $1.46 billion, with 78% expected in fiscal 2027.</x:v>
      </x:c>
      <x:c r="I45" s="29" t="str">
        <x:v>Strengthens</x:v>
      </x:c>
      <x:c r="J45" s="29" t="n">
        <x:v>5</x:v>
      </x:c>
      <x:c r="K45" s="29" t="str">
        <x:v>Space, Cyber and Directed Energy revenue declined 21%, inventory increased and material weaknesses remained.</x:v>
      </x:c>
    </x:row>
    <x:row r="46">
      <x:c r="A46" s="27" t="str">
        <x:v>EV-2026-041</x:v>
      </x:c>
      <x:c r="B46" s="27" t="str">
        <x:v>EEI-2026-001</x:v>
      </x:c>
      <x:c r="C46" s="28" t="n">
        <x:v>46279.850694444445</x:v>
      </x:c>
      <x:c r="D46" s="27" t="str">
        <x:v>Market confirmation</x:v>
      </x:c>
      <x:c r="E46" s="27" t="str">
        <x:v>Reuters</x:v>
      </x:c>
      <x:c r="F46" s="27" t="str">
        <x:v>High quality reporting</x:v>
      </x:c>
      <x:c r="G46" s="29" t="str">
        <x:v>https://www.reuters.com/business/energy/oil-prices-jump-more-than-3-after-new-strikes-saudi-strait-hormuz-2026-09-13/</x:v>
      </x:c>
      <x:c r="H46" s="29" t="str">
        <x:v>Brent settled at $105.68 and WTI at $101.39 on September 14. Hormuz commodity-vessel transits fell to single digits per day, and the Saudi East-West pipeline remained out of service after an attack.</x:v>
      </x:c>
      <x:c r="I46" s="29" t="str">
        <x:v>Strengthens thesis; confirms event sensitivity</x:v>
      </x:c>
      <x:c r="J46" s="29" t="n">
        <x:v>4</x:v>
      </x:c>
      <x:c r="K46" s="29" t="str">
        <x:v>Both benchmarks gained about 1%, but they surrendered most of an almost 5% intraday rise after President Trump said Iran wanted a deal. The physical supply mechanism remains active while the rapid reversal confirms the de-escalation risk and supports keeping the Entry Window at WAIT.</x:v>
      </x:c>
    </x:row>
    <x:row r="47">
      <x:c r="A47" s="27" t="str">
        <x:v>EV-2026-042</x:v>
      </x:c>
      <x:c r="B47" s="27" t="str">
        <x:v>EEI-2026-001</x:v>
      </x:c>
      <x:c r="C47" s="28" t="n">
        <x:v>46279.850694444445</x:v>
      </x:c>
      <x:c r="D47" s="27" t="str">
        <x:v>Paper-trade outcome</x:v>
      </x:c>
      <x:c r="E47" s="27" t="str">
        <x:v>StockAnalysis / S&amp;P Global Market Intelligence</x:v>
      </x:c>
      <x:c r="F47" s="27" t="str">
        <x:v>Market data</x:v>
      </x:c>
      <x:c r="G47" s="29" t="str">
        <x:v>https://stockanalysis.com/etf/bno/</x:v>
      </x:c>
      <x:c r="H47" s="29" t="str">
        <x:v>BNO closed at $62.15 on September 14 versus the $57.21 September 8 opening entry, valuing the $1,000 paper position at $1,086.35 for an $86.35 gain, or 8.63%.</x:v>
      </x:c>
      <x:c r="I47" s="29" t="str">
        <x:v>Strengthens expression</x:v>
      </x:c>
      <x:c r="J47" s="29" t="n">
        <x:v>5</x:v>
      </x:c>
      <x:c r="K47" s="29" t="str">
        <x:v>BNO remains the best-performing and cleanest of the three expressions, consistent with the original ranking of Brent-linked exposure for a global seaborne supply shock.</x:v>
      </x:c>
    </x:row>
    <x:row r="48">
      <x:c r="A48" s="27" t="str">
        <x:v>EV-2026-043</x:v>
      </x:c>
      <x:c r="B48" s="27" t="str">
        <x:v>EEI-2026-001</x:v>
      </x:c>
      <x:c r="C48" s="28" t="n">
        <x:v>46279.850694444445</x:v>
      </x:c>
      <x:c r="D48" s="27" t="str">
        <x:v>Paper-trade outcome</x:v>
      </x:c>
      <x:c r="E48" s="27" t="str">
        <x:v>StockAnalysis / S&amp;P Global Market Intelligence</x:v>
      </x:c>
      <x:c r="F48" s="27" t="str">
        <x:v>Market data</x:v>
      </x:c>
      <x:c r="G48" s="29" t="str">
        <x:v>https://stockanalysis.com/etf/uso/history/</x:v>
      </x:c>
      <x:c r="H48" s="29" t="str">
        <x:v>USO closed at $156.67 on September 14 versus the $144.60 September 8 opening entry, valuing the $1,000 paper position at $1,083.47 for an $83.47 gain, or 8.35%.</x:v>
      </x:c>
      <x:c r="I48" s="29" t="str">
        <x:v>Strengthens expression</x:v>
      </x:c>
      <x:c r="J48" s="29" t="n">
        <x:v>5</x:v>
      </x:c>
      <x:c r="K48" s="29" t="str">
        <x:v>WTI-linked exposure continues to track the predicted crude-price direction nearly as well as BNO.</x:v>
      </x:c>
    </x:row>
    <x:row r="49">
      <x:c r="A49" s="27" t="str">
        <x:v>EV-2026-044</x:v>
      </x:c>
      <x:c r="B49" s="27" t="str">
        <x:v>EEI-2026-001</x:v>
      </x:c>
      <x:c r="C49" s="28" t="n">
        <x:v>46279.850694444445</x:v>
      </x:c>
      <x:c r="D49" s="27" t="str">
        <x:v>Paper-trade outcome</x:v>
      </x:c>
      <x:c r="E49" s="27" t="str">
        <x:v>Nasdaq market data</x:v>
      </x:c>
      <x:c r="F49" s="27" t="str">
        <x:v>Primary market data</x:v>
      </x:c>
      <x:c r="G49" s="29" t="str">
        <x:v>https://www.nasdaq.com/market-activity/etf/xop/historical</x:v>
      </x:c>
      <x:c r="H49" s="29" t="str">
        <x:v>XOP closed near $193.55 on September 14 versus the $193.84 September 8 opening entry, valuing the $1,000 paper position at $998.50 for a $1.50 loss, or 0.15%.</x:v>
      </x:c>
      <x:c r="I49" s="29" t="str">
        <x:v>Weakens indirect expression</x:v>
      </x:c>
      <x:c r="J49" s="29" t="n">
        <x:v>5</x:v>
      </x:c>
      <x:c r="K49" s="29" t="str">
        <x:v>Producer equities diverged from direct crude exposure and erased their small prior gain. This does not invalidate the crude-supply thesis; it shows company, equity-market and instrument-mapping risks in XOP.</x:v>
      </x:c>
    </x:row>
    <x:row r="50">
      <x:c r="A50" s="27" t="str">
        <x:v>EV-2026-045</x:v>
      </x:c>
      <x:c r="B50" s="27"/>
      <x:c r="C50" s="28" t="n">
        <x:v>46279.38055555556</x:v>
      </x:c>
      <x:c r="D50" s="27" t="str">
        <x:v>Rejected Motley Fool trigger</x:v>
      </x:c>
      <x:c r="E50" s="27" t="str">
        <x:v>The Motley Fool — Dave Kovaleski</x:v>
      </x:c>
      <x:c r="F50" s="27" t="str">
        <x:v>Idea generator only</x:v>
      </x:c>
      <x:c r="G50" s="29" t="str">
        <x:v>https://www.fool.com/investing/2026/09/14/this-memory-sector-sleeper-stock-hits-a-profitabil/</x:v>
      </x:c>
      <x:c r="H50" s="29" t="str">
        <x:v>A September 14 Everspin article recycled a $40 million defense contract announced in April while the company remained loss-making.</x:v>
      </x:c>
      <x:c r="I50" s="29" t="str">
        <x:v>Rejected</x:v>
      </x:c>
      <x:c r="J50" s="29" t="n">
        <x:v>2</x:v>
      </x:c>
      <x:c r="K50" s="29" t="str">
        <x:v>No new thesis created: the catalyst was not new, profitability was not established and cash-flow improvement was insufficient. Reopen only on new primary evidence.</x:v>
      </x:c>
    </x:row>
    <x:row r="51">
      <x:c r="A51" s="27" t="str">
        <x:v>EV-2026-046</x:v>
      </x:c>
      <x:c r="B51" s="27"/>
      <x:c r="C51" s="28" t="n">
        <x:v>46279.38055555556</x:v>
      </x:c>
      <x:c r="D51" s="27" t="str">
        <x:v>Rejected Motley Fool trigger</x:v>
      </x:c>
      <x:c r="E51" s="27" t="str">
        <x:v>The Motley Fool</x:v>
      </x:c>
      <x:c r="F51" s="27" t="str">
        <x:v>Idea generator only</x:v>
      </x:c>
      <x:c r="G51" s="29" t="str">
        <x:v>https://www.fool.com/investing/2026/09/14/next-gen-defense-stock-down-screaming-buy-krknf/</x:v>
      </x:c>
      <x:c r="H51" s="29" t="str">
        <x:v>A September 14 article promoted Kraken Robotics despite acknowledging weak recent results and high risk.</x:v>
      </x:c>
      <x:c r="I51" s="29" t="str">
        <x:v>Rejected</x:v>
      </x:c>
      <x:c r="J51" s="29" t="n">
        <x:v>2</x:v>
      </x:c>
      <x:c r="K51" s="29" t="str">
        <x:v>Did not clear the basic relevance/materiality threshold: no discrete new catalyst and elevated microcap, foreign-market and liquidity risk. No thesis created.</x:v>
      </x:c>
    </x:row>
    <x:row r="52">
      <x:c r="A52" s="27" t="str">
        <x:v>EV-2026-047</x:v>
      </x:c>
      <x:c r="B52" s="27" t="str">
        <x:v>EEI-2026-007</x:v>
      </x:c>
      <x:c r="C52" s="28" t="n">
        <x:v>46279.38055555556</x:v>
      </x:c>
      <x:c r="D52" s="27" t="str">
        <x:v>Contradictory</x:v>
      </x:c>
      <x:c r="E52" s="27" t="str">
        <x:v>AeroVironment SEC Form 8-K</x:v>
      </x:c>
      <x:c r="F52" s="27" t="str">
        <x:v>Primary company filing</x:v>
      </x:c>
      <x:c r="G52" s="29" t="str">
        <x:v>https://www.sec.gov/Archives/edgar/data/1368622/000110465926076140/avav-20260616x8k.htm</x:v>
      </x:c>
      <x:c r="H52" s="29" t="str">
        <x:v>The audit committee determined that the January 31, 2026 quarterly statements required restatement because of an error in the Space reporting-unit goodwill impairment analysis.</x:v>
      </x:c>
      <x:c r="I52" s="29" t="str">
        <x:v>Weakens</x:v>
      </x:c>
      <x:c r="J52" s="29" t="n">
        <x:v>5</x:v>
      </x:c>
      <x:c r="K52" s="29" t="str">
        <x:v>This restores a primary-source contradiction that had dropped out of the prior ledger version. It supports continued accounting-control and profitability caution despite demand strength.</x:v>
      </x:c>
    </x:row>
    <x:row r="53">
      <x:c r="A53" s="27" t="str">
        <x:v>EV-2026-048</x:v>
      </x:c>
      <x:c r="B53" s="27" t="str">
        <x:v>EEI-2026-008</x:v>
      </x:c>
      <x:c r="C53" s="28" t="n">
        <x:v>46279.38055555556</x:v>
      </x:c>
      <x:c r="D53" s="27" t="str">
        <x:v>Trigger</x:v>
      </x:c>
      <x:c r="E53" s="27" t="str">
        <x:v>Reuters</x:v>
      </x:c>
      <x:c r="F53" s="27" t="str">
        <x:v>High quality reporting</x:v>
      </x:c>
      <x:c r="G53" s="29" t="str">
        <x:v>https://www.reuters.com/world/china/elmet-group-wins-2-billion-us-tungsten-stockpile-contract-2026-09-14/</x:v>
      </x:c>
      <x:c r="H53" s="29" t="str">
        <x:v>Reuters reported that an Elmet subsidiary won a Defense Logistics Agency tungsten stockpile award with a $150 million guaranteed commitment and a potential value near $2 billion.</x:v>
      </x:c>
      <x:c r="I53" s="29" t="str">
        <x:v>Strengthens</x:v>
      </x:c>
      <x:c r="J53" s="29" t="n">
        <x:v>4</x:v>
      </x:c>
      <x:c r="K53" s="29" t="str">
        <x:v>New award as reported, not a routine modification. Recipient subsidiary, award identifier, PSC/NAICS, competition, period and obligated schedule remain unavailable pending primary award indexing.</x:v>
      </x:c>
    </x:row>
    <x:row r="54">
      <x:c r="A54" s="27" t="str">
        <x:v>EV-2026-049</x:v>
      </x:c>
      <x:c r="B54" s="27" t="str">
        <x:v>EEI-2026-008</x:v>
      </x:c>
      <x:c r="C54" s="28" t="n">
        <x:v>46279.38055555556</x:v>
      </x:c>
      <x:c r="D54" s="27" t="str">
        <x:v>Supporting</x:v>
      </x:c>
      <x:c r="E54" s="27" t="str">
        <x:v>U.S. Department of War</x:v>
      </x:c>
      <x:c r="F54" s="27" t="str">
        <x:v>Primary government source</x:v>
      </x:c>
      <x:c r="G54" s="29" t="str">
        <x:v>https://www.war.gov/News/Releases/Release/Article/4599882/department-of-war-announces-a-450-million-investment-in-the-elmet-group-to-secu/</x:v>
      </x:c>
      <x:c r="H54" s="29" t="str">
        <x:v>The Department announced a $450 million redeemable preferred-equity investment in Elmet through the Industrial Base Analysis and Sustainment program and said Elmet supports more than 100 defense programs.</x:v>
      </x:c>
      <x:c r="I54" s="29" t="str">
        <x:v>Strengthens</x:v>
      </x:c>
      <x:c r="J54" s="29" t="n">
        <x:v>5</x:v>
      </x:c>
      <x:c r="K54" s="29" t="str">
        <x:v>Confirms a separate government capital commitment and the domestic tungsten-capacity mechanism. It is not the DLA award record and should not be merged with that award's value.</x:v>
      </x:c>
    </x:row>
    <x:row r="55">
      <x:c r="A55" s="27" t="str">
        <x:v>EV-2026-050</x:v>
      </x:c>
      <x:c r="B55" s="27" t="str">
        <x:v>EEI-2026-008</x:v>
      </x:c>
      <x:c r="C55" s="28" t="n">
        <x:v>46279.38055555556</x:v>
      </x:c>
      <x:c r="D55" s="27" t="str">
        <x:v>Contradictory</x:v>
      </x:c>
      <x:c r="E55" s="27" t="str">
        <x:v>Elmet Group SEC filing</x:v>
      </x:c>
      <x:c r="F55" s="27" t="str">
        <x:v>Primary company filing</x:v>
      </x:c>
      <x:c r="G55" s="29" t="str">
        <x:v>https://www.sec.gov/Archives/edgar/data/2101698/000162828026056460/elmt-20260703.htm</x:v>
      </x:c>
      <x:c r="H55" s="29" t="str">
        <x:v>Elmet's latest quarterly filing shows a newly public company with limited operating history, material project-execution needs and financing dependence.</x:v>
      </x:c>
      <x:c r="I55" s="29" t="str">
        <x:v>Mixed</x:v>
      </x:c>
      <x:c r="J55" s="29" t="n">
        <x:v>5</x:v>
      </x:c>
      <x:c r="K55" s="29" t="str">
        <x:v>The reported government commitments are very large relative to Elmet's roughly $400 million market capitalization, which increases both materiality and execution/dilution risk.</x:v>
      </x:c>
    </x:row>
    <x:row r="56">
      <x:c r="A56" s="27" t="str">
        <x:v>EV-2026-051</x:v>
      </x:c>
      <x:c r="B56" s="27" t="str">
        <x:v>EEI-2026-008</x:v>
      </x:c>
      <x:c r="C56" s="28" t="n">
        <x:v>46280.34236111111</x:v>
      </x:c>
      <x:c r="D56" s="27" t="str">
        <x:v>Market confirmation</x:v>
      </x:c>
      <x:c r="E56" s="27" t="str">
        <x:v>Barron's</x:v>
      </x:c>
      <x:c r="F56" s="27" t="str">
        <x:v>Independent financial reporting</x:v>
      </x:c>
      <x:c r="G56" s="29" t="str">
        <x:v>https://www.barrons.com/articles/elmet-stock-pentagon-tungsten-deal-5c0ce250</x:v>
      </x:c>
      <x:c r="H56" s="29" t="str">
        <x:v>Elmet closed September 14 at $21.56, up about 33%. Barron's reported an initial $200 million disbursement, milestone-tied remaining capital and government warrants for up to 19.9% of shares.</x:v>
      </x:c>
      <x:c r="I56" s="29" t="str">
        <x:v>Strengthens thesis; weakens entry</x:v>
      </x:c>
      <x:c r="J56" s="29" t="n">
        <x:v>4</x:v>
      </x:c>
      <x:c r="K56" s="29" t="str">
        <x:v>The reaction confirms materiality and market recognition, but the gap and dilution terms reduce remaining trading edge. Entry Window stays WAIT.</x:v>
      </x:c>
    </x:row>
    <x:row r="57">
      <x:c r="A57" s="27" t="str">
        <x:v>EV-2026-052</x:v>
      </x:c>
      <x:c r="B57" s="27" t="str">
        <x:v>EEI-2026-001</x:v>
      </x:c>
      <x:c r="C57" s="28" t="n">
        <x:v>46280.34236111111</x:v>
      </x:c>
      <x:c r="D57" s="27" t="str">
        <x:v>Market and physical confirmation</x:v>
      </x:c>
      <x:c r="E57" s="27" t="str">
        <x:v>Reuters</x:v>
      </x:c>
      <x:c r="F57" s="27" t="str">
        <x:v>High quality reporting</x:v>
      </x:c>
      <x:c r="G57" s="29" t="str">
        <x:v>https://www.reuters.com/business/energy/oil-prices-rise-saudi-pipeline-outage-fresh-attacks-raise-supply-concerns-2026-09-15/</x:v>
      </x:c>
      <x:c r="H57" s="29" t="str">
        <x:v>Brent traded above $107 while Saudi Arabia's East-West pipeline remained out of service and attacks continued, leaving a material share of global supply exposed.</x:v>
      </x:c>
      <x:c r="I57" s="29" t="str">
        <x:v>Strengthens thesis; entry unchanged</x:v>
      </x:c>
      <x:c r="J57" s="29" t="n">
        <x:v>4</x:v>
      </x:c>
      <x:c r="K57" s="29" t="str">
        <x:v>The physical mechanism remains intact, but the prior rally and repeated headline gaps leave trading edge at 1/5 and Entry Window WAIT.</x:v>
      </x:c>
    </x:row>
    <x:row r="58">
      <x:c r="A58" s="27" t="str">
        <x:v>EV-2026-053</x:v>
      </x:c>
      <x:c r="B58" s="27" t="str">
        <x:v>EEI-2026-001</x:v>
      </x:c>
      <x:c r="C58" s="28" t="n">
        <x:v>46280.34236111111</x:v>
      </x:c>
      <x:c r="D58" s="27" t="str">
        <x:v>Contradictory</x:v>
      </x:c>
      <x:c r="E58" s="27" t="str">
        <x:v>Reuters</x:v>
      </x:c>
      <x:c r="F58" s="27" t="str">
        <x:v>High quality reporting</x:v>
      </x:c>
      <x:c r="G58" s="29" t="str">
        <x:v>https://www.reuters.com/world/middle-east/saudi-civil-defence-says-danger-has-passed-six-cities-including-yanbu-2026-09-15/</x:v>
      </x:c>
      <x:c r="H58" s="29" t="str">
        <x:v>Saudi Civil Defence said the immediate danger had passed in six cities including Yanbu.</x:v>
      </x:c>
      <x:c r="I58" s="29" t="str">
        <x:v>Mixed</x:v>
      </x:c>
      <x:c r="J58" s="29" t="n">
        <x:v>4</x:v>
      </x:c>
      <x:c r="K58" s="29" t="str">
        <x:v>This reduces immediate escalation risk but does not by itself confirm pipeline restoration or normalized Hormuz shipping.</x:v>
      </x:c>
    </x:row>
    <x:row r="59">
      <x:c r="A59" s="27" t="str">
        <x:v>EV-2026-054</x:v>
      </x:c>
      <x:c r="B59" s="27" t="str"/>
      <x:c r="C59" s="28" t="n">
        <x:v>46280.34236111111</x:v>
      </x:c>
      <x:c r="D59" s="27" t="str">
        <x:v>Rejected Motley Fool trigger</x:v>
      </x:c>
      <x:c r="E59" s="27" t="str">
        <x:v>The Motley Fool — Sara Appino</x:v>
      </x:c>
      <x:c r="F59" s="27" t="str">
        <x:v>Idea generator only</x:v>
      </x:c>
      <x:c r="G59" s="29" t="str">
        <x:v>https://www.fool.com/coverage/better-buy/2026/09/15/lucid-vs-rtx-which-stock-is-a-better-buy-in-2026/</x:v>
      </x:c>
      <x:c r="H59" s="29" t="str">
        <x:v>Free public editorial preferred RTX to Lucid based on backlog, profitability and defense/aerospace demand. The author disclosed no position; Motley Fool disclosed positions in and recommendations for RTX.</x:v>
      </x:c>
      <x:c r="I59" s="29" t="str">
        <x:v>Rejected</x:v>
      </x:c>
      <x:c r="J59" s="29" t="n">
        <x:v>2</x:v>
      </x:c>
      <x:c r="K59" s="29" t="str">
        <x:v>No new company-specific catalyst beyond already public results and defense-demand themes. Did not clear the distinct-thesis relevance threshold.</x:v>
      </x:c>
    </x:row>
    <x:row r="60">
      <x:c r="A60" s="27" t="str">
        <x:v>EV-2026-055</x:v>
      </x:c>
      <x:c r="B60" s="27" t="str"/>
      <x:c r="C60" s="28" t="n">
        <x:v>46280.34236111111</x:v>
      </x:c>
      <x:c r="D60" s="27" t="str">
        <x:v>Rejected Motley Fool trigger</x:v>
      </x:c>
      <x:c r="E60" s="27" t="str">
        <x:v>The Motley Fool — Erin Kennedy</x:v>
      </x:c>
      <x:c r="F60" s="27" t="str">
        <x:v>Idea generator only</x:v>
      </x:c>
      <x:c r="G60" s="29" t="str">
        <x:v>https://www.fool.com/coverage/better-buy/2026/09/15/applied-materials-vs-qualcomm-which-tech-stock-is-a-better-buy-in-2026/</x:v>
      </x:c>
      <x:c r="H60" s="29" t="str">
        <x:v>Free public comparison article evaluated AMAT and QCOM using reported financial metrics and long-running semiconductor themes.</x:v>
      </x:c>
      <x:c r="I60" s="29" t="str">
        <x:v>Rejected</x:v>
      </x:c>
      <x:c r="J60" s="29" t="n">
        <x:v>2</x:v>
      </x:c>
      <x:c r="K60" s="29" t="str">
        <x:v>No newly verified catalyst or material non-consensus change. Promotional or comparative opinion was not treated as evidence.</x:v>
      </x:c>
    </x:row>
    <x:row r="61">
      <x:c r="A61" s="27" t="str">
        <x:v>EV-2026-056</x:v>
      </x:c>
      <x:c r="B61" s="27" t="str">
        <x:v>EEI-2026-001</x:v>
      </x:c>
      <x:c r="C61" s="28" t="n">
        <x:v>46280.84722222222</x:v>
      </x:c>
      <x:c r="D61" s="27" t="str">
        <x:v>Market and physical confirmation</x:v>
      </x:c>
      <x:c r="E61" s="27" t="str">
        <x:v>Reuters</x:v>
      </x:c>
      <x:c r="F61" s="27" t="str">
        <x:v>High quality reporting</x:v>
      </x:c>
      <x:c r="G61" s="29" t="str">
        <x:v>https://www.reuters.com/business/energy/oil-prices-rise-saudi-pipeline-outage-fresh-attacks-raise-supply-concerns-2026-09-15/</x:v>
      </x:c>
      <x:c r="H61" s="29" t="str">
        <x:v>Brent settled at $108.75 and WTI at $105.83 on September 15. Loadings at Saudi Arabia's Yanbu terminal were suspended and some European cargoes were cancelled after the East-West pipeline disruption.</x:v>
      </x:c>
      <x:c r="I61" s="29" t="str">
        <x:v>Strengthens thesis; entry unchanged</x:v>
      </x:c>
      <x:c r="J61" s="29" t="n">
        <x:v>4</x:v>
      </x:c>
      <x:c r="K61" s="29" t="str">
        <x:v>The predicted mechanism is operating: constrained Gulf and bypass-route supply is raising crude prices. Libya and Russia added confirming supply pressure. A quick Saudi repair remains the most important near-term counterweight, so the Entry Window stays WAIT.</x:v>
      </x:c>
    </x:row>
    <x:row r="62">
      <x:c r="A62" s="27" t="str">
        <x:v>EV-2026-057</x:v>
      </x:c>
      <x:c r="B62" s="27" t="str">
        <x:v>EEI-2026-001</x:v>
      </x:c>
      <x:c r="C62" s="28" t="n">
        <x:v>46280.84722222222</x:v>
      </x:c>
      <x:c r="D62" s="27" t="str">
        <x:v>Paper-trade outcome</x:v>
      </x:c>
      <x:c r="E62" s="27" t="str">
        <x:v>StockAnalysis / S&amp;P Global Market Intelligence</x:v>
      </x:c>
      <x:c r="F62" s="27" t="str">
        <x:v>Market data</x:v>
      </x:c>
      <x:c r="G62" s="29" t="str">
        <x:v>https://stockanalysis.com/etf/bno/history/</x:v>
      </x:c>
      <x:c r="H62" s="29" t="str">
        <x:v>BNO closed at $63.50 on September 15 versus the $57.21 September 8 opening entry, valuing the $1,000 paper position at $1,109.95 for a $109.95 gain, or 10.99%.</x:v>
      </x:c>
      <x:c r="I62" s="29" t="str">
        <x:v>Strengthens expression</x:v>
      </x:c>
      <x:c r="J62" s="29" t="n">
        <x:v>5</x:v>
      </x:c>
      <x:c r="K62" s="29" t="str">
        <x:v>BNO remains the cleanest thesis mapping and continues to confirm the original ranking of Brent-linked exposure for a global seaborne supply shock.</x:v>
      </x:c>
    </x:row>
    <x:row r="63">
      <x:c r="A63" s="27" t="str">
        <x:v>EV-2026-058</x:v>
      </x:c>
      <x:c r="B63" s="27" t="str">
        <x:v>EEI-2026-001</x:v>
      </x:c>
      <x:c r="C63" s="28" t="n">
        <x:v>46280.84722222222</x:v>
      </x:c>
      <x:c r="D63" s="27" t="str">
        <x:v>Paper-trade outcome</x:v>
      </x:c>
      <x:c r="E63" s="27" t="str">
        <x:v>StockAnalysis / S&amp;P Global Market Intelligence</x:v>
      </x:c>
      <x:c r="F63" s="27" t="str">
        <x:v>Market data</x:v>
      </x:c>
      <x:c r="G63" s="29" t="str">
        <x:v>https://stockanalysis.com/etf/uso/history/</x:v>
      </x:c>
      <x:c r="H63" s="29" t="str">
        <x:v>USO closed at $161.73 on September 15 versus the $144.60 September 8 opening entry, valuing the $1,000 paper position at $1,118.46 for a $118.46 gain, or 11.85%.</x:v>
      </x:c>
      <x:c r="I63" s="29" t="str">
        <x:v>Strengthens expression</x:v>
      </x:c>
      <x:c r="J63" s="29" t="n">
        <x:v>5</x:v>
      </x:c>
      <x:c r="K63" s="29" t="str">
        <x:v>USO is the best-performing paper position at this close; WTI-linked exposure is tracking the predicted crude-price direction at least as strongly as BNO over this short test.</x:v>
      </x:c>
    </x:row>
    <x:row r="64">
      <x:c r="A64" s="27" t="str">
        <x:v>EV-2026-059</x:v>
      </x:c>
      <x:c r="B64" s="27" t="str">
        <x:v>EEI-2026-001</x:v>
      </x:c>
      <x:c r="C64" s="28" t="n">
        <x:v>46280.84722222222</x:v>
      </x:c>
      <x:c r="D64" s="27" t="str">
        <x:v>Paper-trade outcome</x:v>
      </x:c>
      <x:c r="E64" s="27" t="str">
        <x:v>StockAnalysis / S&amp;P Global Market Intelligence</x:v>
      </x:c>
      <x:c r="F64" s="27" t="str">
        <x:v>Market data</x:v>
      </x:c>
      <x:c r="G64" s="29" t="str">
        <x:v>https://stockanalysis.com/etf/xop/history/</x:v>
      </x:c>
      <x:c r="H64" s="29" t="str">
        <x:v>XOP closed at $199.70 on September 15 versus the $193.84 September 8 opening entry, valuing the $1,000 paper position at $1,030.23 for a $30.23 gain, or 3.02%.</x:v>
      </x:c>
      <x:c r="I64" s="29" t="str">
        <x:v>Mixed expression</x:v>
      </x:c>
      <x:c r="J64" s="29" t="n">
        <x:v>5</x:v>
      </x:c>
      <x:c r="K64" s="29" t="str">
        <x:v>Producer equities recovered and now confirm the direction, but XOP still materially trails the direct crude funds. The gap isolates expression risk rather than invalidating the supply thesis.</x:v>
      </x:c>
    </x:row>
    <x:row r="65">
      <x:c r="A65" s="27" t="str">
        <x:v>EV-2026-060</x:v>
      </x:c>
      <x:c r="B65" s="27" t="str">
        <x:v>EEI-2026-003</x:v>
      </x:c>
      <x:c r="C65" s="28" t="n">
        <x:v>46280.654594907406</x:v>
      </x:c>
      <x:c r="D65" s="27" t="str">
        <x:v>Contradictory</x:v>
      </x:c>
      <x:c r="E65" s="27" t="str">
        <x:v>Reuters</x:v>
      </x:c>
      <x:c r="F65" s="27" t="str">
        <x:v>High quality reporting</x:v>
      </x:c>
      <x:c r="G65" s="29" t="str">
        <x:v>https://www.reuters.com/business/wells-fargo-trims-sp-500-indexs-year-end-target-7700-2026-09-15/</x:v>
      </x:c>
      <x:c r="H65" s="29" t="str">
        <x:v>Wells Fargo reduced its S&amp;P 500 year-end target to 7,700 from 7,950, citing limited further catalysts and rising political and sector-specific risks.</x:v>
      </x:c>
      <x:c r="I65" s="29" t="str">
        <x:v>Modestly weakens equity backdrop</x:v>
      </x:c>
      <x:c r="J65" s="29" t="n">
        <x:v>3</x:v>
      </x:c>
      <x:c r="K65" s="29" t="str">
        <x:v>This is an analyst opinion and therefore an enhancer or contradiction, not primary proof. It does not override supportive earnings evidence or determine the thesis stage by itself.</x:v>
      </x:c>
    </x:row>
    <x:row r="66">
      <x:c r="A66" s="27" t="str">
        <x:v>EV-2026-061</x:v>
      </x:c>
      <x:c r="B66" s="27" t="str">
        <x:v>EEI-2026-009</x:v>
      </x:c>
      <x:c r="C66" s="28" t="n">
        <x:v>46281.32777777778</x:v>
      </x:c>
      <x:c r="D66" s="27" t="str">
        <x:v>Trigger and market confirmation</x:v>
      </x:c>
      <x:c r="E66" s="27" t="str">
        <x:v>Reuters / LSEG</x:v>
      </x:c>
      <x:c r="F66" s="27" t="str">
        <x:v>High quality reporting and market data</x:v>
      </x:c>
      <x:c r="G66" s="29" t="str">
        <x:v>https://www.reuters.com/business/energy/asia-diesel-refining-margins-record-high-more-than-87-barrel-data-shows-2026-09-16/</x:v>
      </x:c>
      <x:c r="H66" s="29" t="str">
        <x:v>Asian 10ppm diesel refining margins rose above $87 per barrel, an all-time high, while the front-month time spread exceeded $11 and spot cargo availability remained limited.</x:v>
      </x:c>
      <x:c r="I66" s="29" t="str">
        <x:v>Strengthens</x:v>
      </x:c>
      <x:c r="J66" s="29" t="n">
        <x:v>4</x:v>
      </x:c>
      <x:c r="K66" s="29" t="str">
        <x:v>Creates a distinct refined-products thesis rather than merely repeating the crude thesis. Record levels also weaken the Entry Window.</x:v>
      </x:c>
    </x:row>
    <x:row r="67">
      <x:c r="A67" s="27" t="str">
        <x:v>EV-2026-062</x:v>
      </x:c>
      <x:c r="B67" s="27" t="str">
        <x:v>EEI-2026-009</x:v>
      </x:c>
      <x:c r="C67" s="28" t="n">
        <x:v>46281.32777777778</x:v>
      </x:c>
      <x:c r="D67" s="27" t="str">
        <x:v>Supporting and fundamental confirmation</x:v>
      </x:c>
      <x:c r="E67" s="27" t="str">
        <x:v>Reuters</x:v>
      </x:c>
      <x:c r="F67" s="27" t="str">
        <x:v>High quality reporting</x:v>
      </x:c>
      <x:c r="G67" s="29" t="str">
        <x:v>https://www.reuters.com/business/energy/dangote-profits-europe-fuel-crunch-ipo-tests-investor-appetite-2026-09-15/</x:v>
      </x:c>
      <x:c r="H67" s="29" t="str">
        <x:v>Reuters reported that Middle East disruption cut European diesel and jet-fuel supply by roughly one quarter, left inventories at a 12-year low and helped Dangote post $1.82 billion of first-half profit on more than $13 billion of revenue.</x:v>
      </x:c>
      <x:c r="I67" s="29" t="str">
        <x:v>Strengthens</x:v>
      </x:c>
      <x:c r="J67" s="29" t="n">
        <x:v>4</x:v>
      </x:c>
      <x:c r="K67" s="29" t="str">
        <x:v>Confirms both physical scarcity and the causal path from wider cracks to refinery earnings. Dangote is not yet publicly traded.</x:v>
      </x:c>
    </x:row>
    <x:row r="68">
      <x:c r="A68" s="27" t="str">
        <x:v>EV-2026-063</x:v>
      </x:c>
      <x:c r="B68" s="27" t="str">
        <x:v>EEI-2026-001</x:v>
      </x:c>
      <x:c r="C68" s="28" t="n">
        <x:v>46281.32777777778</x:v>
      </x:c>
      <x:c r="D68" s="27" t="str">
        <x:v>Contradictory and modifier</x:v>
      </x:c>
      <x:c r="E68" s="27" t="str">
        <x:v>Reuters</x:v>
      </x:c>
      <x:c r="F68" s="27" t="str">
        <x:v>High quality reporting</x:v>
      </x:c>
      <x:c r="G68" s="29" t="str">
        <x:v>https://www.reuters.com/business/energy/oil-falls-us-crude-inventories-rise-despite-saudi-supply-concerns-2026-09-16/</x:v>
      </x:c>
      <x:c r="H68" s="29" t="str">
        <x:v>Saudi Arabia began offering more crude via Oman's Sohar port while API data showed a 7.1 million-barrel U.S. crude inventory build. Oil prices eased as the market weighed rerouting against continuing disruption.</x:v>
      </x:c>
      <x:c r="I68" s="29" t="str">
        <x:v>Weakens near-term edge</x:v>
      </x:c>
      <x:c r="J68" s="29" t="n">
        <x:v>4</x:v>
      </x:c>
      <x:c r="K68" s="29" t="str">
        <x:v>The bypass is evidence that adaptation is working. It does not yet prove normal Gulf flows, so status and Entry Window remain unchanged.</x:v>
      </x:c>
    </x:row>
    <x:row r="69">
      <x:c r="A69" s="27" t="str">
        <x:v>EV-2026-064</x:v>
      </x:c>
      <x:c r="B69" s="27" t="str">
        <x:v>EEI-2026-001</x:v>
      </x:c>
      <x:c r="C69" s="28" t="n">
        <x:v>46281.32777777778</x:v>
      </x:c>
      <x:c r="D69" s="27" t="str">
        <x:v>Contradictory and modifier</x:v>
      </x:c>
      <x:c r="E69" s="27" t="str">
        <x:v>Reuters via Investing.com</x:v>
      </x:c>
      <x:c r="F69" s="27" t="str">
        <x:v>High quality reporting</x:v>
      </x:c>
      <x:c r="G69" s="29" t="str">
        <x:v>https://www.investing.com/news/commodities-news/us-energy-chief-says-saudi-arabia-oil-pipeline-should-be-back-online-within-days-4902318</x:v>
      </x:c>
      <x:c r="H69" s="29" t="str">
        <x:v>U.S. Energy Secretary Chris Wright said Saudi Arabia's East-West pipeline should return to service within days.</x:v>
      </x:c>
      <x:c r="I69" s="29" t="str">
        <x:v>Weakens near-term edge</x:v>
      </x:c>
      <x:c r="J69" s="29" t="n">
        <x:v>3</x:v>
      </x:c>
      <x:c r="K69" s="29" t="str">
        <x:v>This is an official's expectation rather than Saudi operator confirmation. Verified restoration would be a stronger contradiction and could materially change the thesis.</x:v>
      </x:c>
    </x:row>
    <x:row r="70">
      <x:c r="A70" s="27" t="str">
        <x:v>EV-2026-065</x:v>
      </x:c>
      <x:c r="B70" s="27"/>
      <x:c r="C70" s="28" t="n">
        <x:v>46281.32777777778</x:v>
      </x:c>
      <x:c r="D70" s="27" t="str">
        <x:v>Rejected Motley Fool trigger</x:v>
      </x:c>
      <x:c r="E70" s="27" t="str">
        <x:v>The Motley Fool — Adam Levy</x:v>
      </x:c>
      <x:c r="F70" s="27" t="str">
        <x:v>Idea generator only</x:v>
      </x:c>
      <x:c r="G70" s="29" t="str">
        <x:v>https://www.fool.com/investing/2026/09/16/what-anthropic-ipo-means-amazon-alphabet/</x:v>
      </x:c>
      <x:c r="H70" s="29" t="str">
        <x:v>A free public article framed Anthropic's prospective IPO as a catalyst for Amazon and Alphabet because of their investments and cloud relationships.</x:v>
      </x:c>
      <x:c r="I70" s="29" t="str">
        <x:v>Rejected</x:v>
      </x:c>
      <x:c r="J70" s="29" t="n">
        <x:v>2</x:v>
      </x:c>
      <x:c r="K70" s="29" t="str">
        <x:v>Anthropic's confidential S-1 was announced on June 1 and its cloud relationships were already public. The article added no new verified catalyst or material change for AMZN or GOOG, so no distinct thesis was created.</x:v>
      </x:c>
    </x:row>
    <x:row r="71">
      <x:c r="A71" s="27" t="str">
        <x:v>EV-2026-066</x:v>
      </x:c>
      <x:c r="B71" s="27"/>
      <x:c r="C71" s="28" t="n">
        <x:v>46281.32777777778</x:v>
      </x:c>
      <x:c r="D71" s="27" t="str">
        <x:v>Rejected Motley Fool trigger</x:v>
      </x:c>
      <x:c r="E71" s="27" t="str">
        <x:v>The Motley Fool — John Bromels</x:v>
      </x:c>
      <x:c r="F71" s="27" t="str">
        <x:v>Idea generator only</x:v>
      </x:c>
      <x:c r="G71" s="29" t="str">
        <x:v>https://www.fool.com/investing/2026/09/16/is-it-too-late-to-buy-nvidia-stock/</x:v>
      </x:c>
      <x:c r="H71" s="29" t="str">
        <x:v>A free public article revisited Nvidia's growth and valuation case without identifying a discrete new primary-source catalyst.</x:v>
      </x:c>
      <x:c r="I71" s="29" t="str">
        <x:v>Rejected</x:v>
      </x:c>
      <x:c r="J71" s="29" t="n">
        <x:v>2</x:v>
      </x:c>
      <x:c r="K71" s="29" t="str">
        <x:v>Did not clear the relevance threshold. Existing AI-demand and valuation facts do not create a distinct new thesis without new material evidence.</x:v>
      </x:c>
    </x:row>
    <x:row r="72">
      <x:c r="A72" s="27" t="str">
        <x:v>EV-2026-067</x:v>
      </x:c>
      <x:c r="B72" s="27" t="str">
        <x:v>EEI-2026-003</x:v>
      </x:c>
      <x:c r="C72" s="28" t="n">
        <x:v>46281.65054398148</x:v>
      </x:c>
      <x:c r="D72" s="27" t="str">
        <x:v>Market confirmation</x:v>
      </x:c>
      <x:c r="E72" s="27" t="str">
        <x:v>Reuters and delayed market price data</x:v>
      </x:c>
      <x:c r="F72" s="27" t="str">
        <x:v>High quality reporting and market data</x:v>
      </x:c>
      <x:c r="G72" s="29" t="str">
        <x:v>https://www.reuters.com/business/wall-st-futures-edge-higher-countdown-fed-decision-2026-09-16/</x:v>
      </x:c>
      <x:c r="H72" s="29" t="str">
        <x:v>At about 11:24 a.m. ET, SPY was up 0.41%, RSP 0.13%, IWM 0.43%, XLI 0.76%, XLB 0.61%, XLV 0.38%, XBI 0.55% and CPER 0.98%; XLF was down 0.56%. Reuters reported positive NYSE and Nasdaq breadth.</x:v>
      </x:c>
      <x:c r="I72" s="29" t="str">
        <x:v>Partial confirmation</x:v>
      </x:c>
      <x:c r="J72" s="29" t="n">
        <x:v>4</x:v>
      </x:c>
      <x:c r="K72" s="29" t="str">
        <x:v>The cross-asset pattern improved materially from Tuesday, but RSP still lagged SPY and financials declined. Intraday data and the pending Fed decision prevent treating one session as sustained broadening.</x:v>
      </x:c>
    </x:row>
    <x:row r="73">
      <x:c r="A73" s="27" t="str">
        <x:v>EV-2026-068</x:v>
      </x:c>
      <x:c r="B73" s="27" t="str">
        <x:v>EEI-2026-003</x:v>
      </x:c>
      <x:c r="C73" s="28" t="n">
        <x:v>46281.65054398148</x:v>
      </x:c>
      <x:c r="D73" s="27" t="str">
        <x:v>Contradictory and modifier</x:v>
      </x:c>
      <x:c r="E73" s="27" t="str">
        <x:v>Reuters / Commerce Department / BLS</x:v>
      </x:c>
      <x:c r="F73" s="27" t="str">
        <x:v>High quality reporting and government data</x:v>
      </x:c>
      <x:c r="G73" s="29" t="str">
        <x:v>https://www.reuters.com/business/retail-consumer/us-retail-sales-rebound-sharply-august-2026-09-16/</x:v>
      </x:c>
      <x:c r="H73" s="29" t="str">
        <x:v>August retail sales rose 1.2% and core retail sales 1.4%, confirming resilient demand, while import prices rose 0.7% month over month and 7.0% year over year.</x:v>
      </x:c>
      <x:c r="I73" s="29" t="str">
        <x:v>Mixed; supports earnings but sustains rate risk</x:v>
      </x:c>
      <x:c r="J73" s="29" t="n">
        <x:v>4</x:v>
      </x:c>
      <x:c r="K73" s="29" t="str">
        <x:v>Demand resilience supports corporate revenue, but import inflation and the associated tightening risk remain adverse for small-cap financing, financial conditions and equity multiples.</x:v>
      </x:c>
    </x:row>
    <x:row r="74">
      <x:c r="A74" s="27" t="str">
        <x:v>EV-2026-069</x:v>
      </x:c>
      <x:c r="B74" s="27" t="str">
        <x:v>EEI-2026-003</x:v>
      </x:c>
      <x:c r="C74" s="28" t="n">
        <x:v>46281.65054398148</x:v>
      </x:c>
      <x:c r="D74" s="27" t="str">
        <x:v>Modifier</x:v>
      </x:c>
      <x:c r="E74" s="27" t="str">
        <x:v>Reuters</x:v>
      </x:c>
      <x:c r="F74" s="27" t="str">
        <x:v>High quality reporting</x:v>
      </x:c>
      <x:c r="G74" s="29" t="str">
        <x:v>https://www.reuters.com/business/energy/oil-falls-us-crude-inventories-rise-despite-saudi-supply-concerns-2026-09-16/</x:v>
      </x:c>
      <x:c r="H74" s="29" t="str">
        <x:v>Brent fell about 1.2% to $107.45 as Saudi Arabia offered more crude via Oman and U.S. crude inventories rose, modestly easing the immediate energy-inflation pressure.</x:v>
      </x:c>
      <x:c r="I74" s="29" t="str">
        <x:v>Modestly strengthens timing</x:v>
      </x:c>
      <x:c r="J74" s="29" t="n">
        <x:v>4</x:v>
      </x:c>
      <x:c r="K74" s="29" t="str">
        <x:v>Oil remains above $100 and diesel markets remain tight, so this is relief from the adverse modifier rather than confirmation that the macro risk has cleared.</x:v>
      </x:c>
    </x:row>
    <x:row r="75">
      <x:c r="A75" s="27" t="str">
        <x:v>EV-2026-070</x:v>
      </x:c>
      <x:c r="B75" s="27" t="str">
        <x:v>EEI-2026-003</x:v>
      </x:c>
      <x:c r="C75" s="28" t="n">
        <x:v>46281.65054398148</x:v>
      </x:c>
      <x:c r="D75" s="27" t="str">
        <x:v>Neutral political outlook</x:v>
      </x:c>
      <x:c r="E75" s="27" t="str">
        <x:v>Cook Political Report</x:v>
      </x:c>
      <x:c r="F75" s="27" t="str">
        <x:v>Nonpartisan election analysis</x:v>
      </x:c>
      <x:c r="G75" s="29" t="str">
        <x:v>https://www.cookpolitical.com/</x:v>
      </x:c>
      <x:c r="H75" s="29" t="str">
        <x:v>Cook Political Report published a revised assessment of the New Hampshire Senate race on September 15 while its current House and Senate ratings continued to identify multiple competitive contests.</x:v>
      </x:c>
      <x:c r="I75" s="29" t="str">
        <x:v>Confirms outlook remains unsettled</x:v>
      </x:c>
      <x:c r="J75" s="29"/>
      <x:c r="K75" s="29" t="str">
        <x:v>A change in one race assessment does not establish control of either chamber or a specific investable policy outcome. No election-result prediction is made.</x:v>
      </x:c>
    </x:row>
    <x:row r="76">
      <x:c r="A76" s="27" t="str">
        <x:v>EV-2026-071</x:v>
      </x:c>
      <x:c r="B76" s="27" t="str">
        <x:v>EEI-2026-001</x:v>
      </x:c>
      <x:c r="C76" s="52" t="n">
        <x:v>46281.833333333336</x:v>
      </x:c>
      <x:c r="D76" s="27" t="str">
        <x:v>Market confirmation</x:v>
      </x:c>
      <x:c r="E76" s="27" t="str">
        <x:v>StockAnalysis</x:v>
      </x:c>
      <x:c r="F76" s="27" t="str">
        <x:v>Market data</x:v>
      </x:c>
      <x:c r="G76" s="29" t="str">
        <x:v>https://stockanalysis.com/etf/bno/history/</x:v>
      </x:c>
      <x:c r="H76" s="29" t="str">
        <x:v>BNO closed September 16 at $61.71, down 2.91% for the session but still 7.87% above the September 8 paper entry; the $1,000 position was worth $1,078.66.</x:v>
      </x:c>
      <x:c r="I76" s="29" t="str">
        <x:v>Mixed; direct crude expression remains profitable</x:v>
      </x:c>
      <x:c r="J76" s="29" t="n">
        <x:v>4</x:v>
      </x:c>
      <x:c r="K76" s="29" t="str">
        <x:v>The one-day pullback reduced the paper gain but did not erase the positive result. Entry Window remains WAIT because the paper entry followed a large headline move.</x:v>
      </x:c>
    </x:row>
    <x:row r="77">
      <x:c r="A77" s="27" t="str">
        <x:v>EV-2026-072</x:v>
      </x:c>
      <x:c r="B77" s="27" t="str">
        <x:v>EEI-2026-001</x:v>
      </x:c>
      <x:c r="C77" s="52" t="n">
        <x:v>46281.833333333336</x:v>
      </x:c>
      <x:c r="D77" s="27" t="str">
        <x:v>Market confirmation</x:v>
      </x:c>
      <x:c r="E77" s="27" t="str">
        <x:v>StockAnalysis</x:v>
      </x:c>
      <x:c r="F77" s="27" t="str">
        <x:v>Market data</x:v>
      </x:c>
      <x:c r="G77" s="29" t="str">
        <x:v>https://stockanalysis.com/etf/uso/history/</x:v>
      </x:c>
      <x:c r="H77" s="29" t="str">
        <x:v>USO closed September 16 at $156.17, down 3.52% for the session but still 8.00% above the September 8 paper entry; the $1,000 position was worth $1,080.01.</x:v>
      </x:c>
      <x:c r="I77" s="29" t="str">
        <x:v>Mixed; direct crude expression remains profitable</x:v>
      </x:c>
      <x:c r="J77" s="29" t="n">
        <x:v>4</x:v>
      </x:c>
      <x:c r="K77" s="29" t="str">
        <x:v>USO remained the best paper position by a narrow margin, supporting the predicted crude-price direction despite the sharp daily reversal.</x:v>
      </x:c>
    </x:row>
    <x:row r="78">
      <x:c r="A78" s="27" t="str">
        <x:v>EV-2026-073</x:v>
      </x:c>
      <x:c r="B78" s="27" t="str">
        <x:v>EEI-2026-001</x:v>
      </x:c>
      <x:c r="C78" s="52" t="n">
        <x:v>46281.833333333336</x:v>
      </x:c>
      <x:c r="D78" s="27" t="str">
        <x:v>Market confirmation</x:v>
      </x:c>
      <x:c r="E78" s="27" t="str">
        <x:v>StockAnalysis</x:v>
      </x:c>
      <x:c r="F78" s="27" t="str">
        <x:v>Market data</x:v>
      </x:c>
      <x:c r="G78" s="29" t="str">
        <x:v>https://stockanalysis.com/etf/xop/history/</x:v>
      </x:c>
      <x:c r="H78" s="29" t="str">
        <x:v>XOP closed September 16 at $191.80, down 3.96% for the session and 1.05% below the September 8 paper entry; the $1,000 position was worth $989.48.</x:v>
      </x:c>
      <x:c r="I78" s="29" t="str">
        <x:v>Weakens indirect equity expression</x:v>
      </x:c>
      <x:c r="J78" s="29" t="n">
        <x:v>4</x:v>
      </x:c>
      <x:c r="K78" s="29" t="str">
        <x:v>XOP's loss while BNO and USO remain positive strengthens the methodology lesson that the cleanest direct expression tracked the predicted variable better.</x:v>
      </x:c>
    </x:row>
    <x:row r="79">
      <x:c r="A79" s="27" t="str">
        <x:v>EV-2026-074</x:v>
      </x:c>
      <x:c r="B79" s="27" t="str">
        <x:v>EEI-2026-001</x:v>
      </x:c>
      <x:c r="C79" s="52" t="n">
        <x:v>46281.833333333336</x:v>
      </x:c>
      <x:c r="D79" s="27" t="str">
        <x:v>Market confirmation and modifier</x:v>
      </x:c>
      <x:c r="E79" s="27" t="str">
        <x:v>Reuters / EIA</x:v>
      </x:c>
      <x:c r="F79" s="27" t="str">
        <x:v>High quality reporting and primary government data</x:v>
      </x:c>
      <x:c r="G79" s="29" t="str">
        <x:v>https://www.reuters.com/business/energy/oil-falls-us-crude-inventories-rise-despite-saudi-supply-concerns-2026-09-16/</x:v>
      </x:c>
      <x:c r="H79" s="29" t="str">
        <x:v>Brent settled at $105.83 and WTI at $102.43, both lower on the day as Saudi Arabia offered more crude through Oman and U.S. crude stocks fell only 640,000 barrels versus a 1.62 million-barrel expectation. Visible Hormuz passage was four vessels on September 15 versus a 10-day average of 18.</x:v>
      </x:c>
      <x:c r="I79" s="29" t="str">
        <x:v>Mixed; physical disruption persists but adaptation weakens near-term edge</x:v>
      </x:c>
      <x:c r="J79" s="29" t="n">
        <x:v>5</x:v>
      </x:c>
      <x:c r="K79" s="29" t="str">
        <x:v>This final report supersedes the preliminary API inventory-build signal logged earlier. Official EIA data showed a draw, but it was smaller than expected. Very low Hormuz traffic still confirms disruption; rerouting and inventories explain the day's reversal.</x:v>
      </x:c>
    </x:row>
    <x:row r="80">
      <x:c r="A80" s="27" t="str">
        <x:v>EV-2026-075</x:v>
      </x:c>
      <x:c r="B80" s="27" t="str">
        <x:v>EEI-2026-009</x:v>
      </x:c>
      <x:c r="C80" s="28" t="n">
        <x:v>46282.325</x:v>
      </x:c>
      <x:c r="D80" s="27" t="str">
        <x:v>Supporting and market confirmation</x:v>
      </x:c>
      <x:c r="E80" s="27" t="str">
        <x:v>Reuters</x:v>
      </x:c>
      <x:c r="F80" s="27" t="str">
        <x:v>High quality reporting and market data</x:v>
      </x:c>
      <x:c r="G80" s="29" t="str">
        <x:v>https://www.reuters.com/business/energy/oil-prices-extend-losses-fears-middle-east-supply-disruptions-ease-2026-09-17/</x:v>
      </x:c>
      <x:c r="H80" s="29" t="str">
        <x:v>European gasoil and U.S. ULSD futures reached records even as Brent and WTI eased on Saudi rerouting and expected pipeline repair.</x:v>
      </x:c>
      <x:c r="I80" s="29" t="str">
        <x:v>Strengthens product-specific thesis; contradicts crude scarcity edge</x:v>
      </x:c>
      <x:c r="J80" s="29" t="n">
        <x:v>5</x:v>
      </x:c>
      <x:c r="K80" s="29" t="str">
        <x:v>Distinguishes refined-product scarcity from the broader crude thesis and supplies the market confirmation needed for Actionable status.</x:v>
      </x:c>
    </x:row>
    <x:row r="81">
      <x:c r="A81" s="27" t="str">
        <x:v>EV-2026-076</x:v>
      </x:c>
      <x:c r="B81" s="27" t="str">
        <x:v>EEI-2026-009</x:v>
      </x:c>
      <x:c r="C81" s="28" t="n">
        <x:v>46282.325</x:v>
      </x:c>
      <x:c r="D81" s="27" t="str">
        <x:v>Physical confirmation</x:v>
      </x:c>
      <x:c r="E81" s="27" t="str">
        <x:v>Reuters</x:v>
      </x:c>
      <x:c r="F81" s="27" t="str">
        <x:v>High quality reporting and vessel data</x:v>
      </x:c>
      <x:c r="G81" s="29" t="str">
        <x:v>https://www.reuters.com/world/middle-east/number-ships-transiting-strait-hormuz-falls-three-wednesday-data-shows-2026-09-17/</x:v>
      </x:c>
      <x:c r="H81" s="29" t="str">
        <x:v>Only three commercial ships transited Hormuz on September 16, versus 12 the prior day and a 10-day average of 17.</x:v>
      </x:c>
      <x:c r="I81" s="29" t="str">
        <x:v>Strengthens</x:v>
      </x:c>
      <x:c r="J81" s="29" t="n">
        <x:v>5</x:v>
      </x:c>
      <x:c r="K81" s="29" t="str">
        <x:v>Confirms that logistics disruption remains severe despite crude-price relief from rerouting.</x:v>
      </x:c>
    </x:row>
    <x:row r="82">
      <x:c r="A82" s="27" t="str">
        <x:v>EV-2026-077</x:v>
      </x:c>
      <x:c r="B82" s="27" t="str">
        <x:v>EEI-2026-009</x:v>
      </x:c>
      <x:c r="C82" s="28" t="n">
        <x:v>46282.325</x:v>
      </x:c>
      <x:c r="D82" s="27" t="str">
        <x:v>Supply-chain confirmation</x:v>
      </x:c>
      <x:c r="E82" s="27" t="str">
        <x:v>Reuters</x:v>
      </x:c>
      <x:c r="F82" s="27" t="str">
        <x:v>High quality reporting</x:v>
      </x:c>
      <x:c r="G82" s="29" t="str">
        <x:v>https://www.reuters.com/business/energy/russias-syzran-saratov-oil-refineries-hold-after-drone-attacks-sources-say-2026-09-16/</x:v>
      </x:c>
      <x:c r="H82" s="29" t="str">
        <x:v>Russia's Syzran and Saratov refineries were halted after drone attacks; Syzran repairs were expected to take at least a month.</x:v>
      </x:c>
      <x:c r="I82" s="29" t="str">
        <x:v>Strengthens</x:v>
      </x:c>
      <x:c r="J82" s="29" t="n">
        <x:v>4</x:v>
      </x:c>
      <x:c r="K82" s="29" t="str">
        <x:v>An independent refining outage compounds the Middle East product shortage and supports the global rather than single-region classification.</x:v>
      </x:c>
    </x:row>
    <x:row r="83">
      <x:c r="A83" s="27" t="str">
        <x:v>EV-2026-078</x:v>
      </x:c>
      <x:c r="B83" s="27" t="str">
        <x:v>EEI-2026-009</x:v>
      </x:c>
      <x:c r="C83" s="28" t="n">
        <x:v>46282.325</x:v>
      </x:c>
      <x:c r="D83" s="27" t="str">
        <x:v>Regional supply confirmation</x:v>
      </x:c>
      <x:c r="E83" s="27" t="str">
        <x:v>Reuters</x:v>
      </x:c>
      <x:c r="F83" s="27" t="str">
        <x:v>High quality reporting</x:v>
      </x:c>
      <x:c r="G83" s="29" t="str">
        <x:v>https://www.reuters.com/business/energy/ghanas-bost-cuts-fuel-exports-burkina-faso-mali-protect-local-supply-2026-09-16/</x:v>
      </x:c>
      <x:c r="H83" s="29" t="str">
        <x:v>Ghana's BOST reduced diesel and gasoline exports to Burkina Faso and Mali to protect domestic supply during global shortages.</x:v>
      </x:c>
      <x:c r="I83" s="29" t="str">
        <x:v>Strengthens</x:v>
      </x:c>
      <x:c r="J83" s="29" t="n">
        <x:v>4</x:v>
      </x:c>
      <x:c r="K83" s="29" t="str">
        <x:v>Observable export rationing is downstream evidence that scarcity is reaching additional regions.</x:v>
      </x:c>
    </x:row>
    <x:row r="84">
      <x:c r="A84" s="27" t="str">
        <x:v>EV-2026-079</x:v>
      </x:c>
      <x:c r="B84" s="27" t="str">
        <x:v>EEI-2026-009</x:v>
      </x:c>
      <x:c r="C84" s="28" t="n">
        <x:v>46282.325</x:v>
      </x:c>
      <x:c r="D84" s="27" t="str">
        <x:v>Contradictory policy modifier</x:v>
      </x:c>
      <x:c r="E84" s="27" t="str">
        <x:v>Reuters</x:v>
      </x:c>
      <x:c r="F84" s="27" t="str">
        <x:v>High quality reporting</x:v>
      </x:c>
      <x:c r="G84" s="29" t="str">
        <x:v>https://www.reuters.com/business/energy/petrobras-raises-diesel-price-offsets-increase-with-new-brazil-subsidy-2026-09-17/</x:v>
      </x:c>
      <x:c r="H84" s="29" t="str">
        <x:v>Petrobras raised its diesel distributor price, but Brazil introduced a subsidy that offsets the increase for consumers.</x:v>
      </x:c>
      <x:c r="I84" s="29" t="str">
        <x:v>Caps transmission and edge</x:v>
      </x:c>
      <x:c r="J84" s="29" t="n">
        <x:v>4</x:v>
      </x:c>
      <x:c r="K84" s="29" t="str">
        <x:v>Shows active government intervention that can suppress end-user price transmission, alter demand and weaken clean investable expressions.</x:v>
      </x:c>
    </x:row>
    <x:row r="85">
      <x:c r="A85" s="27" t="str">
        <x:v>EV-2026-080</x:v>
      </x:c>
      <x:c r="B85" s="27" t="str">
        <x:v>EEI-2026-004</x:v>
      </x:c>
      <x:c r="C85" s="28" t="n">
        <x:v>46282.325</x:v>
      </x:c>
      <x:c r="D85" s="27" t="str">
        <x:v>Primary policy confirmation</x:v>
      </x:c>
      <x:c r="E85" s="27" t="str">
        <x:v>Federal Reserve</x:v>
      </x:c>
      <x:c r="F85" s="27" t="str">
        <x:v>Primary official source</x:v>
      </x:c>
      <x:c r="G85" s="29" t="str">
        <x:v>https://www.federalreserve.gov/newsevents/pressreleases/monetary20260916a.htm</x:v>
      </x:c>
      <x:c r="H85" s="29" t="str">
        <x:v>The FOMC raised the federal-funds target range 25 basis points to 3.75%-4.00% on September 16 by a unanimous 12-0 vote and said inflation remains elevated.</x:v>
      </x:c>
      <x:c r="I85" s="29" t="str">
        <x:v>Strengthens economic variable and direction</x:v>
      </x:c>
      <x:c r="J85" s="29" t="n">
        <x:v>5</x:v>
      </x:c>
      <x:c r="K85" s="29" t="str">
        <x:v>Primary confirmation of the predicted policy move. Outcome questions remain blank until the ledger's September 18 evaluation date.</x:v>
      </x:c>
    </x:row>
    <x:row r="86">
      <x:c r="A86" s="27" t="str">
        <x:v>EV-2026-081</x:v>
      </x:c>
      <x:c r="B86" s="27" t="str">
        <x:v>EEI-2026-004</x:v>
      </x:c>
      <x:c r="C86" s="28" t="n">
        <x:v>46282.325</x:v>
      </x:c>
      <x:c r="D86" s="27" t="str">
        <x:v>Market confirmation and contradiction</x:v>
      </x:c>
      <x:c r="E86" s="27" t="str">
        <x:v>Reuters</x:v>
      </x:c>
      <x:c r="F86" s="27" t="str">
        <x:v>High quality reporting and market data</x:v>
      </x:c>
      <x:c r="G86" s="29" t="str">
        <x:v>https://www.reuters.com/commentary/reuters-open-interest/global-markets-view-usa-2026-09-17/</x:v>
      </x:c>
      <x:c r="H86" s="29" t="str">
        <x:v>Short-term Treasury yields rose after the Fed decision, while long-term yields eased and equity futures advanced.</x:v>
      </x:c>
      <x:c r="I86" s="29" t="str">
        <x:v>Mixed; weakens expression and edge</x:v>
      </x:c>
      <x:c r="J86" s="29" t="n">
        <x:v>5</x:v>
      </x:c>
      <x:c r="K86" s="29" t="str">
        <x:v>Policy direction was confirmed, but the TBF/long-yield expression did not respond as predicted. Trading edge reduced to 1/5.</x:v>
      </x:c>
    </x:row>
    <x:row r="87">
      <x:c r="A87" s="27" t="str">
        <x:v>EV-2026-082</x:v>
      </x:c>
      <x:c r="B87" s="27" t="str"/>
      <x:c r="C87" s="28" t="n">
        <x:v>46282.325</x:v>
      </x:c>
      <x:c r="D87" s="27" t="str">
        <x:v>Rejected Motley Fool trigger</x:v>
      </x:c>
      <x:c r="E87" s="27" t="str">
        <x:v>The Motley Fool — Harsh Chauhan</x:v>
      </x:c>
      <x:c r="F87" s="27" t="str">
        <x:v>Idea generator only</x:v>
      </x:c>
      <x:c r="G87" s="29" t="str">
        <x:v>https://www.fool.com/investing/2026/09/17/1-ai-stock-poised-to-outperform-micron-and-sandisk/</x:v>
      </x:c>
      <x:c r="H87" s="29" t="str">
        <x:v>Free editorial on TSMC cited AI accelerator demand, August revenue growth and valuation. The author disclosed no position; Motley Fool disclosed a recommendation/position. No discrete new primary-source catalyst was presented.</x:v>
      </x:c>
      <x:c r="I87" s="29" t="str">
        <x:v>Rejected</x:v>
      </x:c>
      <x:c r="J87" s="29" t="n">
        <x:v>2</x:v>
      </x:c>
      <x:c r="K87" s="29" t="str">
        <x:v>Ticker TSM; claimed variable AI foundry revenue and earnings over years. Already-strong price performance and recycled public facts make the idea insufficiently distinct; no thesis created.</x:v>
      </x:c>
    </x:row>
    <x:row r="88">
      <x:c r="A88" s="27" t="str">
        <x:v>EV-2026-083</x:v>
      </x:c>
      <x:c r="B88" s="27" t="str"/>
      <x:c r="C88" s="28" t="n">
        <x:v>46282.325</x:v>
      </x:c>
      <x:c r="D88" s="27" t="str">
        <x:v>Rejected Motley Fool trigger</x:v>
      </x:c>
      <x:c r="E88" s="27" t="str">
        <x:v>The Motley Fool — Lee Samaha</x:v>
      </x:c>
      <x:c r="F88" s="27" t="str">
        <x:v>Idea generator only</x:v>
      </x:c>
      <x:c r="G88" s="29" t="str">
        <x:v>https://www.fool.com/investing/2026/09/17/wall-street-sees-a-huge-rebound-for-viking-therape/</x:v>
      </x:c>
      <x:c r="H88" s="29" t="str">
        <x:v>Free editorial on VKTX relied on analyst targets and future obesity-drug trial data. No new Phase 3 result or regulatory decision was published; the article itself noted long timelines and discontinuation risk.</x:v>
      </x:c>
      <x:c r="I88" s="29" t="str">
        <x:v>Rejected pending primary data</x:v>
      </x:c>
      <x:c r="J88" s="29" t="n">
        <x:v>2</x:v>
      </x:c>
      <x:c r="K88" s="29" t="str">
        <x:v>Ticker VKTX; claimed variable future obesity-drug adoption and revenue over multiple years. Reconsider only on new ClinicalTrials.gov, company trial or FDA evidence.</x:v>
      </x:c>
    </x:row>
    <x:row r="89">
      <x:c r="A89" s="27" t="str">
        <x:v>EV-2026-084</x:v>
      </x:c>
      <x:c r="B89" s="27" t="str"/>
      <x:c r="C89" s="28" t="n">
        <x:v>46282.325</x:v>
      </x:c>
      <x:c r="D89" s="27" t="str">
        <x:v>Rejected Motley Fool trigger</x:v>
      </x:c>
      <x:c r="E89" s="27" t="str">
        <x:v>The Motley Fool — Micah Zimmerman</x:v>
      </x:c>
      <x:c r="F89" s="27" t="str">
        <x:v>Idea generator only</x:v>
      </x:c>
      <x:c r="G89" s="29" t="str">
        <x:v>https://www.fool.com/investing/2026/09/17/500-invested-in-joby-aviation-today-could-be-wor/</x:v>
      </x:c>
      <x:c r="H89" s="29" t="str">
        <x:v>Free editorial on JOBY extrapolated long-term value from emerging operations. FAA and company sources confirm eIPP demonstration flights, but they do not yet establish scalable certified commercial economics.</x:v>
      </x:c>
      <x:c r="I89" s="29" t="str">
        <x:v>Rejected as new thesis</x:v>
      </x:c>
      <x:c r="J89" s="29" t="n">
        <x:v>2</x:v>
      </x:c>
      <x:c r="K89" s="29" t="str">
        <x:v>Ticker JOBY; claimed variable commercial eVTOL operations and revenue over roughly five years. Certification, capital intensity, dilution and unit-economics risks remain dominant; existing primary evidence did not justify a distinct thesis.</x:v>
      </x:c>
    </x:row>
    <x:row r="90">
      <x:c r="A90" s="27" t="str">
        <x:v>EV-2026-085</x:v>
      </x:c>
      <x:c r="B90" s="27" t="str"/>
      <x:c r="C90" s="28" t="n">
        <x:v>46282.325</x:v>
      </x:c>
      <x:c r="D90" s="27" t="str">
        <x:v>Rejected government-award trigger</x:v>
      </x:c>
      <x:c r="E90" s="27" t="str">
        <x:v>IBM / Commerce; confirmed by Barron's</x:v>
      </x:c>
      <x:c r="F90" s="27" t="str">
        <x:v>Primary company announcement plus financial press</x:v>
      </x:c>
      <x:c r="G90" s="29" t="str">
        <x:v>https://newsroom.ibm.com/</x:v>
      </x:c>
      <x:c r="H90" s="29" t="str">
        <x:v>Anderon, an IBM company, finalized a $1 billion Commerce CHIPS award on September 16. It follows a previously announced proposed award, is long-dated, and IBM shares fell after the news.</x:v>
      </x:c>
      <x:c r="I90" s="29" t="str">
        <x:v>Rejected; expected and immaterial to parent</x:v>
      </x:c>
      <x:c r="J90" s="29" t="n">
        <x:v>3</x:v>
      </x:c>
      <x:c r="K90" s="29" t="str">
        <x:v>Recipient Anderon; parent IBM; agency Commerce; final award rather than a new contract or routine modification. Publicly announced, low materiality relative to IBM, and no reliable evidence of an unanticipated backlog step-change.</x:v>
      </x:c>
    </x:row>
    <x:row r="91">
      <x:c r="A91" s="27" t="str">
        <x:v>EV-2026-086</x:v>
      </x:c>
      <x:c r="B91" s="27" t="str"/>
      <x:c r="C91" s="28" t="n">
        <x:v>46282.325</x:v>
      </x:c>
      <x:c r="D91" s="27" t="str">
        <x:v>Unconfirmed policy/capex trigger</x:v>
      </x:c>
      <x:c r="E91" s="27" t="str">
        <x:v>Reuters citing Nikkei</x:v>
      </x:c>
      <x:c r="F91" s="27" t="str">
        <x:v>High quality reporting; anonymous-source proposal</x:v>
      </x:c>
      <x:c r="G91" s="29" t="str">
        <x:v>https://www.reuters.com/world/asia-pacific/japan-us-discussing-chip-factory-construction-part-550-billion-investment-talks-2026-09-17/</x:v>
      </x:c>
      <x:c r="H91" s="29" t="str">
        <x:v>Japan and the U.S. were reported to be discussing a roughly $13-$19 billion semiconductor factory expected to involve GlobalFoundries, but negotiations and company participation were not officially confirmed.</x:v>
      </x:c>
      <x:c r="I91" s="29" t="str">
        <x:v>Watch only</x:v>
      </x:c>
      <x:c r="J91" s="29" t="n">
        <x:v>2</x:v>
      </x:c>
      <x:c r="K91" s="29" t="str">
        <x:v>Potential foundry-capacity variable over years. No thesis created until official parties, financing, schedule and company economics are confirmed.</x:v>
      </x:c>
    </x:row>
    <x:row r="92">
      <x:c r="A92" s="27" t="str">
        <x:v>EV-2026-087</x:v>
      </x:c>
      <x:c r="B92" s="27" t="str">
        <x:v>EEI-2026-003</x:v>
      </x:c>
      <x:c r="C92" s="28" t="n">
        <x:v>46282.6278125</x:v>
      </x:c>
      <x:c r="D92" s="27" t="str">
        <x:v>Market confirmation</x:v>
      </x:c>
      <x:c r="E92" s="27" t="str">
        <x:v>Reuters and delayed market price data</x:v>
      </x:c>
      <x:c r="F92" s="27" t="str">
        <x:v>High quality reporting and market data</x:v>
      </x:c>
      <x:c r="G92" s="29" t="str">
        <x:v>https://www.reuters.com/business/wall-st-futures-rise-fed-rate-hike-lifts-long-standing-overhang-2026-09-17/</x:v>
      </x:c>
      <x:c r="H92" s="29" t="str">
        <x:v>At about 10:51 a.m. ET, SPY was up 0.95%, RSP 0.42%, IWM 1.14%, XLI 0.21%, XLB 0.58%, XLV 0.39%, XBI 3.69% and CPER 3.42%; XLF was down 0.45%. Reuters reported all 11 S&amp;P sectors higher, breadth of 4.17-to-one on the NYSE and 3.5-to-one on Nasdaq, and VIX at 15.70.</x:v>
      </x:c>
      <x:c r="I92" s="29" t="str">
        <x:v>Meaningful but partial confirmation</x:v>
      </x:c>
      <x:c r="J92" s="29" t="n">
        <x:v>4</x:v>
      </x:c>
      <x:c r="K92" s="29" t="str">
        <x:v>Breadth, small caps, biotech and volatility improved, but RSP still lagged SPY, financials declined and technology led. The move followed the Fed decision and falling oil rather than a resolved election trigger.</x:v>
      </x:c>
    </x:row>
    <x:row r="93">
      <x:c r="A93" s="27" t="str">
        <x:v>EV-2026-088</x:v>
      </x:c>
      <x:c r="B93" s="27" t="str">
        <x:v>EEI-2026-003</x:v>
      </x:c>
      <x:c r="C93" s="28" t="n">
        <x:v>46282.6278125</x:v>
      </x:c>
      <x:c r="D93" s="27" t="str">
        <x:v>Modifier and contradictory evidence</x:v>
      </x:c>
      <x:c r="E93" s="27" t="str">
        <x:v>Federal Reserve / Reuters</x:v>
      </x:c>
      <x:c r="F93" s="27" t="str">
        <x:v>Primary policy source and high quality reporting</x:v>
      </x:c>
      <x:c r="G93" s="29" t="str">
        <x:v>https://www.federalreserve.gov/newsevents/pressreleases/monetary20260916a.htm</x:v>
      </x:c>
      <x:c r="H93" s="29" t="str">
        <x:v>The Federal Reserve raised the target range 25 basis points to 3.75%-4.00%. Reuters reported a lower 10-year Treasury yield and Brent near $102.90 on September 17, but also a roughly 49% market-implied chance of another rate increase in October.</x:v>
      </x:c>
      <x:c r="I93" s="29" t="str">
        <x:v>Mixed; immediate relief but tightening risk remains</x:v>
      </x:c>
      <x:c r="J93" s="29" t="n">
        <x:v>5</x:v>
      </x:c>
      <x:c r="K93" s="29" t="str">
        <x:v>Lower oil and long yields improve the near-term equity setup. Further tightening risk remains a direct contradiction for small caps, financial conditions and valuation-sensitive equities.</x:v>
      </x:c>
    </x:row>
    <x:row r="94">
      <x:c r="A94" s="27" t="str">
        <x:v>EV-2026-089</x:v>
      </x:c>
      <x:c r="B94" s="27" t="str">
        <x:v>EEI-2026-003</x:v>
      </x:c>
      <x:c r="C94" s="28" t="n">
        <x:v>46282.6278125</x:v>
      </x:c>
      <x:c r="D94" s="27" t="str">
        <x:v>Earnings modifier</x:v>
      </x:c>
      <x:c r="E94" s="27" t="str">
        <x:v>FactSet</x:v>
      </x:c>
      <x:c r="F94" s="27" t="str">
        <x:v>Institutional earnings research</x:v>
      </x:c>
      <x:c r="G94" s="29" t="str">
        <x:v>https://insight.factset.com/analysts-increasing-eps-estimates-for-sp-500-companies-for-2nd-straight-quarter</x:v>
      </x:c>
      <x:c r="H94" s="29" t="str">
        <x:v>FactSet reported that the Q3 S&amp;P 500 bottom-up EPS estimate rose 1.2% from June 30 through August 31 and the full-year 2026 estimate rose 6.1%; seven of eleven sectors had higher full-year estimates.</x:v>
      </x:c>
      <x:c r="I94" s="29" t="str">
        <x:v>Supports the fundamental backdrop</x:v>
      </x:c>
      <x:c r="J94" s="29" t="n">
        <x:v>4</x:v>
      </x:c>
      <x:c r="K94" s="29" t="str">
        <x:v>Positive revisions improve the capacity for an uncertainty-relief rally, but they are not caused by the election and do not confirm a specific congressional-control outcome. Materials Q3 estimates declined 9.1%, a contradiction for XLB despite copper strength.</x:v>
      </x:c>
    </x:row>
    <x:row r="95">
      <x:c r="A95" s="27" t="str">
        <x:v>EV-2026-090</x:v>
      </x:c>
      <x:c r="B95" s="27" t="str">
        <x:v>EEI-2026-003</x:v>
      </x:c>
      <x:c r="C95" s="28" t="n">
        <x:v>46282.6278125</x:v>
      </x:c>
      <x:c r="D95" s="27" t="str">
        <x:v>Neutral policy development</x:v>
      </x:c>
      <x:c r="E95" s="27" t="str">
        <x:v>Reuters / U.S. House vote</x:v>
      </x:c>
      <x:c r="F95" s="27" t="str">
        <x:v>High quality reporting on official legislative action</x:v>
      </x:c>
      <x:c r="G95" s="29" t="str">
        <x:v>https://www.reuters.com/world/us-house-advances-first-bill-addressing-economic-impacts-data-center-boom-2026-09-16/</x:v>
      </x:c>
      <x:c r="H95" s="29" t="str">
        <x:v>The House passed the Ratepayer Protection Act 417-3, requiring state utility regulators to consider whether large electricity users should bear incremental infrastructure costs. The measure does not compel a particular state allocation and still requires further legislative action.</x:v>
      </x:c>
      <x:c r="I95" s="29" t="str">
        <x:v>No clean candidate-sector trigger</x:v>
      </x:c>
      <x:c r="J95" s="29" t="n">
        <x:v>4</x:v>
      </x:c>
      <x:c r="K95" s="29" t="str">
        <x:v>The bipartisan vote shows policy attention to data-center power costs, but it does not establish congressional control, mandatory spending, or a direct investable catalyst for the midterm candidate list.</x:v>
      </x:c>
    </x:row>
    <x:row r="96">
      <x:c r="A96" s="27" t="str">
        <x:v>EV-2026-091</x:v>
      </x:c>
      <x:c r="B96" s="27" t="str">
        <x:v>EEI-2026-001</x:v>
      </x:c>
      <x:c r="C96" s="28" t="n">
        <x:v>46282.666666666664</x:v>
      </x:c>
      <x:c r="D96" s="27" t="str">
        <x:v>Paper-trade market outcome</x:v>
      </x:c>
      <x:c r="E96" s="27" t="str">
        <x:v>S&amp;P Global Market Intelligence via StockAnalysis</x:v>
      </x:c>
      <x:c r="F96" s="27" t="str">
        <x:v>Daily closing market data</x:v>
      </x:c>
      <x:c r="G96" s="29" t="str">
        <x:v>https://stockanalysis.com/etf/bno/history/</x:v>
      </x:c>
      <x:c r="H96" s="29" t="str">
        <x:v>BNO closed September 17 at $60.91 versus the $57.21 September 8 opening entry; the paper position is worth $1,064.67, up $64.67 or 6.47%.</x:v>
      </x:c>
      <x:c r="I96" s="29" t="str">
        <x:v>Supports direct Brent expression</x:v>
      </x:c>
      <x:c r="J96" s="29" t="n">
        <x:v>5</x:v>
      </x:c>
      <x:c r="K96" s="29" t="str">
        <x:v>Direct Brent-linked exposure remains profitable despite a second daily pullback.</x:v>
      </x:c>
    </x:row>
    <x:row r="97">
      <x:c r="A97" s="27" t="str">
        <x:v>EV-2026-092</x:v>
      </x:c>
      <x:c r="B97" s="27" t="str">
        <x:v>EEI-2026-001</x:v>
      </x:c>
      <x:c r="C97" s="28" t="n">
        <x:v>46282.666666666664</x:v>
      </x:c>
      <x:c r="D97" s="27" t="str">
        <x:v>Paper-trade market outcome</x:v>
      </x:c>
      <x:c r="E97" s="27" t="str">
        <x:v>S&amp;P Global Market Intelligence via StockAnalysis</x:v>
      </x:c>
      <x:c r="F97" s="27" t="str">
        <x:v>Daily closing market data</x:v>
      </x:c>
      <x:c r="G97" s="29" t="str">
        <x:v>https://stockanalysis.com/etf/uso/history/</x:v>
      </x:c>
      <x:c r="H97" s="29" t="str">
        <x:v>USO closed September 17 at $155.31 versus the $144.60 September 8 opening entry; the paper position is worth $1,074.07, up $74.07 or 7.41%.</x:v>
      </x:c>
      <x:c r="I97" s="29" t="str">
        <x:v>Supports direct crude expression</x:v>
      </x:c>
      <x:c r="J97" s="29" t="n">
        <x:v>5</x:v>
      </x:c>
      <x:c r="K97" s="29" t="str">
        <x:v>USO remains the strongest paper expression by dollar gain and continues to confirm the predicted crude-price direction.</x:v>
      </x:c>
    </x:row>
    <x:row r="98">
      <x:c r="A98" s="27" t="str">
        <x:v>EV-2026-093</x:v>
      </x:c>
      <x:c r="B98" s="27" t="str">
        <x:v>EEI-2026-001</x:v>
      </x:c>
      <x:c r="C98" s="28" t="n">
        <x:v>46282.666666666664</x:v>
      </x:c>
      <x:c r="D98" s="27" t="str">
        <x:v>Paper-trade market outcome</x:v>
      </x:c>
      <x:c r="E98" s="27" t="str">
        <x:v>S&amp;P Global Market Intelligence via StockAnalysis</x:v>
      </x:c>
      <x:c r="F98" s="27" t="str">
        <x:v>Daily closing market data</x:v>
      </x:c>
      <x:c r="G98" s="29" t="str">
        <x:v>https://stockanalysis.com/etf/xop/history/</x:v>
      </x:c>
      <x:c r="H98" s="29" t="str">
        <x:v>XOP closed September 17 at $192.59 versus the $193.84 September 8 opening entry; the paper position is worth $993.55, down $6.45 or 0.64%.</x:v>
      </x:c>
      <x:c r="I98" s="29" t="str">
        <x:v>Contradicts indirect equity expression</x:v>
      </x:c>
      <x:c r="J98" s="29" t="n">
        <x:v>5</x:v>
      </x:c>
      <x:c r="K98" s="29" t="str">
        <x:v>Producer equities continue to lag the direct crude funds, supporting the clean-expression rule.</x:v>
      </x:c>
    </x:row>
    <x:row r="99">
      <x:c r="A99" s="27" t="str">
        <x:v>EV-2026-094</x:v>
      </x:c>
      <x:c r="B99" s="27" t="str">
        <x:v>EEI-2026-001</x:v>
      </x:c>
      <x:c r="C99" s="28" t="n">
        <x:v>46282.666666666664</x:v>
      </x:c>
      <x:c r="D99" s="27" t="str">
        <x:v>Thesis outcome and modifier</x:v>
      </x:c>
      <x:c r="E99" s="27" t="str">
        <x:v>Reuters</x:v>
      </x:c>
      <x:c r="F99" s="27" t="str">
        <x:v>High quality reporting and market data</x:v>
      </x:c>
      <x:c r="G99" s="29" t="str">
        <x:v>https://www.reuters.com/business/energy/oil-prices-extend-losses-fears-middle-east-supply-disruptions-ease-2026-09-17/</x:v>
      </x:c>
      <x:c r="H99" s="29" t="str">
        <x:v>Brent settled 0.95% lower at $104.82 and WTI 0.5% lower at $101.91. Saudi ship-to-ship transfers through Oman and expected East-West pipeline repairs offset some disruption, while falling Hormuz traffic and continuing regional attacks kept the physical market tight.</x:v>
      </x:c>
      <x:c r="I99" s="29" t="str">
        <x:v>Mixed; thesis intact but remaining edge reduced</x:v>
      </x:c>
      <x:c r="J99" s="29" t="n">
        <x:v>5</x:v>
      </x:c>
      <x:c r="K99" s="29" t="str">
        <x:v>Confirms the predicted supply-risk premium while identifying adaptation and repair as the leading invalidation path.</x:v>
      </x:c>
    </x:row>
    <x:row r="100">
      <x:c r="A100" s="27" t="str">
        <x:v>EV-2026-095</x:v>
      </x:c>
      <x:c r="B100" s="27" t="str">
        <x:v>EEI-2026-001</x:v>
      </x:c>
      <x:c r="C100" s="28" t="n">
        <x:v>46283.3533217593</x:v>
      </x:c>
      <x:c r="D100" s="27" t="str">
        <x:v>Completed outcome confirmation</x:v>
      </x:c>
      <x:c r="E100" s="27" t="str">
        <x:v>Reuters</x:v>
      </x:c>
      <x:c r="F100" s="27" t="str">
        <x:v>High quality reporting and physical-market data</x:v>
      </x:c>
      <x:c r="G100" s="29" t="str">
        <x:v>https://www.reuters.com/business/energy/russian-espo-oil-price-exceeds-120-per-barrel-traders-say-data-shows-2026-09-18/</x:v>
      </x:c>
      <x:c r="H100" s="29" t="str">
        <x:v>Russian ESPO crude rose above $120 per barrel for the first time since April, with premiums of roughly $20-$30 over Brent as Chinese refiners competed for replacement barrels amid Middle East disruption.</x:v>
      </x:c>
      <x:c r="I100" s="29" t="str">
        <x:v>Confirms variable, direction and timing</x:v>
      </x:c>
      <x:c r="J100" s="29" t="n">
        <x:v>5</x:v>
      </x:c>
      <x:c r="K100" s="29" t="str">
        <x:v>Final physical-market confirmation for EEI-2026-001: the disruption raised replacement-barrel costs and the crude risk premium within the forecast horizon.</x:v>
      </x:c>
    </x:row>
    <x:row r="101">
      <x:c r="A101" t="str">
        <x:v>EV-2026-096</x:v>
      </x:c>
      <x:c r="B101" t="str">
        <x:v>EEI-2026-001</x:v>
      </x:c>
      <x:c r="C101" s="21" t="n">
        <x:v>46283.3533217593</x:v>
      </x:c>
      <x:c r="D101" t="str">
        <x:v>Outcome modifier and contradiction</x:v>
      </x:c>
      <x:c r="E101" t="str">
        <x:v>Reuters</x:v>
      </x:c>
      <x:c r="F101" t="str">
        <x:v>High quality reporting and market data</x:v>
      </x:c>
      <x:c r="G101" s="44" t="str">
        <x:v>https://www.reuters.com/business/energy/oil-prices-fall-1-hopes-limited-supply-disruptions-2026-09-18/</x:v>
      </x:c>
      <x:c r="H101" s="44" t="str">
        <x:v>Brent fell to about $103.17 and WTI to about $101.30 as Saudi rerouting, expected East-West pipeline restoration, higher product inventories and Chinese fuel exports reduced immediate scarcity fears.</x:v>
      </x:c>
      <x:c r="I101" s="44" t="str">
        <x:v>Confirms risk but closes remaining edge</x:v>
      </x:c>
      <x:c r="J101" s="44" t="n">
        <x:v>5</x:v>
      </x:c>
      <x:c r="K101" s="44" t="str">
        <x:v>The forecast succeeded over its horizon, but the same evidence supports closing it rather than extending a low-edge headline trade.</x:v>
      </x:c>
    </x:row>
    <x:row r="102">
      <x:c r="A102" t="str">
        <x:v>EV-2026-097</x:v>
      </x:c>
      <x:c r="B102" t="str">
        <x:v>EEI-2026-009</x:v>
      </x:c>
      <x:c r="C102" s="21" t="n">
        <x:v>46283.3533217593</x:v>
      </x:c>
      <x:c r="D102" t="str">
        <x:v>Physical supply confirmation</x:v>
      </x:c>
      <x:c r="E102" t="str">
        <x:v>Reuters</x:v>
      </x:c>
      <x:c r="F102" t="str">
        <x:v>High quality reporting</x:v>
      </x:c>
      <x:c r="G102" s="44" t="str">
        <x:v>https://www.reuters.com/business/energy/exxon-mobil-says-floodwater-overwhelmed-pump-at-joliet-illinois-refinery-2026-09-17/</x:v>
      </x:c>
      <x:c r="H102" s="44" t="str">
        <x:v>ExxonMobil's 275,000-bpd Joliet refinery remained offline after flooding and a power outage; the plant normally supplies about 11 million gallons of gasoline and diesel per day.</x:v>
      </x:c>
      <x:c r="I102" s="44" t="str">
        <x:v>Strengthens</x:v>
      </x:c>
      <x:c r="J102" s="44" t="n">
        <x:v>4</x:v>
      </x:c>
      <x:c r="K102" s="44" t="str">
        <x:v>The U.S. Midwest outage compounds the global refined-product shortage, although a restart would remove this incremental support.</x:v>
      </x:c>
    </x:row>
    <x:row r="103">
      <x:c r="A103" t="str">
        <x:v>EV-2026-098</x:v>
      </x:c>
      <x:c r="B103" t="str">
        <x:v>EEI-2026-009</x:v>
      </x:c>
      <x:c r="C103" s="21" t="n">
        <x:v>46283.3533217593</x:v>
      </x:c>
      <x:c r="D103" t="str">
        <x:v>Contradictory supply modifier</x:v>
      </x:c>
      <x:c r="E103" t="str">
        <x:v>Reuters</x:v>
      </x:c>
      <x:c r="F103" t="str">
        <x:v>High quality reporting</x:v>
      </x:c>
      <x:c r="G103" s="44" t="str">
        <x:v>https://www.reuters.com/business/energy/aramco-boost-exports-strait-hormuz-60-million-bbl-september-october-traders-say-2026-09-18/</x:v>
      </x:c>
      <x:c r="H103" s="44" t="str">
        <x:v>Saudi Aramco plans roughly 60 million barrels of Gulf exports in September and October using ship-to-ship transfers near Sohar, restoring about 1.0-1.5 million bpd despite damaged Red Sea logistics.</x:v>
      </x:c>
      <x:c r="I103" s="44" t="str">
        <x:v>Caps scarcity and trading edge</x:v>
      </x:c>
      <x:c r="J103" s="44" t="n">
        <x:v>4</x:v>
      </x:c>
      <x:c r="K103" s="44" t="str">
        <x:v>Feedstock adaptation can ease refinery constraints; record tanker freight shows the workaround remains costly rather than fully normal.</x:v>
      </x:c>
    </x:row>
    <x:row r="104">
      <x:c r="A104" t="str">
        <x:v>EV-2026-099</x:v>
      </x:c>
      <x:c r="B104" t="str">
        <x:v>EEI-2026-004</x:v>
      </x:c>
      <x:c r="C104" s="21" t="n">
        <x:v>46283.3533217593</x:v>
      </x:c>
      <x:c r="D104" t="str">
        <x:v>Completed outcome market evidence</x:v>
      </x:c>
      <x:c r="E104" t="str">
        <x:v>Wall Street Journal</x:v>
      </x:c>
      <x:c r="F104" t="str">
        <x:v>Financial press and market data</x:v>
      </x:c>
      <x:c r="G104" s="44" t="str">
        <x:v>https://www.wsj.com/livecoverage/stock-market-today-dow-sp-500-nasdaq-09-17-2026</x:v>
      </x:c>
      <x:c r="H104" s="44" t="str">
        <x:v>The 10-year Treasury yield fell below 5% on September 17 after the Fed hike and an oil pullback; TLT rose while TBF fell at the close.</x:v>
      </x:c>
      <x:c r="I104" s="44" t="str">
        <x:v>Contradicts direction and expression</x:v>
      </x:c>
      <x:c r="J104" s="44" t="n">
        <x:v>4</x:v>
      </x:c>
      <x:c r="K104" s="44" t="str">
        <x:v>The policy variable was relevant and timely, but long yields and the intended TBF expression moved opposite the frozen prediction.</x:v>
      </x:c>
    </x:row>
    <x:row r="105">
      <x:c r="A105" t="str">
        <x:v>EV-2026-100</x:v>
      </x:c>
      <x:c r="B105"/>
      <x:c r="C105" s="21" t="n">
        <x:v>46283.3533217593</x:v>
      </x:c>
      <x:c r="D105" t="str">
        <x:v>Rejected Motley Fool trigger</x:v>
      </x:c>
      <x:c r="E105" t="str">
        <x:v>The Motley Fool — Thomas Niel</x:v>
      </x:c>
      <x:c r="F105" t="str">
        <x:v>Idea generator only</x:v>
      </x:c>
      <x:c r="G105" s="44" t="str">
        <x:v>https://www.fool.com/investing/2026/09/18/exxonmobil-vs-conocophillips-which-oil-majors-buyb/</x:v>
      </x:c>
      <x:c r="H105" s="44" t="str">
        <x:v>Free editorial at 6:51 a.m. ET compared XOM and COP buybacks and longer-term catalysts. The author disclosed no position; Motley Fool recommends COP. Primary filings confirm the repurchase programs, but the article supplied no new company catalyst.</x:v>
      </x:c>
      <x:c r="I105" s="44" t="str">
        <x:v>Rejected as new thesis</x:v>
      </x:c>
      <x:c r="J105" s="44" t="n">
        <x:v>2</x:v>
      </x:c>
      <x:c r="K105" s="44" t="str">
        <x:v>Tickers XOM and COP; claimed variable per-share value and cash returns over years. Oil exposure is already covered, and both stocks were near the upper portion of their annual ranges. No distinct thesis created.</x:v>
      </x:c>
    </x:row>
    <x:row r="106">
      <x:c r="A106" t="str">
        <x:v>EV-2026-101</x:v>
      </x:c>
      <x:c r="B106"/>
      <x:c r="C106" s="21" t="n">
        <x:v>46283.3533217593</x:v>
      </x:c>
      <x:c r="D106" t="str">
        <x:v>Rejected Motley Fool trigger</x:v>
      </x:c>
      <x:c r="E106" t="str">
        <x:v>The Motley Fool — Catie Hogan</x:v>
      </x:c>
      <x:c r="F106" t="str">
        <x:v>Idea generator only</x:v>
      </x:c>
      <x:c r="G106" s="44" t="str">
        <x:v>https://www.fool.com/investing/2026/09/18/is-verizon-the-years-best-telecom-stock/</x:v>
      </x:c>
      <x:c r="H106" s="44" t="str">
        <x:v>Free editorial cited Verizon's Q2 subscriber recovery, Frontier integration and cost reductions. The author disclosed an AT&amp;T position; Motley Fool recommends Verizon and T-Mobile. Company results independently confirm operational improvement.</x:v>
      </x:c>
      <x:c r="I106" s="44" t="str">
        <x:v>Rejected; catalyst already known and priced</x:v>
      </x:c>
      <x:c r="J106" s="44" t="n">
        <x:v>2</x:v>
      </x:c>
      <x:c r="K106" s="44" t="str">
        <x:v>Ticker VZ; claimed variable subscriber, fiber and free-cash-flow growth over quarters. Shares had already risen materially in 2026 and the article did not add a new primary catalyst or favorable entry structure.</x:v>
      </x:c>
    </x:row>
    <x:row r="107">
      <x:c r="A107" t="str">
        <x:v>EV-2026-102</x:v>
      </x:c>
      <x:c r="B107"/>
      <x:c r="C107" s="21" t="n">
        <x:v>46283.3533217593</x:v>
      </x:c>
      <x:c r="D107" t="str">
        <x:v>Rejected Motley Fool trigger</x:v>
      </x:c>
      <x:c r="E107" t="str">
        <x:v>The Motley Fool — Geoffrey Seiler</x:v>
      </x:c>
      <x:c r="F107" t="str">
        <x:v>Idea generator only</x:v>
      </x:c>
      <x:c r="G107" s="44" t="str">
        <x:v>https://www.fool.com/investing/2026/09/18/stocks-buy-analyst-semiconductor-spend/</x:v>
      </x:c>
      <x:c r="H107" s="44" t="str">
        <x:v>Free editorial cited a Bank of America forecast and selected SK Hynix, Nvidia and ASML. The author disclosed no position; Motley Fool disclosed positions and recommendations. The 88% market-growth claim is an analyst estimate, not a new primary company event.</x:v>
      </x:c>
      <x:c r="I107" s="44" t="str">
        <x:v>Rejected as non-distinct</x:v>
      </x:c>
      <x:c r="J107" s="44" t="n">
        <x:v>2</x:v>
      </x:c>
      <x:c r="K107" s="44" t="str">
        <x:v>Tickers SKHY, NVDA and ASML; claimed variable semiconductor revenue through 2030. The secular AI-memory thesis is established and valuations already embed substantial growth; no new thesis created.</x:v>
      </x:c>
    </x:row>
    <x:row r="108">
      <x:c r="A108" t="str">
        <x:v>EV-2026-103</x:v>
      </x:c>
      <x:c r="B108"/>
      <x:c r="C108" s="21" t="n">
        <x:v>46283.3533217593</x:v>
      </x:c>
      <x:c r="D108" t="str">
        <x:v>Rejected Motley Fool trigger</x:v>
      </x:c>
      <x:c r="E108" t="str">
        <x:v>The Motley Fool — Jeff Siegel</x:v>
      </x:c>
      <x:c r="F108" t="str">
        <x:v>Idea generator only</x:v>
      </x:c>
      <x:c r="G108" s="44" t="str">
        <x:v>https://www.fool.com/investing/2026/09/18/this-overlooked-grid-technology-stock-could-be-you/</x:v>
      </x:c>
      <x:c r="H108" s="44" t="str">
        <x:v>Free editorial argued that Hubbell benefits from grid modernization and data-center demand. The author and Motley Fool disclosed no position. Company-reported Q2 growth and raised guidance support the mechanism, but no new dated catalyst was identified.</x:v>
      </x:c>
      <x:c r="I108" s="44" t="str">
        <x:v>Watch only; no new thesis</x:v>
      </x:c>
      <x:c r="J108" s="44" t="n">
        <x:v>2</x:v>
      </x:c>
      <x:c r="K108" s="44" t="str">
        <x:v>Ticker HUBB; claimed variable utility-equipment revenue and earnings over years. The business case is credible, but current evidence is an already-known long-cycle trend without a distinct trigger or preferred entry.</x:v>
      </x:c>
    </x:row>
    <x:row r="109">
      <x:c r="A109" t="str">
        <x:v>EV-2026-104</x:v>
      </x:c>
      <x:c r="B109"/>
      <x:c r="C109" s="21" t="n">
        <x:v>46283.3533217593</x:v>
      </x:c>
      <x:c r="D109" t="str">
        <x:v>Rejected Motley Fool trigger</x:v>
      </x:c>
      <x:c r="E109" t="str">
        <x:v>The Motley Fool — Dave Kovaleski</x:v>
      </x:c>
      <x:c r="F109" t="str">
        <x:v>Idea generator only</x:v>
      </x:c>
      <x:c r="G109" s="44" t="str">
        <x:v>https://www.fool.com/investing/2026/09/18/market-signal-seen-only-once-point-next/</x:v>
      </x:c>
      <x:c r="H109" s="44" t="str">
        <x:v>Free editorial highlighted a Shiller CAPE near 41 and compared it with prior high-valuation periods. The author disclosed no position; Motley Fool disclosed an Nvidia position and recommendation.</x:v>
      </x:c>
      <x:c r="I109" s="44" t="str">
        <x:v>Rejected as timing thesis</x:v>
      </x:c>
      <x:c r="J109" s="44" t="n">
        <x:v>2</x:v>
      </x:c>
      <x:c r="K109" s="44" t="str">
        <x:v>Claimed variable broad-equity drawdown risk. CAPE is a valuation modifier, not a reliable short-horizon timing trigger; no new thesis or short expression created.</x:v>
      </x:c>
    </x:row>
    <x:row r="110">
      <x:c r="A110" t="str">
        <x:v>EV-2026-105</x:v>
      </x:c>
      <x:c r="B110"/>
      <x:c r="C110" s="21" t="n">
        <x:v>46283.3533217593</x:v>
      </x:c>
      <x:c r="D110" t="str">
        <x:v>Macro policy watch</x:v>
      </x:c>
      <x:c r="E110" t="str">
        <x:v>Reuters / Bank of Japan</x:v>
      </x:c>
      <x:c r="F110" t="str">
        <x:v>High quality reporting on primary policy action</x:v>
      </x:c>
      <x:c r="G110" s="44" t="str">
        <x:v>https://www.reuters.com/world/asia-pacific/yen-weak-ahead-boj-decision-rate-hike-expected-2026-09-18/</x:v>
      </x:c>
      <x:c r="H110" s="44" t="str">
        <x:v>The Bank of Japan raised its policy rate to 1.25%, a 31-year high, but the yen weakened because guidance and the vote were less hawkish than expected.</x:v>
      </x:c>
      <x:c r="I110" s="44" t="str">
        <x:v>Watch only</x:v>
      </x:c>
      <x:c r="J110" s="44" t="n">
        <x:v>3</x:v>
      </x:c>
      <x:c r="K110" s="44" t="str">
        <x:v>The action was broadly anticipated and produced no independently confirmed, favorable cross-asset expression. No thesis created.</x:v>
      </x:c>
    </x:row>
    <x:row r="111">
      <x:c r="A111" t="str">
        <x:v>EV-2026-106</x:v>
      </x:c>
      <x:c r="B111" t="str">
        <x:v>EEI-2026-003</x:v>
      </x:c>
      <x:c r="C111" s="53" t="n">
        <x:v>46283.4610069444</x:v>
      </x:c>
      <x:c r="D111" t="str">
        <x:v>Political trigger update</x:v>
      </x:c>
      <x:c r="E111" t="str">
        <x:v>Reuters</x:v>
      </x:c>
      <x:c r="F111" t="str">
        <x:v>High quality reporting</x:v>
      </x:c>
      <x:c r="G111" s="44" t="str">
        <x:v>https://www.reuters.com/legal/government/trump-linked-pop-up-pacs-blitz-ohio-with-ads-against-brown-costly-senate-race-2026-09-18/</x:v>
      </x:c>
      <x:c r="H111" s="44" t="str">
        <x:v>Political groups added roughly $14 million of advertising in a competitive Ohio Senate race that could be consequential for chamber control.</x:v>
      </x:c>
      <x:c r="I111" s="44" t="str">
        <x:v>Confirms uncertainty; no outcome</x:v>
      </x:c>
      <x:c r="J111" s="44" t="n">
        <x:v>4</x:v>
      </x:c>
      <x:c r="K111" s="44" t="str">
        <x:v>Campaign spending confirms that the race is active and high-stakes, but it does not independently establish Senate control or a policy outcome.</x:v>
      </x:c>
    </x:row>
    <x:row r="112">
      <x:c r="A112" t="str">
        <x:v>EV-2026-107</x:v>
      </x:c>
      <x:c r="B112" t="str">
        <x:v>EEI-2026-003</x:v>
      </x:c>
      <x:c r="C112" s="53" t="n">
        <x:v>46283.4610069444</x:v>
      </x:c>
      <x:c r="D112" t="str">
        <x:v>Market contradiction</x:v>
      </x:c>
      <x:c r="E112" t="str">
        <x:v>Reuters</x:v>
      </x:c>
      <x:c r="F112" t="str">
        <x:v>High quality reporting and market data</x:v>
      </x:c>
      <x:c r="G112" s="44" t="str">
        <x:v>https://www.reuters.com/business/nasdaq-futures-lead-wall-st-gains-oil-retreat-eases-inflation-worries-2026-09-18/</x:v>
      </x:c>
      <x:c r="H112" s="44" t="str">
        <x:v>Friday breadth was negative on both major exchanges, materials fell about 1.4%, and the 10-year Treasury yield moved back near 5%.</x:v>
      </x:c>
      <x:c r="I112" s="44" t="str">
        <x:v>Weakens market confirmation</x:v>
      </x:c>
      <x:c r="J112" s="44" t="n">
        <x:v>5</x:v>
      </x:c>
      <x:c r="K112" s="44" t="str">
        <x:v>Triple-witching can amplify intraday volatility, but IWM, XBI and RSP also failed the follow-through test from Thursday's broad session.</x:v>
      </x:c>
    </x:row>
    <x:row r="113">
      <x:c r="A113" t="str">
        <x:v>EV-2026-108</x:v>
      </x:c>
      <x:c r="B113" t="str">
        <x:v>EEI-2026-003</x:v>
      </x:c>
      <x:c r="C113" s="53" t="n">
        <x:v>46283.4610069444</x:v>
      </x:c>
      <x:c r="D113" t="str">
        <x:v>Adverse macro modifier</x:v>
      </x:c>
      <x:c r="E113" t="str">
        <x:v>Reuters</x:v>
      </x:c>
      <x:c r="F113" t="str">
        <x:v>High quality reporting and market data</x:v>
      </x:c>
      <x:c r="G113" s="44" t="str">
        <x:v>https://www.reuters.com/business/energy/oil-prices-fall-1-hopes-limited-supply-disruptions-2026-09-18/</x:v>
      </x:c>
      <x:c r="H113" s="44" t="str">
        <x:v>Brent traded around $104.49 while damage to Saudi export infrastructure and Middle East shipping risks kept the supply premium elevated.</x:v>
      </x:c>
      <x:c r="I113" s="44" t="str">
        <x:v>Maintains oil-inflation-rates headwind</x:v>
      </x:c>
      <x:c r="J113" s="44" t="n">
        <x:v>5</x:v>
      </x:c>
      <x:c r="K113" s="44" t="str">
        <x:v>Oil is a modifier to the midterm thesis, not part of it. Partial Saudi restoration and higher product supply remain countervailing evidence.</x:v>
      </x:c>
    </x:row>
    <x:row r="114">
      <x:c r="A114" t="str">
        <x:v>EV-2026-109</x:v>
      </x:c>
      <x:c r="B114" t="str">
        <x:v>EEI-2026-003</x:v>
      </x:c>
      <x:c r="C114" s="53" t="n">
        <x:v>46283.4610069444</x:v>
      </x:c>
      <x:c r="D114" t="str">
        <x:v>Positioning and flows</x:v>
      </x:c>
      <x:c r="E114" t="str">
        <x:v>Reuters / LSEG Lipper</x:v>
      </x:c>
      <x:c r="F114" t="str">
        <x:v>High quality reporting on fund-flow data</x:v>
      </x:c>
      <x:c r="G114" s="44" t="str">
        <x:v>https://www.reuters.com/business/us-equity-funds-post-fourth-weekly-outflow-inflation-worries-rate-concerns-2026-09-18/</x:v>
      </x:c>
      <x:c r="H114" s="44" t="str">
        <x:v>U.S. equity funds had $31.44 billion of net outflows for a fourth week, while small-cap funds drew $568 million and sector funds attracted technology, financial and consumer-discretionary inflows.</x:v>
      </x:c>
      <x:c r="I114" s="44" t="str">
        <x:v>Mixed; broad caution with selective breadth</x:v>
      </x:c>
      <x:c r="J114" s="44" t="n">
        <x:v>4</x:v>
      </x:c>
      <x:c r="K114" s="44" t="str">
        <x:v>The small-cap inflow is supportive, but total outflows and concentration in selected sectors do not confirm a durable broad risk-on rotation.</x:v>
      </x:c>
    </x:row>
    <x:row r="115">
      <x:c r="A115" t="str">
        <x:v>EV-2026-110</x:v>
      </x:c>
      <x:c r="B115" t="str">
        <x:v>EEI-2026-001</x:v>
      </x:c>
      <x:c r="C115" s="21" t="n">
        <x:v>46283.6819444444</x:v>
      </x:c>
      <x:c r="D115" t="str">
        <x:v>Final outcome and contradiction</x:v>
      </x:c>
      <x:c r="E115" t="str">
        <x:v>Reuters</x:v>
      </x:c>
      <x:c r="F115" t="str">
        <x:v>High quality reporting and market data</x:v>
      </x:c>
      <x:c r="G115" s="44" t="str">
        <x:v>https://www.reuters.com/business/energy/oil-prices-fall-1-hopes-limited-supply-disruptions-2026-09-18/</x:v>
      </x:c>
      <x:c r="H115" s="44" t="str">
        <x:v>Brent settled at $104.87 and WTI at $100.30 on September 18. Only four commodity vessels crossed Hormuz Thursday versus a 10-day average near 16, while China pressed Iran to curb Houthi attacks and Saudi Arabia sought partial East-West pipeline restoration.</x:v>
      </x:c>
      <x:c r="I115" s="44" t="str">
        <x:v>Confirms thesis outcome; strengthens invalidation path</x:v>
      </x:c>
      <x:c r="J115" s="44" t="n">
        <x:v>5</x:v>
      </x:c>
      <x:c r="K115" s="44" t="str">
        <x:v>The supply-risk premium remained elevated through the horizon, but diplomacy and repair expectations pulled prices back from the week's highs and justified closing a low-edge thesis.</x:v>
      </x:c>
    </x:row>
    <x:row r="116">
      <x:c r="A116" t="str">
        <x:v>EV-2026-111</x:v>
      </x:c>
      <x:c r="B116" t="str">
        <x:v>EEI-2026-001</x:v>
      </x:c>
      <x:c r="C116" s="21" t="n">
        <x:v>46283.6819444444</x:v>
      </x:c>
      <x:c r="D116" t="str">
        <x:v>Paper-trade outcome</x:v>
      </x:c>
      <x:c r="E116" t="str">
        <x:v>Market data — BNO</x:v>
      </x:c>
      <x:c r="F116" t="str">
        <x:v>Exchange quote data</x:v>
      </x:c>
      <x:c r="G116" s="44" t="str">
        <x:v>https://finance.yahoo.com/quote/BNO/</x:v>
      </x:c>
      <x:c r="H116" s="44" t="str">
        <x:v>BNO closed September 18 at $60.55. The $1,000 paper position entered at $57.21 was worth $1,058.38, a gain of $58.38 or 5.84%.</x:v>
      </x:c>
      <x:c r="I116" s="44" t="str">
        <x:v>Confirms direct Brent expression</x:v>
      </x:c>
      <x:c r="J116" s="44" t="n">
        <x:v>4</x:v>
      </x:c>
      <x:c r="K116" s="44" t="str">
        <x:v>Fractional shares: 17.47946163. Hypothetical paper trade only.</x:v>
      </x:c>
    </x:row>
    <x:row r="117">
      <x:c r="A117" t="str">
        <x:v>EV-2026-112</x:v>
      </x:c>
      <x:c r="B117" t="str">
        <x:v>EEI-2026-001</x:v>
      </x:c>
      <x:c r="C117" s="21" t="n">
        <x:v>46283.6819444444</x:v>
      </x:c>
      <x:c r="D117" t="str">
        <x:v>Paper-trade outcome</x:v>
      </x:c>
      <x:c r="E117" t="str">
        <x:v>Market data — USO</x:v>
      </x:c>
      <x:c r="F117" t="str">
        <x:v>Exchange quote data</x:v>
      </x:c>
      <x:c r="G117" s="44" t="str">
        <x:v>https://finance.yahoo.com/quote/USO/</x:v>
      </x:c>
      <x:c r="H117" s="44" t="str">
        <x:v>USO closed September 18 at $153.87. The $1,000 paper position entered at $144.60 was worth $1,064.11, a gain of $64.11 or 6.41%.</x:v>
      </x:c>
      <x:c r="I117" s="44" t="str">
        <x:v>Confirms direct WTI expression</x:v>
      </x:c>
      <x:c r="J117" s="44" t="n">
        <x:v>4</x:v>
      </x:c>
      <x:c r="K117" s="44" t="str">
        <x:v>Fractional shares: 6.91562932. Hypothetical paper trade only.</x:v>
      </x:c>
    </x:row>
    <x:row r="118">
      <x:c r="A118" t="str">
        <x:v>EV-2026-113</x:v>
      </x:c>
      <x:c r="B118" t="str">
        <x:v>EEI-2026-001</x:v>
      </x:c>
      <x:c r="C118" s="21" t="n">
        <x:v>46283.6819444444</x:v>
      </x:c>
      <x:c r="D118" t="str">
        <x:v>Paper-trade outcome</x:v>
      </x:c>
      <x:c r="E118" t="str">
        <x:v>Market data — XOP</x:v>
      </x:c>
      <x:c r="F118" t="str">
        <x:v>Exchange quote data</x:v>
      </x:c>
      <x:c r="G118" s="44" t="str">
        <x:v>https://finance.yahoo.com/quote/XOP/</x:v>
      </x:c>
      <x:c r="H118" s="44" t="str">
        <x:v>XOP closed September 18 at $190.65. The $1,000 paper position entered at $193.84 was worth $983.54, a loss of $16.46 or 1.65%.</x:v>
      </x:c>
      <x:c r="I118" s="44" t="str">
        <x:v>Invalidates indirect producer-equity expression</x:v>
      </x:c>
      <x:c r="J118" s="44" t="n">
        <x:v>4</x:v>
      </x:c>
      <x:c r="K118" s="44" t="str">
        <x:v>Fractional shares: 5.15889393. The weaker result supports preferring the cleanest instrument for the predicted economic variable. Hypothetical paper trade only.</x:v>
      </x:c>
    </x:row>
    <x:row r="119">
      <x:c r="A119" t="str">
        <x:v>EV-2026-114</x:v>
      </x:c>
      <x:c r="B119" t="str">
        <x:v>EEI-2026-010</x:v>
      </x:c>
      <x:c r="C119" s="21" t="n">
        <x:v>46284.33085648148</x:v>
      </x:c>
      <x:c r="D119" t="str">
        <x:v>Primary regulatory trigger</x:v>
      </x:c>
      <x:c r="E119" t="str">
        <x:v>European Commission</x:v>
      </x:c>
      <x:c r="F119" t="str">
        <x:v>Primary government record</x:v>
      </x:c>
      <x:c r="G119" s="44" t="str">
        <x:v>https://policy.trade.ec.europa.eu/news/commission-imposes-provisional-safeguard-measures-imports-grain-oriented-electrical-steel-2026-09-18_en</x:v>
      </x:c>
      <x:c r="H119" s="44" t="str">
        <x:v>The Commission imposed provisional tariff-rate quotas and price thresholds on GOES, laminations and transformer cores, including cores already incorporated in transformers. The measures take effect September 25, follow a March investigation and are intended to protect strategic EU energy infrastructure.</x:v>
      </x:c>
      <x:c r="I119" s="44" t="str">
        <x:v>Confirms trigger and full-chain scope</x:v>
      </x:c>
      <x:c r="J119" s="44" t="n">
        <x:v>5</x:v>
      </x:c>
      <x:c r="K119" s="44" t="str">
        <x:v>The Commission says definitive measures require a qualified majority of at least 15 member states representing 65% of the EU population; the provisional step alone does not establish a durable company outcome.</x:v>
      </x:c>
    </x:row>
    <x:row r="120">
      <x:c r="A120" t="str">
        <x:v>EV-2026-115</x:v>
      </x:c>
      <x:c r="B120" t="str">
        <x:v>EEI-2026-010</x:v>
      </x:c>
      <x:c r="C120" s="21" t="n">
        <x:v>46284.33085648148</x:v>
      </x:c>
      <x:c r="D120" t="str">
        <x:v>Independent economic confirmation</x:v>
      </x:c>
      <x:c r="E120" t="str">
        <x:v>Reuters</x:v>
      </x:c>
      <x:c r="F120" t="str">
        <x:v>High quality reporting</x:v>
      </x:c>
      <x:c r="G120" s="44" t="str">
        <x:v>https://www.reuters.com/business/energy/eu-impose-provisional-safeguards-protect-electrical-steel-imports-2026-09-18/</x:v>
      </x:c>
      <x:c r="H120" s="44" t="str">
        <x:v>Reuters reported price floors of roughly EUR2,800-EUR3,400 per metric ton within quotas and EUR3,500 above them. Thyssenkrupp Steel Europe and Poland's Stalprodukt are among the last European producers; Chinese supply represented more than half of EU imports of the steel and downstream products in 2025.</x:v>
      </x:c>
      <x:c r="I120" s="44" t="str">
        <x:v>Supports pricing and utilization mechanism</x:v>
      </x:c>
      <x:c r="J120" s="44" t="n">
        <x:v>5</x:v>
      </x:c>
      <x:c r="K120" s="44" t="str">
        <x:v>The measure is provisional for 155 days. Beneficiary exposure is indirect or illiquid, and there is no reliable post-announcement market confirmation yet.</x:v>
      </x:c>
    </x:row>
    <x:row r="121">
      <x:c r="A121" t="str">
        <x:v>EV-2026-116</x:v>
      </x:c>
      <x:c r="B121" t="str">
        <x:v>EEI-2026-009</x:v>
      </x:c>
      <x:c r="C121" s="21" t="n">
        <x:v>46284.33085648148</x:v>
      </x:c>
      <x:c r="D121" t="str">
        <x:v>Physical supply confirmation</x:v>
      </x:c>
      <x:c r="E121" t="str">
        <x:v>Reuters / Bloomberg reporting</x:v>
      </x:c>
      <x:c r="F121" t="str">
        <x:v>High quality reporting</x:v>
      </x:c>
      <x:c r="G121" s="44" t="str">
        <x:v>https://www.reuters.com/business/energy/aramco-halts-october-crude-deliveries-some-european-refiners-after-pipeline-2026-09-18/</x:v>
      </x:c>
      <x:c r="H121" s="44" t="str">
        <x:v>Saudi Aramco halted October term crude deliveries to at least two European refiners after the East-West pipeline attack. Buyers sought North Sea replacement barrels while partial pipeline restart was expected sooner than full restoration.</x:v>
      </x:c>
      <x:c r="I121" s="44" t="str">
        <x:v>Strengthens feedstock-scarcity mechanism</x:v>
      </x:c>
      <x:c r="J121" s="44" t="n">
        <x:v>4</x:v>
      </x:c>
      <x:c r="K121" s="44" t="str">
        <x:v>Aramco did not immediately comment, and partial restoration plus alternative barrels could reduce the disruption before it reaches refinery throughput or margins.</x:v>
      </x:c>
    </x:row>
    <x:row r="122">
      <x:c r="A122" t="str">
        <x:v>EV-2026-117</x:v>
      </x:c>
      <x:c r="B122" t="str">
        <x:v>EEI-2026-009</x:v>
      </x:c>
      <x:c r="C122" s="21" t="n">
        <x:v>46284.33085648148</x:v>
      </x:c>
      <x:c r="D122" t="str">
        <x:v>Policy intervention modifier</x:v>
      </x:c>
      <x:c r="E122" t="str">
        <x:v>Reuters</x:v>
      </x:c>
      <x:c r="F122" t="str">
        <x:v>High quality reporting on official comments</x:v>
      </x:c>
      <x:c r="G122" s="44" t="str">
        <x:v>https://www.reuters.com/business/energy/frances-macron-says-g7-will-meet-discuss-energy-crisis-coming-weeks-2026-09-18/</x:v>
      </x:c>
      <x:c r="H122" s="44" t="str">
        <x:v>French President Emmanuel Macron said a G7 energy meeting would consider additional strategic-reserve releases or lifting restrictions to secure supplies during the energy crisis.</x:v>
      </x:c>
      <x:c r="I122" s="44" t="str">
        <x:v>Contradicts durability and caps trading edge</x:v>
      </x:c>
      <x:c r="J122" s="44" t="n">
        <x:v>4</x:v>
      </x:c>
      <x:c r="K122" s="44" t="str">
        <x:v>No coordinated release has been agreed. Reserve action can soften prices and logistics temporarily but may not cure a persistent physical chokepoint or refinery outage.</x:v>
      </x:c>
    </x:row>
    <x:row r="123">
      <x:c r="A123" t="str">
        <x:v>EV-2026-118</x:v>
      </x:c>
      <x:c r="B123"/>
      <x:c r="C123" s="21" t="n">
        <x:v>46284.33085648148</x:v>
      </x:c>
      <x:c r="D123" t="str">
        <x:v>Rejected government-award trigger</x:v>
      </x:c>
      <x:c r="E123" t="str">
        <x:v>Department of War</x:v>
      </x:c>
      <x:c r="F123" t="str">
        <x:v>Primary government contract announcement</x:v>
      </x:c>
      <x:c r="G123" s="44" t="str">
        <x:v>https://www.war.gov/News/Contracts/Contract/Article/4605498/contracts-for-sept-18-2026/</x:v>
      </x:c>
      <x:c r="H123" s="44" t="str">
        <x:v>Lockheed Martin Corp., parent Lockheed Martin, received Navy modification P00002 to IDIQ contract N0001926D0010. The $871,243,964 ceiling increase adds F-35 site-activation and sustainment capacity through February 2031; no funds were obligated at award, work is 90% El Segundo and 10% Fort Worth, and the modification was not competed. The relevant category is F-35 sustainment/support equipment; public NAICS or PSC detail was not identified in the announcement.</x:v>
      </x:c>
      <x:c r="I123" s="44" t="str">
        <x:v>Rejected as routine modification, not new award</x:v>
      </x:c>
      <x:c r="J123" s="44" t="n">
        <x:v>4</x:v>
      </x:c>
      <x:c r="K123" s="44" t="str">
        <x:v>Current and potential incremental value are the same ceiling increase, but obligation is zero until orders issue. Against Lockheed Martin's scale and established F-35 backlog, the change is not a distinct surprise or independently investable thesis.</x:v>
      </x:c>
    </x:row>
    <x:row r="124">
      <x:c r="A124" t="str">
        <x:v>EV-2026-119</x:v>
      </x:c>
      <x:c r="B124"/>
      <x:c r="C124" s="21" t="n">
        <x:v>46284.33085648148</x:v>
      </x:c>
      <x:c r="D124" t="str">
        <x:v>Rejected Motley Fool trigger</x:v>
      </x:c>
      <x:c r="E124" t="str">
        <x:v>The Motley Fool — Neil Patel</x:v>
      </x:c>
      <x:c r="F124" t="str">
        <x:v>Idea generator only</x:v>
      </x:c>
      <x:c r="G124" s="44" t="str">
        <x:v>https://www.fool.com/investing/2026/09/19/sofi-technologies-stock-buy-sell-hold-52-week-high/</x:v>
      </x:c>
      <x:c r="H124" s="44" t="str">
        <x:v>Free editorial at 5:00 a.m. ET recommended SOFI after a 49% drawdown, citing member growth, revenue growth and improving credit. The author and Motley Fool disclosed no position. Reuters independently confirmed strong July Q2 growth but also that an unchanged profit forecast drove a 9% post-report decline.</x:v>
      </x:c>
      <x:c r="I124" s="44" t="str">
        <x:v>Rejected; no new dated primary catalyst</x:v>
      </x:c>
      <x:c r="J124" s="44" t="n">
        <x:v>3</x:v>
      </x:c>
      <x:c r="K124" s="44" t="str">
        <x:v>Ticker SOFI; claimed variable revenue, member growth, credit performance and profit over five years. The underlying event is July earnings, credit risk remains the key bear case, and the article does not create a new entry trigger beyond price weakness.</x:v>
      </x:c>
    </x:row>
    <x:row r="125">
      <x:c r="A125" t="str">
        <x:v>EV-2026-120</x:v>
      </x:c>
      <x:c r="B125"/>
      <x:c r="C125" s="21" t="n">
        <x:v>46284.33085648148</x:v>
      </x:c>
      <x:c r="D125" t="str">
        <x:v>Rejected Motley Fool trigger</x:v>
      </x:c>
      <x:c r="E125" t="str">
        <x:v>The Motley Fool — Daniel Sparks</x:v>
      </x:c>
      <x:c r="F125" t="str">
        <x:v>Idea generator only</x:v>
      </x:c>
      <x:c r="G125" s="44" t="str">
        <x:v>https://www.fool.com/investing/2026/09/19/sandisk-joins-the-s-and-p-100-on-monday-the-same-day-nike-leaves-it/</x:v>
      </x:c>
      <x:c r="H125" s="44" t="str">
        <x:v>Free editorial at 12:53 a.m. ET discussed SNDK's September 21 S&amp;P 100 inclusion and NKE removal. The author and clients disclosed no positions; Motley Fool disclosed a Nike position. The article estimated only modest incremental index demand because Sandisk was already in the S&amp;P 500 and reported an 11% Friday jump.</x:v>
      </x:c>
      <x:c r="I125" s="44" t="str">
        <x:v>Rejected as already-priced index-flow timing</x:v>
      </x:c>
      <x:c r="J125" s="44" t="n">
        <x:v>3</x:v>
      </x:c>
      <x:c r="K125" s="44" t="str">
        <x:v>Tickers SNDK and NKE; claimed variable passive index demand over days. The article itself estimates flows small relative to normal volume, Friday supplied a sharp pre-event move, and slowing sequential growth leaves poor reward-to-invalidation for a fresh thesis.</x:v>
      </x:c>
    </x:row>
    <x:row r="126">
      <x:c r="A126" t="str">
        <x:v>EV-2026-121</x:v>
      </x:c>
      <x:c r="B126"/>
      <x:c r="C126" s="21" t="n">
        <x:v>46284.33085648148</x:v>
      </x:c>
      <x:c r="D126" t="str">
        <x:v>Rejected Motley Fool trigger</x:v>
      </x:c>
      <x:c r="E126" t="str">
        <x:v>The Motley Fool — Rick Orford</x:v>
      </x:c>
      <x:c r="F126" t="str">
        <x:v>Idea generator only</x:v>
      </x:c>
      <x:c r="G126" s="44" t="str">
        <x:v>https://www.fool.com/investing/2026/09/19/got-1000-2-no-brainer-nuclear-stocks-to-buy-right/</x:v>
      </x:c>
      <x:c r="H126" s="44" t="str">
        <x:v>Free editorial at 1:30 a.m. ET named OKLO and CCJ on rising nuclear demand. The author disclosed a Meta position; Motley Fool disclosed a Cameco position and recommendation. Oklo remained pre-revenue with a reported $124.2 million operating loss, while Cameco is an established uranium and Westinghouse exposure.</x:v>
      </x:c>
      <x:c r="I126" s="44" t="str">
        <x:v>Rejected as non-distinct secular theme</x:v>
      </x:c>
      <x:c r="J126" s="44" t="n">
        <x:v>2</x:v>
      </x:c>
      <x:c r="K126" s="44" t="str">
        <x:v>Tickers OKLO and CCJ; claimed variable nuclear demand and revenue over years. No new dated catalyst or favorable entry structure was identified, and Oklo's pre-revenue execution risk is materially different from Cameco's commodity and Westinghouse exposure.</x:v>
      </x:c>
    </x:row>
    <x:row r="127">
      <x:c r="A127" t="str">
        <x:v>EV-2026-122</x:v>
      </x:c>
      <x:c r="B127"/>
      <x:c r="C127" s="21" t="n">
        <x:v>46284.33085648148</x:v>
      </x:c>
      <x:c r="D127" t="str">
        <x:v>Rejected Motley Fool trigger</x:v>
      </x:c>
      <x:c r="E127" t="str">
        <x:v>The Motley Fool — Daniel Sparks</x:v>
      </x:c>
      <x:c r="F127" t="str">
        <x:v>Idea generator only</x:v>
      </x:c>
      <x:c r="G127" s="44" t="str">
        <x:v>https://www.fool.com/investing/2026/09/19/semiconductor-stocks-to-buy-and-hold-through-2030/</x:v>
      </x:c>
      <x:c r="H127" s="44" t="str">
        <x:v>Free editorial at 5:17 a.m. ET favored NVDA, AVGO and MRVL and held MU, using already-published company growth and guidance. The author and clients disclosed no positions; Motley Fool disclosed positions and recommendations in all four.</x:v>
      </x:c>
      <x:c r="I127" s="44" t="str">
        <x:v>Rejected as non-distinct and already repriced</x:v>
      </x:c>
      <x:c r="J127" s="44" t="n">
        <x:v>2</x:v>
      </x:c>
      <x:c r="K127" s="44" t="str">
        <x:v>Tickers NVDA, AVGO, MRVL and MU; claimed variable AI-chip revenue and margin durability through 2030. The article adds no new primary event, valuations and recent gains already incorporate strong growth, and the semiconductor-cycle bear case remains material.</x:v>
      </x:c>
    </x:row>
    <x:row r="128">
      <x:c r="A128" t="str">
        <x:v>EV-2026-123</x:v>
      </x:c>
      <x:c r="B128"/>
      <x:c r="C128" s="21" t="n">
        <x:v>46284.33085648148</x:v>
      </x:c>
      <x:c r="D128" t="str">
        <x:v>Rejected Motley Fool trigger</x:v>
      </x:c>
      <x:c r="E128" t="str">
        <x:v>The Motley Fool — Ryan Vanzo</x:v>
      </x:c>
      <x:c r="F128" t="str">
        <x:v>Idea generator only</x:v>
      </x:c>
      <x:c r="G128" s="44" t="str">
        <x:v>https://www.fool.com/investing/2026/09/19/3-wall-street-analysts-predict-100-upside-for-plug/</x:v>
      </x:c>
      <x:c r="H128" s="44" t="str">
        <x:v>Free editorial at 2:05 a.m. ET reviewed bullish analyst targets for PLUG but explicitly rejected the stock. The author disclosed no position; Motley Fool disclosed no Plug Power position or recommendation.</x:v>
      </x:c>
      <x:c r="I128" s="44" t="str">
        <x:v>Rejected; analyst targets are not confirmation</x:v>
      </x:c>
      <x:c r="J128" s="44" t="n">
        <x:v>2</x:v>
      </x:c>
      <x:c r="K128" s="44" t="str">
        <x:v>Ticker PLUG; claimed variable hydrogen revenue and cash burn over years. No new primary catalyst was established, and the writer's own conclusion plus financing and execution risk fail the basic escalation threshold.</x:v>
      </x:c>
    </x:row>
    <x:row r="129">
      <x:c r="A129" t="str">
        <x:v>EV-2026-124</x:v>
      </x:c>
      <x:c r="B129" t="str">
        <x:v>EEI-2026-003</x:v>
      </x:c>
      <x:c r="C129" s="53" t="n">
        <x:v>46284.4750462963</x:v>
      </x:c>
      <x:c r="D129" t="str">
        <x:v>Final market confirmation</x:v>
      </x:c>
      <x:c r="E129" t="str">
        <x:v>Reuters / market data</x:v>
      </x:c>
      <x:c r="F129" t="str">
        <x:v>High quality reporting and exchange quote data</x:v>
      </x:c>
      <x:c r="G129" s="44" t="str">
        <x:v>https://www.reuters.com/business/nasdaq-futures-lead-wall-st-gains-oil-retreat-eases-inflation-worries-2026-09-18/</x:v>
      </x:c>
      <x:c r="H129" s="44" t="str">
        <x:v>The S&amp;P 500 gained 0.17% and Nasdaq 0.40% on technology leadership, but decliners led 1.78-to-1 on the NYSE and 1.42-to-1 on Nasdaq; the 10-year Treasury yield topped 5% and crude stayed above $100.</x:v>
      </x:c>
      <x:c r="I129" s="44" t="str">
        <x:v>Weakens breadth mechanism</x:v>
      </x:c>
      <x:c r="J129" s="44" t="n">
        <x:v>5</x:v>
      </x:c>
      <x:c r="K129" s="44" t="str">
        <x:v>Final candidate closes reinforced the contradiction: RSP, IWM and XBI lagged SPY. XLI showed relative strength, while CPER rose and XLB fell sharply.</x:v>
      </x:c>
    </x:row>
    <x:row r="130">
      <x:c r="A130" t="str">
        <x:v>EV-2026-125</x:v>
      </x:c>
      <x:c r="B130" t="str">
        <x:v>EEI-2026-003</x:v>
      </x:c>
      <x:c r="C130" s="53" t="n">
        <x:v>46284.4750462963</x:v>
      </x:c>
      <x:c r="D130" t="str">
        <x:v>Political trigger update</x:v>
      </x:c>
      <x:c r="E130" t="str">
        <x:v>Reuters</x:v>
      </x:c>
      <x:c r="F130" t="str">
        <x:v>High quality reporting</x:v>
      </x:c>
      <x:c r="G130" s="44" t="str">
        <x:v>https://www.reuters.com/legal/government/lingering-feuds-threaten-democrats-bid-reclaim-us-congress-2026-09-19/</x:v>
      </x:c>
      <x:c r="H130" s="44" t="str">
        <x:v>Reuters reported unresolved coordination and endorsement disputes in several competitive states while control of both congressional chambers remains at stake.</x:v>
      </x:c>
      <x:c r="I130" s="44" t="str">
        <x:v>Confirms uncertainty; no control outcome</x:v>
      </x:c>
      <x:c r="J130" s="44" t="n">
        <x:v>4</x:v>
      </x:c>
      <x:c r="K130" s="44" t="str">
        <x:v>The reporting may affect campaign execution, but it does not independently establish House or Senate control or a specific economic-policy result.</x:v>
      </x:c>
    </x:row>
    <x:row r="131">
      <x:c r="A131" t="str">
        <x:v>EV-2026-126</x:v>
      </x:c>
      <x:c r="B131" t="str">
        <x:v>EEI-2026-003</x:v>
      </x:c>
      <x:c r="C131" s="53" t="n">
        <x:v>46284.4750462963</x:v>
      </x:c>
      <x:c r="D131" t="str">
        <x:v>Sector policy modifier</x:v>
      </x:c>
      <x:c r="E131" t="str">
        <x:v>Reuters</x:v>
      </x:c>
      <x:c r="F131" t="str">
        <x:v>High quality reporting</x:v>
      </x:c>
      <x:c r="G131" s="44" t="str">
        <x:v>https://www.reuters.com/legal/government/democrats-try-ride-data-center-backlash-election-victory-rural-us-midwest-2026-09-19/</x:v>
      </x:c>
      <x:c r="H131" s="44" t="str">
        <x:v>Ohio's governor suspended new data-center tax-exemption applications pending reforms, Defiance imposed a six-month approval moratorium, and competing policy proposals would make developers bear more power and infrastructure costs.</x:v>
      </x:c>
      <x:c r="I131" s="44" t="str">
        <x:v>Weakens indiscriminate data-center sector mapping</x:v>
      </x:c>
      <x:c r="J131" s="44" t="n">
        <x:v>4</x:v>
      </x:c>
      <x:c r="K131" s="44" t="str">
        <x:v>This is a state and local policy modifier, not a national congressional trigger. It raises execution risk for broad XLI/XLB expressions tied to data-center construction.</x:v>
      </x:c>
    </x:row>
    <x:row r="132">
      <x:c r="A132" t="str">
        <x:v>EV-2026-127</x:v>
      </x:c>
      <x:c r="B132" t="str">
        <x:v>EEI-2026-009</x:v>
      </x:c>
      <x:c r="C132" s="21" t="n">
        <x:v>46285.3341319444</x:v>
      </x:c>
      <x:c r="D132" t="str">
        <x:v>Refinery disruption confirmation</x:v>
      </x:c>
      <x:c r="E132" t="str">
        <x:v>Reuters</x:v>
      </x:c>
      <x:c r="F132" t="str">
        <x:v>High quality reporting</x:v>
      </x:c>
      <x:c r="G132" s="44" t="str">
        <x:v>https://www.reuters.com/world/europe/two-dead-moscow-region-drones-hit-oil-refinery-russian-capital-2026-09-20/</x:v>
      </x:c>
      <x:c r="H132" s="44" t="str">
        <x:v>A large Ukrainian drone attack damaged a unit at Moscow's Gazprom Neft refinery. The strike extends the sequence of Russian refinery disruptions while global diesel supply is already constrained.</x:v>
      </x:c>
      <x:c r="I132" s="44" t="str">
        <x:v>Strengthens refinery-capacity scarcity</x:v>
      </x:c>
      <x:c r="J132" s="44" t="n">
        <x:v>4</x:v>
      </x:c>
      <x:c r="K132" s="44" t="str">
        <x:v>Damage and downtime were not yet fully quantified. Russia may redirect output, repair capacity or use inventories, so the event confirms stress but not its duration.</x:v>
      </x:c>
    </x:row>
    <x:row r="133">
      <x:c r="A133" t="str">
        <x:v>EV-2026-128</x:v>
      </x:c>
      <x:c r="B133" t="str">
        <x:v>EEI-2026-009</x:v>
      </x:c>
      <x:c r="C133" s="21" t="n">
        <x:v>46285.3341319444</x:v>
      </x:c>
      <x:c r="D133" t="str">
        <x:v>Substitution and demand modifier</x:v>
      </x:c>
      <x:c r="E133" t="str">
        <x:v>Financial Times</x:v>
      </x:c>
      <x:c r="F133" t="str">
        <x:v>High quality reporting using observable fuel prices</x:v>
      </x:c>
      <x:c r="G133" s="44" t="str">
        <x:v>https://www.ft.com/content/e2cbfd2e-ee56-4d8b-a403-cbaae4cce191</x:v>
      </x:c>
      <x:c r="H133" s="44" t="str">
        <x:v>European marine biodiesel was reported near $985 per metric ton versus about $1,528.50 for marine gasoil, while EU emissions rules improve the compliance economics of switching.</x:v>
      </x:c>
      <x:c r="I133" s="44" t="str">
        <x:v>Contradicts unlimited fossil-diesel demand</x:v>
      </x:c>
      <x:c r="J133" s="44" t="n">
        <x:v>5</x:v>
      </x:c>
      <x:c r="K133" s="44" t="str">
        <x:v>Availability, blending limits and vessel compatibility constrain immediate substitution. The price inversion is nevertheless a concrete cap on the durability of extreme marine-gasoil demand.</x:v>
      </x:c>
    </x:row>
    <x:row r="134">
      <x:c r="A134" t="str">
        <x:v>EV-2026-129</x:v>
      </x:c>
      <x:c r="B134" t="str">
        <x:v>EEI-2026-009</x:v>
      </x:c>
      <x:c r="C134" s="21" t="n">
        <x:v>46285.3341319444</x:v>
      </x:c>
      <x:c r="D134" t="str">
        <x:v>Independent physical-market confirmation</x:v>
      </x:c>
      <x:c r="E134" t="str">
        <x:v>Wall Street Journal</x:v>
      </x:c>
      <x:c r="F134" t="str">
        <x:v>High quality independent reporting</x:v>
      </x:c>
      <x:c r="G134" s="44" t="str">
        <x:v>https://www.wsj.com/business/energy-oil/refineries-are-now-the-main-chokepoint-for-global-energy-supplies-f923e1ba</x:v>
      </x:c>
      <x:c r="H134" s="44" t="str">
        <x:v>The Wall Street Journal identified refineries as the principal global energy chokepoint, with Gulf and Russian diesel exports falling and U.S. diesel reaching $6.45 per gallon on September 18.</x:v>
      </x:c>
      <x:c r="I134" s="44" t="str">
        <x:v>Confirms economic variable and mechanism</x:v>
      </x:c>
      <x:c r="J134" s="44" t="n">
        <x:v>5</x:v>
      </x:c>
      <x:c r="K134" s="44" t="str">
        <x:v>Record product prices invite conservation, substitution, emergency policy action and faster logistics adjustment. The article confirms scarcity but also reinforces headline-chasing risk.</x:v>
      </x:c>
    </x:row>
    <x:row r="135">
      <x:c r="A135" t="str">
        <x:v>EV-2026-130</x:v>
      </x:c>
      <x:c r="B135"/>
      <x:c r="C135" s="21" t="n">
        <x:v>46285.3341319444</x:v>
      </x:c>
      <x:c r="D135" t="str">
        <x:v>Rejected Motley Fool trigger</x:v>
      </x:c>
      <x:c r="E135" t="str">
        <x:v>The Motley Fool — Courtney Carlsen</x:v>
      </x:c>
      <x:c r="F135" t="str">
        <x:v>Idea generator only</x:v>
      </x:c>
      <x:c r="G135" s="44" t="str">
        <x:v>https://www.fool.com/investing/2026/09/20/plug-power-vs-bloom-energy-which-hydrogen-adjacent/</x:v>
      </x:c>
      <x:c r="H135" s="44" t="str">
        <x:v>Free editorial at 2:05 a.m. ET favored Bloom Energy over Plug Power on data-center power demand, revenue growth and profitability. The author disclosed a Bloom Energy position; Motley Fool disclosed positions and recommendations in Bloom Energy and Brookfield.</x:v>
      </x:c>
      <x:c r="I135" s="44" t="str">
        <x:v>Rejected as an already-repriced catalyst</x:v>
      </x:c>
      <x:c r="J135" s="44" t="n">
        <x:v>3</x:v>
      </x:c>
      <x:c r="K135" s="44" t="str">
        <x:v>Ticker BE; claimed variable on-site data-center power revenue, earnings and backlog over years. Independent reporting confirmed Q1 revenue of $751.1 million, a $70.7 million profit, raised 2026 guidance and a $5 billion Brookfield commitment, but the stock had risen more than 1,000% in 12 months. No new dated primary catalyst or favorable entry structure was established.</x:v>
      </x:c>
    </x:row>
    <x:row r="136">
      <x:c r="A136" t="str">
        <x:v>EV-2026-131</x:v>
      </x:c>
      <x:c r="B136"/>
      <x:c r="C136" s="21" t="n">
        <x:v>46285.3341319444</x:v>
      </x:c>
      <x:c r="D136" t="str">
        <x:v>Rejected Motley Fool trigger</x:v>
      </x:c>
      <x:c r="E136" t="str">
        <x:v>The Motley Fool — Parkev Tatevosian, CFA</x:v>
      </x:c>
      <x:c r="F136" t="str">
        <x:v>Idea generator only</x:v>
      </x:c>
      <x:c r="G136" s="44" t="str">
        <x:v>https://www.fool.com/investing/2026/09/20/why-is-everyone-talking-about-planet-labs-stock/</x:v>
      </x:c>
      <x:c r="H136" s="44" t="str">
        <x:v>Free editorial published September 20 used rising geopolitical tension as the reason for renewed attention to Planet Labs. The author disclosed no position; Motley Fool disclosed ownership and a recommendation in Planet Labs and affiliate compensation where applicable.</x:v>
      </x:c>
      <x:c r="I136" s="44" t="str">
        <x:v>Rejected; no new company catalyst</x:v>
      </x:c>
      <x:c r="J136" s="44" t="n">
        <x:v>3</x:v>
      </x:c>
      <x:c r="K136" s="44" t="str">
        <x:v>Ticker PL; claimed variable defense and intelligence imagery demand over years. Independent reporting confirmed 41% quarterly revenue growth and a $900 million backlog, but the stock had already risen several hundred percent over 12 months and a $1.5 billion capital-raise program adds dilution risk. The article relied on September 17 prices and did not identify a new primary event.</x:v>
      </x:c>
    </x:row>
    <x:row r="137">
      <x:c r="A137" t="str">
        <x:v>EV-2026-132</x:v>
      </x:c>
      <x:c r="B137"/>
      <x:c r="C137" s="21" t="n">
        <x:v>46285.3341319444</x:v>
      </x:c>
      <x:c r="D137" t="str">
        <x:v>Rejected government-award and Motley Fool trigger</x:v>
      </x:c>
      <x:c r="E137" t="str">
        <x:v>The Motley Fool — Rich Smith; U.S. Navy contract reporting</x:v>
      </x:c>
      <x:c r="F137" t="str">
        <x:v>Idea generator plus reported government award</x:v>
      </x:c>
      <x:c r="G137" s="44" t="str">
        <x:v>https://www.fool.com/investing/2026/09/20/boeings-mq-25a-stingray-drone-costs-184-million/</x:v>
      </x:c>
      <x:c r="H137" s="44" t="str">
        <x:v>Free editorial at 5:05 a.m. ET highlighted a reported $552 million fixed-price Navy award to Boeing for three MQ-25 Lot One aircraft and long-lead work for three Lot Two aircraft, with completion expected in 2031.</x:v>
      </x:c>
      <x:c r="I137" s="44" t="str">
        <x:v>Rejected pending primary award detail and materiality</x:v>
      </x:c>
      <x:c r="J137" s="44" t="n">
        <x:v>3</x:v>
      </x:c>
      <x:c r="K137" s="44" t="str">
        <x:v>Ticker BA; claimed variable unmanned-aircraft revenue and backlog over years. The accessible public report did not establish the award identifier, obligation amount, competition status, NAICS/PSC or full period-of-performance record. Even the stated ceiling is small relative to Boeing's annual revenue and established defense backlog, so it does not clear the surprise-and-materiality threshold.</x:v>
      </x:c>
    </x:row>
    <x:row r="138">
      <x:c r="A138" t="str">
        <x:v>EV-2026-133</x:v>
      </x:c>
      <x:c r="B138"/>
      <x:c r="C138" s="21" t="n">
        <x:v>46285.3341319444</x:v>
      </x:c>
      <x:c r="D138" t="str">
        <x:v>Rejected Motley Fool trigger</x:v>
      </x:c>
      <x:c r="E138" t="str">
        <x:v>The Motley Fool — Reuben Gregg Brewer</x:v>
      </x:c>
      <x:c r="F138" t="str">
        <x:v>Idea generator only</x:v>
      </x:c>
      <x:c r="G138" s="44" t="str">
        <x:v>https://www.fool.com/investing/2026/09/20/this-overlooked-pipeline-stock-just-became-a-rival/</x:v>
      </x:c>
      <x:c r="H138" s="44" t="str">
        <x:v>Free editorial at 1:15 a.m. ET highlighted MPLX's participation with WhiteWater, Devon, Diamondback and Western Midstream in two Permian-to-Katy natural-gas pipeline projects. The accessible article summary did not provide a new dated transaction beyond the previously announced final investment decision.</x:v>
      </x:c>
      <x:c r="I138" s="44" t="str">
        <x:v>Rejected as stale, non-distinct infrastructure catalyst</x:v>
      </x:c>
      <x:c r="J138" s="44" t="n">
        <x:v>3</x:v>
      </x:c>
      <x:c r="K138" s="44" t="str">
        <x:v>Ticker MPLX; claimed variable pipeline throughput and distributable cash flow over years. Reuters had already reported the final investment decision on August 17. Capital-cost, construction and volume risks remain, and no new primary event or favorable Entry Window was established on September 20.</x:v>
      </x:c>
    </x:row>
    <x:row r="139">
      <x:c r="A139" t="str">
        <x:v>EV-2026-134</x:v>
      </x:c>
      <x:c r="B139" t="str">
        <x:v>EEI-2026-003</x:v>
      </x:c>
      <x:c r="C139" s="53" t="n">
        <x:v>46285.4907638889</x:v>
      </x:c>
      <x:c r="D139" t="str">
        <x:v>Macro contradiction</x:v>
      </x:c>
      <x:c r="E139" t="str">
        <x:v>Reuters</x:v>
      </x:c>
      <x:c r="F139" t="str">
        <x:v>High quality reporting of a Federal Reserve official's remarks</x:v>
      </x:c>
      <x:c r="G139" s="44" t="str">
        <x:v>https://www.reuters.com/business/feds-kashkari-says-inflation-goes-beyond-oil-prices-according-fox-news-interview-2026-09-20/</x:v>
      </x:c>
      <x:c r="H139" s="44" t="str">
        <x:v>Minneapolis Fed President Neel Kashkari said inflation remains too high across the U.S. economy even after excluding volatile energy and food, and supported the September quarter-point rate increase.</x:v>
      </x:c>
      <x:c r="I139" s="44" t="str">
        <x:v>Strengthens inflation-to-rates contradiction</x:v>
      </x:c>
      <x:c r="J139" s="44" t="n">
        <x:v>5</x:v>
      </x:c>
      <x:c r="K139" s="44" t="str">
        <x:v>This weakens the idea that an oil retreat by itself would clear the macro hurdle for broadening. It does not invalidate the midterm uncertainty-relief mechanism, but it lowers the near-term trading edge.</x:v>
      </x:c>
    </x:row>
    <x:row r="140">
      <x:c r="A140" t="str">
        <x:v>EV-2026-135</x:v>
      </x:c>
      <x:c r="B140" t="str">
        <x:v>EEI-2026-003</x:v>
      </x:c>
      <x:c r="C140" s="53" t="n">
        <x:v>46285.4907638889</x:v>
      </x:c>
      <x:c r="D140" t="str">
        <x:v>Trade and sector-policy modifier</x:v>
      </x:c>
      <x:c r="E140" t="str">
        <x:v>Reuters</x:v>
      </x:c>
      <x:c r="F140" t="str">
        <x:v>High quality reporting</x:v>
      </x:c>
      <x:c r="G140" s="44" t="str">
        <x:v>https://www.reuters.com/business/finance/us-treasurys-bessent-chinas-he-launch-talks-ai-trade-critical-minerals-2026-09-20/</x:v>
      </x:c>
      <x:c r="H140" s="44" t="str">
        <x:v>U.S. and Chinese officials began talks on tariffs, AI guardrails and critical-mineral flows ahead of a presidential summit. The trade truce expires November 10, and no agreement had been announced during this check.</x:v>
      </x:c>
      <x:c r="I140" s="44" t="str">
        <x:v>Mixed modifier; no election trigger</x:v>
      </x:c>
      <x:c r="J140" s="44" t="n">
        <x:v>4</x:v>
      </x:c>
      <x:c r="K140" s="44" t="str">
        <x:v>Incremental de-escalation could help industrial, materials and technology supply chains, while renewed tariffs would be adverse. The talks do not establish House or Senate control or a clean candidate-sector signal.</x:v>
      </x:c>
    </x:row>
    <x:row r="141">
      <x:c r="A141" t="str">
        <x:v>EV-2026-136</x:v>
      </x:c>
      <x:c r="B141" t="str">
        <x:v>EEI-2026-002</x:v>
      </x:c>
      <x:c r="C141" s="21" t="n">
        <x:v>46286.35158564815</x:v>
      </x:c>
      <x:c r="D141" t="str">
        <x:v>Supporting supply evidence</x:v>
      </x:c>
      <x:c r="E141" t="str">
        <x:v>Reuters reporting of QatarEnergy CEO remarks</x:v>
      </x:c>
      <x:c r="F141" t="str">
        <x:v>High quality reporting of company statements</x:v>
      </x:c>
      <x:c r="G141" s="44" t="str">
        <x:v>https://www.reuters.com/business/energy/qatarenergy-says-hormuz-crisis-may-delay-lng-expansion-projects-2026-09-21/</x:v>
      </x:c>
      <x:c r="H141" s="44" t="str">
        <x:v>QatarEnergy said attacks disabled 17% of national LNG capacity, repairs to two trains may take three years and later North Field expansion trains depend on restoration of Hormuz logistics.</x:v>
      </x:c>
      <x:c r="I141" s="44" t="str">
        <x:v>Strengthens duration and mechanism</x:v>
      </x:c>
      <x:c r="J141" s="44" t="n">
        <x:v>5</x:v>
      </x:c>
      <x:c r="K141" s="44" t="str">
        <x:v>The first North Field East train remains targeted for first-half 2027. QatarEnergy also said normal gas operations could resume within weeks if Hormuz reopens, which is the central contradiction.</x:v>
      </x:c>
    </x:row>
    <x:row r="142">
      <x:c r="A142" t="str">
        <x:v>EV-2026-137</x:v>
      </x:c>
      <x:c r="B142" t="str">
        <x:v>EEI-2026-002</x:v>
      </x:c>
      <x:c r="C142" s="21" t="n">
        <x:v>46286.35158564815</x:v>
      </x:c>
      <x:c r="D142" t="str">
        <x:v>Modifier and contradiction</x:v>
      </x:c>
      <x:c r="E142" t="str">
        <x:v>Reuters</x:v>
      </x:c>
      <x:c r="F142" t="str">
        <x:v>High quality reporting</x:v>
      </x:c>
      <x:c r="G142" s="44" t="str">
        <x:v>https://www.reuters.com/business/energy/lng-buyers-sellers-seek-greater-supply-diversity-amid-iran-war-2026-09-21/</x:v>
      </x:c>
      <x:c r="H142" s="44" t="str">
        <x:v>Buyers are shifting toward West Africa, Indonesia, North America, Australia and China. New capacity and flexible shipping limited the estimated net 2026 global LNG supply loss to about 5 million tons despite a 36 million-ton Middle East reduction.</x:v>
      </x:c>
      <x:c r="I142" s="44" t="str">
        <x:v>Limits net gas scarcity</x:v>
      </x:c>
      <x:c r="J142" s="44" t="n">
        <x:v>5</x:v>
      </x:c>
      <x:c r="K142" s="44" t="str">
        <x:v>Diversification can cap the coal-switching mechanism, although it does not eliminate regional price and reliability stress.</x:v>
      </x:c>
    </x:row>
    <x:row r="143">
      <x:c r="A143" t="str">
        <x:v>EV-2026-138</x:v>
      </x:c>
      <x:c r="B143" t="str">
        <x:v>EEI-2026-002</x:v>
      </x:c>
      <x:c r="C143" s="21" t="n">
        <x:v>46286.35158564815</x:v>
      </x:c>
      <x:c r="D143" t="str">
        <x:v>Demand confirmation with implementation risk</x:v>
      </x:c>
      <x:c r="E143" t="str">
        <x:v>Reuters citing Indian Central Electricity Authority data</x:v>
      </x:c>
      <x:c r="F143" t="str">
        <x:v>High quality reporting of government data</x:v>
      </x:c>
      <x:c r="G143" s="44" t="str">
        <x:v>https://www.reuters.com/business/energy/nearly-40-indias-coal-power-plants-running-critically-low-fuel-data-show-2026-09-21/</x:v>
      </x:c>
      <x:c r="H143" s="44" t="str">
        <x:v>Seventy-four Indian coal plants had critically low stocks as of September 19 and August coal imports reached a 15-month high as heat-driven demand rose and hydropower lagged.</x:v>
      </x:c>
      <x:c r="I143" s="44" t="str">
        <x:v>Strengthens coal-demand variable</x:v>
      </x:c>
      <x:c r="J143" s="44" t="n">
        <x:v>5</x:v>
      </x:c>
      <x:c r="K143" s="44" t="str">
        <x:v>Analysts described the stock shortage as a temporary logistics issue. Renewable generation rose 21%, and low on-site stocks can constrain generation even when demand is strong.</x:v>
      </x:c>
    </x:row>
    <x:row r="144">
      <x:c r="A144" t="str">
        <x:v>EV-2026-139</x:v>
      </x:c>
      <x:c r="B144" t="str">
        <x:v>EEI-2026-009</x:v>
      </x:c>
      <x:c r="C144" s="21" t="n">
        <x:v>46286.35158564815</x:v>
      </x:c>
      <x:c r="D144" t="str">
        <x:v>Supporting physical and horizon evidence</x:v>
      </x:c>
      <x:c r="E144" t="str">
        <x:v>Reuters citing U.S. EIA and storage data</x:v>
      </x:c>
      <x:c r="F144" t="str">
        <x:v>High quality reporting of primary statistics</x:v>
      </x:c>
      <x:c r="G144" s="44" t="str">
        <x:v>https://www.reuters.com/business/energy/global-diesel-shortage-likely-last-into-2027-as-storage-tanks-drain-2026-09-21/</x:v>
      </x:c>
      <x:c r="H144" s="44" t="str">
        <x:v>U.S. diesel inventories were 107.9 million barrels by September 11, the lowest comparable September level in EIA records since 1982. EIA expects stocks below the five-year low through end-2026 and most of 2027; the U.S. diesel crack hit a record $118.62 per barrel on September 14.</x:v>
      </x:c>
      <x:c r="I144" s="44" t="str">
        <x:v>Strengthens variable and extends duration</x:v>
      </x:c>
      <x:c r="J144" s="44" t="n">
        <x:v>5</x:v>
      </x:c>
      <x:c r="K144" s="44" t="str">
        <x:v>Record margins encourage more output, China is raising exports and high prices can destroy demand. The data strengthen the thesis but do not improve the entry.</x:v>
      </x:c>
    </x:row>
    <x:row r="145">
      <x:c r="A145" t="str">
        <x:v>EV-2026-140</x:v>
      </x:c>
      <x:c r="B145" t="str">
        <x:v>EEI-2026-011</x:v>
      </x:c>
      <x:c r="C145" s="21" t="n">
        <x:v>46286.35158564815</x:v>
      </x:c>
      <x:c r="D145" t="str">
        <x:v>Trigger and market confirmation</x:v>
      </x:c>
      <x:c r="E145" t="str">
        <x:v>Reuters Open Interest — Ron Bousso</x:v>
      </x:c>
      <x:c r="F145" t="str">
        <x:v>Expert analysis using Kpler and LSEG data</x:v>
      </x:c>
      <x:c r="G145" s="44" t="str">
        <x:v>https://www.reuters.com/commentary/reuters-open-interest/hormuz-shuttles-keep-oil-flowing-high-cost-2026-09-21/</x:v>
      </x:c>
      <x:c r="H145" s="44" t="str">
        <x:v>Gulf ship-to-ship crude transfers rose to about 2.5 million bpd in September from 1.4 million in August, while Gulf-to-China VLCC freight exceeded $30 per barrel.</x:v>
      </x:c>
      <x:c r="I145" s="44" t="str">
        <x:v>Confirms freight variable and mechanism</x:v>
      </x:c>
      <x:c r="J145" s="44" t="n">
        <x:v>4</x:v>
      </x:c>
      <x:c r="K145" s="44" t="str">
        <x:v>This is analysis rather than a primary record. The underlying Kpler and LSEG observations are independently observable, while route normalization could reverse the capacity squeeze.</x:v>
      </x:c>
    </x:row>
    <x:row r="146">
      <x:c r="A146" t="str">
        <x:v>EV-2026-141</x:v>
      </x:c>
      <x:c r="B146" t="str">
        <x:v>EEI-2026-011</x:v>
      </x:c>
      <x:c r="C146" s="21" t="n">
        <x:v>46286.35158564815</x:v>
      </x:c>
      <x:c r="D146" t="str">
        <x:v>Independent market confirmation</x:v>
      </x:c>
      <x:c r="E146" t="str">
        <x:v>The Wall Street Journal</x:v>
      </x:c>
      <x:c r="F146" t="str">
        <x:v>High quality independent reporting</x:v>
      </x:c>
      <x:c r="G146" s="44" t="str">
        <x:v>https://www.wsj.com/logistics-report/tanker-shortage-sends-oil-shipping-rates-soaring-d526cdb7</x:v>
      </x:c>
      <x:c r="H146" s="44" t="str">
        <x:v>The cost of hiring a Gulf-loading supertanker exceeded $1 million per day, or about $26 per barrel, as shuttle operations and longer routes tightened vessel availability.</x:v>
      </x:c>
      <x:c r="I146" s="44" t="str">
        <x:v>Confirms record freight and tanker scarcity</x:v>
      </x:c>
      <x:c r="J146" s="44" t="n">
        <x:v>5</x:v>
      </x:c>
      <x:c r="K146" s="44" t="str">
        <x:v>Freight is already at an extreme, so the observation confirms the economics but also raises reversal and headline-chasing risk.</x:v>
      </x:c>
    </x:row>
    <x:row r="147">
      <x:c r="A147" t="str">
        <x:v>EV-2026-142</x:v>
      </x:c>
      <x:c r="B147" t="str">
        <x:v>EEI-2026-011</x:v>
      </x:c>
      <x:c r="C147" s="21" t="n">
        <x:v>46286.35158564815</x:v>
      </x:c>
      <x:c r="D147" t="str">
        <x:v>Corporate industry confirmation</x:v>
      </x:c>
      <x:c r="E147" t="str">
        <x:v>Reuters reporting a Trafigura statement</x:v>
      </x:c>
      <x:c r="F147" t="str">
        <x:v>High quality reporting of company statement</x:v>
      </x:c>
      <x:c r="G147" s="44" t="str">
        <x:v>https://www.reuters.com/business/energy/trafigura-launches-volare-tanker-arm-plans-oslo-listing-2026-09-21/</x:v>
      </x:c>
      <x:c r="H147" s="44" t="str">
        <x:v>Trafigura launched Volare Shipping with six operating VLCCs and eight newbuilds and plans a $500 million private placement before an expected Oslo listing around October 5.</x:v>
      </x:c>
      <x:c r="I147" s="44" t="str">
        <x:v>Confirms industry capital response</x:v>
      </x:c>
      <x:c r="J147" s="44" t="n">
        <x:v>5</x:v>
      </x:c>
      <x:c r="K147" s="44" t="str">
        <x:v>The newbuild program supports near-term earnings capacity but becomes a medium-term oversupply risk. The listing remains conditional on the placement and exchange approval.</x:v>
      </x:c>
    </x:row>
    <x:row r="148">
      <x:c r="A148" t="str">
        <x:v>EV-2026-143</x:v>
      </x:c>
      <x:c r="B148"/>
      <x:c r="C148" s="21" t="n">
        <x:v>46286.35158564815</x:v>
      </x:c>
      <x:c r="D148" t="str">
        <x:v>Rejected Motley Fool trigger</x:v>
      </x:c>
      <x:c r="E148" t="str">
        <x:v>The Motley Fool — Motley Fool Staff</x:v>
      </x:c>
      <x:c r="F148" t="str">
        <x:v>Idea generator only</x:v>
      </x:c>
      <x:c r="G148" s="44" t="str">
        <x:v>https://www.fool.com/investing/2026/09/20/bloom-energys-time-to-power-moat/</x:v>
      </x:c>
      <x:c r="H148" s="44" t="str">
        <x:v>Free editorial podcast published September 20 at 3:06 p.m. ET discussed power-generation bottlenecks as a benefit for Bloom Energy and Enphase. The accessible page did not disclose an individual author position or identify an official paid-service recommendation.</x:v>
      </x:c>
      <x:c r="I148" s="44" t="str">
        <x:v>Rejected as a repeated and already-priced catalyst</x:v>
      </x:c>
      <x:c r="J148" s="44" t="n">
        <x:v>3</x:v>
      </x:c>
      <x:c r="K148" s="44" t="str">
        <x:v>Tickers BE and ENPH. Claimed variable: distributed power revenue and backlog over years through faster time-to-power. Existing primary results support Bloom's growth, but this article added no new dated catalyst. BE traded near $265 with a market value near $86 billion and a triple-digit earnings multiple in early September 21 pricing, leaving unfavorable entry risk.</x:v>
      </x:c>
    </x:row>
    <x:row r="149">
      <x:c r="A149" t="str">
        <x:v>EV-2026-144</x:v>
      </x:c>
      <x:c r="B149" t="str">
        <x:v>EEI-2026-003</x:v>
      </x:c>
      <x:c r="C149" s="21" t="n">
        <x:v>46286.35158564815</x:v>
      </x:c>
      <x:c r="D149" t="str">
        <x:v>Election policy observation</x:v>
      </x:c>
      <x:c r="E149" t="str">
        <x:v>Associated Press</x:v>
      </x:c>
      <x:c r="F149" t="str">
        <x:v>High quality reporting</x:v>
      </x:c>
      <x:c r="G149" s="44" t="str">
        <x:v>https://apnews.com/article/5af8003c075bcecdc0b31d389c1be1b1</x:v>
      </x:c>
      <x:c r="H149" s="44" t="str">
        <x:v>Nevada's 3rd District campaign is using the enacted federal tip-income tax provision as a local policy issue, while tourism weakness and debate over Medicaid and SNAP cuts remain competing economic concerns.</x:v>
      </x:c>
      <x:c r="I149" s="44" t="str">
        <x:v>Factual policy-to-campaign link; no control conclusion</x:v>
      </x:c>
      <x:c r="J149" s="44"/>
      <x:c r="K149" s="44" t="str">
        <x:v>This single-district report does not establish House or Senate control and does not change the thesis stage or Entry Window. It is recorded separately from energy evidence.</x:v>
      </x:c>
    </x:row>
    <x:row r="150">
      <x:c r="A150" t="str">
        <x:v>EV-2026-145</x:v>
      </x:c>
      <x:c r="B150" t="str">
        <x:v>EEI-2026-003</x:v>
      </x:c>
      <x:c r="C150" s="53" t="n">
        <x:v>46286.4643402778</x:v>
      </x:c>
      <x:c r="D150" t="str">
        <x:v>Intraday market confirmation</x:v>
      </x:c>
      <x:c r="E150" t="str">
        <x:v>Reuters and delayed ETF market data</x:v>
      </x:c>
      <x:c r="F150" t="str">
        <x:v>High quality reporting and quoted market data</x:v>
      </x:c>
      <x:c r="G150" s="44" t="str">
        <x:v>https://www.reuters.com/business/wall-st-futures-rise-ai-stocks-gain-oil-prices-slide-2026-09-21/</x:v>
      </x:c>
      <x:c r="H150" s="44" t="str">
        <x:v>Reuters reported positive exchange breadth, oil down more than 3% and the 10-year yield below 5%, but AI-linked stocks led the indexes. Delayed quotes showed SPY +0.98% versus RSP -0.05%; XLI, XLB and XLF also lagged, while XBI outperformed and IWM rose less than SPY.</x:v>
      </x:c>
      <x:c r="I150" s="44" t="str">
        <x:v>Mixed participation; weakens core breadth confirmation</x:v>
      </x:c>
      <x:c r="J150" s="44" t="n">
        <x:v>5</x:v>
      </x:c>
      <x:c r="K150" s="44" t="str">
        <x:v>The favorable macro shift did not translate into equal-weight or cyclical leadership. XBI is the only listed candidate that outperformed SPY during the check; one intraday reading is insufficient for escalation.</x:v>
      </x:c>
    </x:row>
    <x:row r="151">
      <x:c r="A151" t="str">
        <x:v>EV-2026-146</x:v>
      </x:c>
      <x:c r="B151" t="str">
        <x:v>EEI-2026-003</x:v>
      </x:c>
      <x:c r="C151" s="53" t="n">
        <x:v>46286.4643402778</x:v>
      </x:c>
      <x:c r="D151" t="str">
        <x:v>Campaign trigger update</x:v>
      </x:c>
      <x:c r="E151" t="str">
        <x:v>Reuters</x:v>
      </x:c>
      <x:c r="F151" t="str">
        <x:v>High quality factual reporting</x:v>
      </x:c>
      <x:c r="G151" s="44" t="str">
        <x:v>https://www.reuters.com/legal/government/trumps-favorite-2026-campaign-target-is-biden-nearly-900-mentions-counting-2026-09-21/</x:v>
      </x:c>
      <x:c r="H151" s="44" t="str">
        <x:v>Reuters reported that current campaign messaging remains heavily focused on the economy, affordability, immigration and foreign policy with six weeks remaining before the midterm elections.</x:v>
      </x:c>
      <x:c r="I151" s="44" t="str">
        <x:v>Confirms campaign intensity; no chamber-control conclusion</x:v>
      </x:c>
      <x:c r="J151" s="44"/>
      <x:c r="K151" s="44" t="str">
        <x:v>The reporting does not independently establish House or Senate control, a legislative outcome or a direct investable sector catalyst.</x:v>
      </x:c>
    </x:row>
    <x:row r="152">
      <x:c r="A152" t="str">
        <x:v>EV-2026-147</x:v>
      </x:c>
      <x:c r="B152" t="str">
        <x:v>EEI-2026-003</x:v>
      </x:c>
      <x:c r="C152" s="53" t="n">
        <x:v>46286.4643402778</x:v>
      </x:c>
      <x:c r="D152" t="str">
        <x:v>Trade and technology-policy modifier</x:v>
      </x:c>
      <x:c r="E152" t="str">
        <x:v>Reuters</x:v>
      </x:c>
      <x:c r="F152" t="str">
        <x:v>High quality factual reporting</x:v>
      </x:c>
      <x:c r="G152" s="44" t="str">
        <x:v>https://www.reuters.com/world/asia-pacific/us-china-meet-again-ai-safety-two-months-shenzhen-bessent-says-2026-09-21/</x:v>
      </x:c>
      <x:c r="H152" s="44" t="str">
        <x:v>U.S. and Chinese officials agreed to establish an AI-safety dialogue and incident line. They discussed the trade truce but did not announce an extension beyond its November 10 expiration.</x:v>
      </x:c>
      <x:c r="I152" s="44" t="str">
        <x:v>Mixed sector modifier; no election trigger</x:v>
      </x:c>
      <x:c r="J152" s="44"/>
      <x:c r="K152" s="44" t="str">
        <x:v>The dialogue may reduce one technology-policy uncertainty, while the unresolved tariff deadline remains relevant to industrial, materials and technology supply chains. It does not establish a congressional outcome.</x:v>
      </x:c>
    </x:row>
    <x:row r="153">
      <x:c r="A153" t="str">
        <x:v>EV-2026-148</x:v>
      </x:c>
      <x:c r="B153" t="str">
        <x:v>EEI-2026-001</x:v>
      </x:c>
      <x:c r="C153" s="21" t="n">
        <x:v>46286.68511574074</x:v>
      </x:c>
      <x:c r="D153" t="str">
        <x:v>Post-horizon paper-trade outcome</x:v>
      </x:c>
      <x:c r="E153" t="str">
        <x:v>S&amp;P Global Market Intelligence via StockAnalysis</x:v>
      </x:c>
      <x:c r="F153" t="str">
        <x:v>Daily closing market data</x:v>
      </x:c>
      <x:c r="G153" s="44" t="str">
        <x:v>https://stockanalysis.com/etf/bno/history/</x:v>
      </x:c>
      <x:c r="H153" s="44" t="str">
        <x:v>BNO closed September 21 at $58.85 versus the $57.21 September 8 opening entry; the $1,000 paper position was worth $1,028.67, up $28.67 or 2.87%.</x:v>
      </x:c>
      <x:c r="I153" s="44" t="str">
        <x:v>Direct expression remains positive; edge materially reduced</x:v>
      </x:c>
      <x:c r="J153" s="44" t="n">
        <x:v>5</x:v>
      </x:c>
      <x:c r="K153" s="44" t="str">
        <x:v>Fractional shares: 17.47946163. Continued tracking after the September 18 evaluation; the completed thesis outcome is not reopened. Hypothetical paper trade only.</x:v>
      </x:c>
    </x:row>
    <x:row r="154">
      <x:c r="A154" t="str">
        <x:v>EV-2026-149</x:v>
      </x:c>
      <x:c r="B154" t="str">
        <x:v>EEI-2026-001</x:v>
      </x:c>
      <x:c r="C154" s="21" t="n">
        <x:v>46286.68511574074</x:v>
      </x:c>
      <x:c r="D154" t="str">
        <x:v>Post-horizon paper-trade outcome</x:v>
      </x:c>
      <x:c r="E154" t="str">
        <x:v>S&amp;P Global Market Intelligence via StockAnalysis</x:v>
      </x:c>
      <x:c r="F154" t="str">
        <x:v>Daily closing market data</x:v>
      </x:c>
      <x:c r="G154" s="44" t="str">
        <x:v>https://stockanalysis.com/etf/uso/history/</x:v>
      </x:c>
      <x:c r="H154" s="44" t="str">
        <x:v>USO closed September 21 at $148.17 versus the $144.60 September 8 opening entry; the $1,000 paper position was worth $1,024.69, up $24.69 or 2.47%.</x:v>
      </x:c>
      <x:c r="I154" s="44" t="str">
        <x:v>Direct expression remains positive; edge materially reduced</x:v>
      </x:c>
      <x:c r="J154" s="44" t="n">
        <x:v>5</x:v>
      </x:c>
      <x:c r="K154" s="44" t="str">
        <x:v>Fractional shares: 6.91562932. Continued tracking after the September 18 evaluation; the completed thesis outcome is not reopened. Hypothetical paper trade only.</x:v>
      </x:c>
    </x:row>
    <x:row r="155">
      <x:c r="A155" t="str">
        <x:v>EV-2026-150</x:v>
      </x:c>
      <x:c r="B155" t="str">
        <x:v>EEI-2026-001</x:v>
      </x:c>
      <x:c r="C155" s="21" t="n">
        <x:v>46286.68511574074</x:v>
      </x:c>
      <x:c r="D155" t="str">
        <x:v>Post-horizon paper-trade outcome</x:v>
      </x:c>
      <x:c r="E155" t="str">
        <x:v>S&amp;P Global Market Intelligence via StockAnalysis</x:v>
      </x:c>
      <x:c r="F155" t="str">
        <x:v>Daily closing market data</x:v>
      </x:c>
      <x:c r="G155" s="44" t="str">
        <x:v>https://stockanalysis.com/etf/xop/history/</x:v>
      </x:c>
      <x:c r="H155" s="44" t="str">
        <x:v>XOP closed September 21 at $184.72 versus the $193.84 September 8 opening entry; the $1,000 paper position was worth $952.95, down $47.05 or 4.70%.</x:v>
      </x:c>
      <x:c r="I155" s="44" t="str">
        <x:v>Further invalidates indirect producer-equity expression</x:v>
      </x:c>
      <x:c r="J155" s="44" t="n">
        <x:v>5</x:v>
      </x:c>
      <x:c r="K155" s="44" t="str">
        <x:v>Fractional shares: 5.15889393. XOP's widening loss while BNO and USO remain positive reinforces the methodology's clean-expression rule. Hypothetical paper trade only.</x:v>
      </x:c>
    </x:row>
    <x:row r="156">
      <x:c r="A156" t="str">
        <x:v>EV-2026-151</x:v>
      </x:c>
      <x:c r="B156" t="str">
        <x:v>EEI-2026-001</x:v>
      </x:c>
      <x:c r="C156" s="21" t="n">
        <x:v>46286.68511574074</x:v>
      </x:c>
      <x:c r="D156" t="str">
        <x:v>Post-horizon contradiction</x:v>
      </x:c>
      <x:c r="E156" t="str">
        <x:v>Reuters</x:v>
      </x:c>
      <x:c r="F156" t="str">
        <x:v>High quality reporting with shipping data</x:v>
      </x:c>
      <x:c r="G156" s="44" t="str">
        <x:v>https://www.reuters.com/business/energy/saudi-arabia-ramps-up-gulf-oil-exports-after-pipeline-attack-shipping-data-shows-2026-09-21/</x:v>
      </x:c>
      <x:c r="H156" s="44" t="str">
        <x:v>Saudi Gulf crude loadings averaged about 3.7 million bpd from September 12, up from 2.9 million bpd earlier in the month. Satellite data also indicated Saudi flows through Hormuz averaged 2.9 million bpd over the prior six days versus 700,000 bpd in August.</x:v>
      </x:c>
      <x:c r="I156" s="44" t="str">
        <x:v>Weakens the near-term scarcity premium</x:v>
      </x:c>
      <x:c r="J156" s="44" t="n">
        <x:v>5</x:v>
      </x:c>
      <x:c r="K156" s="44" t="str">
        <x:v>The increased loadings and partial recovery helped push Brent below $100 on September 21. This is the clearest current invalidating development, although it does not mean regional logistics have normalized.</x:v>
      </x:c>
    </x:row>
    <x:row r="157">
      <x:c r="A157" t="str">
        <x:v>EV-2026-152</x:v>
      </x:c>
      <x:c r="B157" t="str">
        <x:v>EEI-2026-001</x:v>
      </x:c>
      <x:c r="C157" s="21" t="n">
        <x:v>46286.68511574074</x:v>
      </x:c>
      <x:c r="D157" t="str">
        <x:v>Post-horizon mixed outcome evidence</x:v>
      </x:c>
      <x:c r="E157" t="str">
        <x:v>Reuters Open Interest citing Kpler and LSEG</x:v>
      </x:c>
      <x:c r="F157" t="str">
        <x:v>Expert analysis using market and shipping data</x:v>
      </x:c>
      <x:c r="G157" s="44" t="str">
        <x:v>https://www.reuters.com/commentary/reuters-open-interest/hormuz-shuttles-keep-oil-flowing-high-cost-2026-09-21/</x:v>
      </x:c>
      <x:c r="H157" s="44" t="str">
        <x:v>Hormuz exports reached about 6.5 million bpd in September and ship-to-ship transfers reached about 2.5 million bpd, limiting the acute supply loss, while Gulf-to-China VLCC freight exceeded $30 per barrel.</x:v>
      </x:c>
      <x:c r="I157" s="44" t="str">
        <x:v>Supply adaptation weakens price shock; high costs confirm continuing friction</x:v>
      </x:c>
      <x:c r="J157" s="44" t="n">
        <x:v>4</x:v>
      </x:c>
      <x:c r="K157" s="44" t="str">
        <x:v>The market is adapting rather than remaining paralyzed. The workaround reduces the shortage predicted by the original thesis but preserves unusually high transport costs and system fragility.</x:v>
      </x:c>
    </x:row>
    <x:row r="158">
      <x:c r="A158" t="str">
        <x:v>EV-2026-153</x:v>
      </x:c>
      <x:c r="B158" t="str">
        <x:v>EEI-2026-009</x:v>
      </x:c>
      <x:c r="C158" s="21" t="n">
        <x:v>46287.50418981481</x:v>
      </x:c>
      <x:c r="D158" t="str">
        <x:v>Contradictory supply and policy update</x:v>
      </x:c>
      <x:c r="E158" t="str">
        <x:v>Reuters</x:v>
      </x:c>
      <x:c r="F158" t="str">
        <x:v>High quality reporting</x:v>
      </x:c>
      <x:c r="G158" s="44" t="str">
        <x:v>https://www.reuters.com/business/energy/oil-rises-slightly-ahead-potential-us-iran-talks-2026-09-22/</x:v>
      </x:c>
      <x:c r="H158" s="44" t="str">
        <x:v>Saudi Arabia restarted the East-West Pipeline at a low rate and Iran signaled Hormuz could reopen within seven days if U.S. pressure eases. Brent November fell 2% to $98.33 and WTI November fell 2.65% to $89.92.</x:v>
      </x:c>
      <x:c r="I158" s="44" t="str">
        <x:v>Weakens scarcity duration and entry edge</x:v>
      </x:c>
      <x:c r="J158" s="44" t="n">
        <x:v>5</x:v>
      </x:c>
      <x:c r="K158" s="44" t="str">
        <x:v>Full pipeline restoration could take weeks, and Reuters reported that the refined-product shortage remains acute. The evidence weakens crude-feedstock stress but does not yet normalize diesel inventories or exports.</x:v>
      </x:c>
    </x:row>
    <x:row r="159">
      <x:c r="A159" t="str">
        <x:v>EV-2026-154</x:v>
      </x:c>
      <x:c r="B159" t="str">
        <x:v>EEI-2026-009</x:v>
      </x:c>
      <x:c r="C159" s="21" t="n">
        <x:v>46287.50418981481</x:v>
      </x:c>
      <x:c r="D159" t="str">
        <x:v>Persistent refined-product confirmation</x:v>
      </x:c>
      <x:c r="E159" t="str">
        <x:v>Reuters</x:v>
      </x:c>
      <x:c r="F159" t="str">
        <x:v>High quality reporting</x:v>
      </x:c>
      <x:c r="G159" s="44" t="str">
        <x:v>https://www.reuters.com/business/energy/oil-rises-slightly-ahead-potential-us-iran-talks-2026-09-22/</x:v>
      </x:c>
      <x:c r="H159" s="44" t="str">
        <x:v>Despite easing crude, Reuters reported record diesel prices in Europe and the United States and said further oil downside may be limited until refined-product flows increase.</x:v>
      </x:c>
      <x:c r="I159" s="44" t="str">
        <x:v>Supports separate diesel thesis</x:v>
      </x:c>
      <x:c r="J159" s="44" t="n">
        <x:v>5</x:v>
      </x:c>
      <x:c r="K159" s="44" t="str">
        <x:v>The observation is contemporaneous reporting rather than a new inventory release. Pipeline restoration, substitution, demand destruction and higher refinery runs can still reduce cracks.</x:v>
      </x:c>
    </x:row>
    <x:row r="160">
      <x:c r="A160" t="str">
        <x:v>EV-2026-155</x:v>
      </x:c>
      <x:c r="B160" t="str">
        <x:v>EEI-2026-011</x:v>
      </x:c>
      <x:c r="C160" s="21" t="n">
        <x:v>46287.50418981481</x:v>
      </x:c>
      <x:c r="D160" t="str">
        <x:v>Global freight confirmation and route modifier</x:v>
      </x:c>
      <x:c r="E160" t="str">
        <x:v>Reuters / Signal Maritime</x:v>
      </x:c>
      <x:c r="F160" t="str">
        <x:v>High quality reporting using observable charter data</x:v>
      </x:c>
      <x:c r="G160" s="44" t="str">
        <x:v>https://www.reuters.com/business/energy/traders-push-discounts-venezuelan-oil-shipping-costs-soar-sources-say-2026-09-22/</x:v>
      </x:c>
      <x:c r="H160" s="44" t="str">
        <x:v>Aframax charter cost from Venezuela to the U.S. Gulf rose to about $3.5 million, or $5 per barrel, from $1.35 million at the start of 2026; tanker waits were at their highest since January.</x:v>
      </x:c>
      <x:c r="I160" s="44" t="str">
        <x:v>Confirms global freight variable</x:v>
      </x:c>
      <x:c r="J160" s="44" t="n">
        <x:v>5</x:v>
      </x:c>
      <x:c r="K160" s="44" t="str">
        <x:v>The Saudi pipeline restart may release Gulf shuttle capacity. Venezuelan congestion and Gulf VLCC scarcity are related through fleet availability but are not the same route or vessel class.</x:v>
      </x:c>
    </x:row>
    <x:row r="161">
      <x:c r="A161" t="str">
        <x:v>EV-2026-156</x:v>
      </x:c>
      <x:c r="B161" t="str">
        <x:v>EEI-2026-011</x:v>
      </x:c>
      <x:c r="C161" s="21" t="n">
        <x:v>46287.50418981481</x:v>
      </x:c>
      <x:c r="D161" t="str">
        <x:v>Market contradiction</x:v>
      </x:c>
      <x:c r="E161" t="str">
        <x:v>Delayed premarket quote data</x:v>
      </x:c>
      <x:c r="F161" t="str">
        <x:v>Market data</x:v>
      </x:c>
      <x:c r="G161" s="44" t="str">
        <x:v>https://www.reuters.com/business/energy/saudi-arabia-restarts-east-west-oil-pipeline-resume-exports-yanbu-sources-say-2026-09-22/</x:v>
      </x:c>
      <x:c r="H161" s="44" t="str">
        <x:v>Before the U.S. open, FRO was down about 3.13%, DHT down 3.50% and BOAT roughly flat as Saudi pipeline flows restarted.</x:v>
      </x:c>
      <x:c r="I161" s="44" t="str">
        <x:v>Weakens listed-equity entry</x:v>
      </x:c>
      <x:c r="J161" s="44" t="n">
        <x:v>4</x:v>
      </x:c>
      <x:c r="K161" s="44" t="str">
        <x:v>Premarket quotes can be thin and are not a completed-session signal. The economic freight variable remains elevated even as listed expressions price normalization risk.</x:v>
      </x:c>
    </x:row>
    <x:row r="162">
      <x:c r="A162" t="str">
        <x:v>EV-2026-157</x:v>
      </x:c>
      <x:c r="B162" t="str">
        <x:v>EEI-2026-002</x:v>
      </x:c>
      <x:c r="C162" s="21" t="n">
        <x:v>46287.50418981481</x:v>
      </x:c>
      <x:c r="D162" t="str">
        <x:v>Industrial gas-cost confirmation</x:v>
      </x:c>
      <x:c r="E162" t="str">
        <x:v>Reuters reporting an Ineos statement</x:v>
      </x:c>
      <x:c r="F162" t="str">
        <x:v>High quality reporting of company statement</x:v>
      </x:c>
      <x:c r="G162" s="44" t="str">
        <x:v>https://www.reuters.com/world/uk/ineos-mothball-three-chemical-plants-high-energy-costs-hit-production-2026-09-22/</x:v>
      </x:c>
      <x:c r="H162" s="44" t="str">
        <x:v>Ineos suspended three UK chemical plants employing almost 4,000 people, citing UK gas near $23.51/MMBtu versus $2.84 in the United States.</x:v>
      </x:c>
      <x:c r="I162" s="44" t="str">
        <x:v>Confirms regional gas-cost stress</x:v>
      </x:c>
      <x:c r="J162" s="44" t="n">
        <x:v>4</x:v>
      </x:c>
      <x:c r="K162" s="44" t="str">
        <x:v>The closures show industrial demand destruction as well as energy stress. They do not directly prove coal substitution and therefore do not change the coal thesis classification.</x:v>
      </x:c>
    </x:row>
    <x:row r="163">
      <x:c r="A163" t="str">
        <x:v>EV-2026-158</x:v>
      </x:c>
      <x:c r="B163"/>
      <x:c r="C163" s="21" t="n">
        <x:v>46287.50418981481</x:v>
      </x:c>
      <x:c r="D163" t="str">
        <x:v>Rejected government-award trigger</x:v>
      </x:c>
      <x:c r="E163" t="str">
        <x:v>U.S. Army / Reuters</x:v>
      </x:c>
      <x:c r="F163" t="str">
        <x:v>Primary government announcement plus independent reporting</x:v>
      </x:c>
      <x:c r="G163" s="44" t="str">
        <x:v>https://www.army.mil/article/295521/u_s_army_announces_1_2_billion_contract_for_precision_strike_missile_increment_2_production</x:v>
      </x:c>
      <x:c r="H163" s="44" t="str">
        <x:v>Lockheed Martin Missiles and Fire Control, parent Lockheed Martin, received a U.S. Army PrSM Increment 2 IDIQ contract with a potential ceiling of $1.2 billion after successful fiscal-2026 flight tests. The public announcement did not identify the award number, initial obligation, competition status, NAICS/PSC or period of performance.</x:v>
      </x:c>
      <x:c r="I163" s="44" t="str">
        <x:v>Rejected as non-material to parent and already signaled capacity trend</x:v>
      </x:c>
      <x:c r="J163" s="44" t="n">
        <x:v>5</x:v>
      </x:c>
      <x:c r="K163" s="44" t="str">
        <x:v>Action type: new IDIQ. Potential value: $1.2 billion; current value and obligated amount not disclosed. Announcement is official, but the ceiling is about 1.6% of Lockheed Martin annual revenue and follows an earlier multi-year production expansion, limiting surprise and materiality.</x:v>
      </x:c>
    </x:row>
    <x:row r="164">
      <x:c r="A164" t="str">
        <x:v>EV-2026-159</x:v>
      </x:c>
      <x:c r="B164"/>
      <x:c r="C164" s="21" t="n">
        <x:v>46287.50418981481</x:v>
      </x:c>
      <x:c r="D164" t="str">
        <x:v>Rejected government-funding trigger</x:v>
      </x:c>
      <x:c r="E164" t="str">
        <x:v>U.S. Department of Energy / Reuters</x:v>
      </x:c>
      <x:c r="F164" t="str">
        <x:v>Primary selection notice plus independent reporting</x:v>
      </x:c>
      <x:c r="G164" s="44" t="str">
        <x:v>https://www.energy.gov/hgeo/geothermal/articles/21-projects-selected-advance-egs-field-tests-and-exploration-drilling</x:v>
      </x:c>
      <x:c r="H164" s="44" t="str">
        <x:v>DOE selected 21 geothermal field-test and exploration projects for up to $99 million in first-budget-period funding. Recipients include Fervo, Quaise, Zanskar, XGS and Invenergy. Selection begins award negotiations and is not a funding commitment.</x:v>
      </x:c>
      <x:c r="I164" s="44" t="str">
        <x:v>Rejected pending awards and company-level materiality</x:v>
      </x:c>
      <x:c r="J164" s="44" t="n">
        <x:v>5</x:v>
      </x:c>
      <x:c r="K164" s="44" t="str">
        <x:v>This is a portfolio of conditional selections, not final obligations. Individual award identifiers, negotiated values and public-company materiality are unavailable; Fervo is the only named listed recipient in Reuters reporting and its two-project share was not disclosed.</x:v>
      </x:c>
    </x:row>
    <x:row r="165">
      <x:c r="A165" t="str">
        <x:v>EV-2026-160</x:v>
      </x:c>
      <x:c r="B165"/>
      <x:c r="C165" s="21" t="n">
        <x:v>46287.50418981481</x:v>
      </x:c>
      <x:c r="D165" t="str">
        <x:v>Rejected Motley Fool trigger</x:v>
      </x:c>
      <x:c r="E165" t="str">
        <x:v>The Motley Fool — Jeremy Bowman</x:v>
      </x:c>
      <x:c r="F165" t="str">
        <x:v>Idea generator only</x:v>
      </x:c>
      <x:c r="G165" s="44" t="str">
        <x:v>https://www.fool.com/investing/2026/09/22/meta-stock-is-still-too-cheap/</x:v>
      </x:c>
      <x:c r="H165" s="44" t="str">
        <x:v>Free editorial at 12:30 a.m. ET argued META remains cheap after Muse became the top App Store download and forecast faster revenue growth into 2027. The author owns META and Motley Fool recommends it.</x:v>
      </x:c>
      <x:c r="I165" s="44" t="str">
        <x:v>Rejected as headline-chasing after repricing</x:v>
      </x:c>
      <x:c r="J165" s="44" t="n">
        <x:v>3</x:v>
      </x:c>
      <x:c r="K165" s="44" t="str">
        <x:v>Ticker META; variable: consumer-AI adoption and monetization over quarters. Reuters confirmed early download momentum but the stock rose 11.3% Monday. Meta has not disclosed attributable Muse revenue, while Q2 free cash flow was pressured by capex and legal costs. No favorable entry structure was established.</x:v>
      </x:c>
    </x:row>
    <x:row r="166">
      <x:c r="A166" t="str">
        <x:v>EV-2026-161</x:v>
      </x:c>
      <x:c r="B166"/>
      <x:c r="C166" s="21" t="n">
        <x:v>46287.50418981481</x:v>
      </x:c>
      <x:c r="D166" t="str">
        <x:v>Rejected Motley Fool trigger</x:v>
      </x:c>
      <x:c r="E166" t="str">
        <x:v>The Motley Fool — Keithen Drury</x:v>
      </x:c>
      <x:c r="F166" t="str">
        <x:v>Idea generator only</x:v>
      </x:c>
      <x:c r="G166" s="44" t="str">
        <x:v>https://www.fool.com/investing/2026/09/22/ionq-just-raised-2026-revenue-guidance-this-quantu/</x:v>
      </x:c>
      <x:c r="H166" s="44" t="str">
        <x:v>Free editorial at 1:00 a.m. ET called IONQ a buy after the SkyWater acquisition raised 2026 revenue guidance. The author owns IONQ and Motley Fool recommends it.</x:v>
      </x:c>
      <x:c r="I166" s="44" t="str">
        <x:v>Rejected as stale acquisition catalyst with valuation risk</x:v>
      </x:c>
      <x:c r="J166" s="44" t="n">
        <x:v>3</x:v>
      </x:c>
      <x:c r="K166" s="44" t="str">
        <x:v>Ticker IONQ; variable: quantum revenue and vertical-integration economics over years. SkyWater closed July 31, so the catalyst is not new. IONQ remains loss-making and was valued near $14.9 billion at $40.51, leaving substantial commercialization, integration and dilution risk.</x:v>
      </x:c>
    </x:row>
    <x:row r="167">
      <x:c r="A167" t="str">
        <x:v>EV-2026-162</x:v>
      </x:c>
      <x:c r="B167"/>
      <x:c r="C167" s="21" t="n">
        <x:v>46287.50418981481</x:v>
      </x:c>
      <x:c r="D167" t="str">
        <x:v>Rejected Motley Fool trigger</x:v>
      </x:c>
      <x:c r="E167" t="str">
        <x:v>The Motley Fool — Rick Orford</x:v>
      </x:c>
      <x:c r="F167" t="str">
        <x:v>Idea generator only</x:v>
      </x:c>
      <x:c r="G167" s="44" t="str">
        <x:v>https://www.fool.com/investing/2026/09/22/prediction-ast-spacemobile-will-be-the-best-perfor/</x:v>
      </x:c>
      <x:c r="H167" s="44" t="str">
        <x:v>Free editorial at 6:10 a.m. ET predicted ASTS would lead space stocks in 2027, citing a 45-60 satellite target, planned AT&amp;T and Verizon beta service and Rakuten/Japan support. The author disclosed no position; Motley Fool recommends ASTS.</x:v>
      </x:c>
      <x:c r="I167" s="44" t="str">
        <x:v>Rejected pending commercial proof and entry discipline</x:v>
      </x:c>
      <x:c r="J167" s="44" t="n">
        <x:v>3</x:v>
      </x:c>
      <x:c r="K167" s="44" t="str">
        <x:v>Ticker ASTS; variable: deployed satellites, service activation and revenue over 2027. The stock was up about 5.7% at $61.89 with an $18.5 billion market value and negative earnings. Execution, funding and dilution risk remain high, and the article did not add a new primary milestone.</x:v>
      </x:c>
    </x:row>
    <x:row r="168">
      <x:c r="A168" t="str">
        <x:v>EV-2026-163</x:v>
      </x:c>
      <x:c r="B168"/>
      <x:c r="C168" s="21" t="n">
        <x:v>46287.50418981481</x:v>
      </x:c>
      <x:c r="D168" t="str">
        <x:v>Rejected Motley Fool trigger</x:v>
      </x:c>
      <x:c r="E168" t="str">
        <x:v>The Motley Fool — Keith Speights</x:v>
      </x:c>
      <x:c r="F168" t="str">
        <x:v>Idea generator only</x:v>
      </x:c>
      <x:c r="G168" s="44" t="str">
        <x:v>https://www.fool.com/investing/2026/09/22/biontech-stock-recently-got-downgraded-but-is-wall/</x:v>
      </x:c>
      <x:c r="H168" s="44" t="str">
        <x:v>Free editorial at 4:44 a.m. ET argued BNTX oncology optionality is underappreciated and highlighted three expected data readouts before year-end. The author disclosed no position; Motley Fool recommends BioNTech.</x:v>
      </x:c>
      <x:c r="I168" s="44" t="str">
        <x:v>Rejected until clinical readouts create primary evidence</x:v>
      </x:c>
      <x:c r="J168" s="44" t="n">
        <x:v>3</x:v>
      </x:c>
      <x:c r="K168" s="44" t="str">
        <x:v>Ticker BNTX; variable: late-stage oncology success and future revenue over years. Trial timing is relevant, but no new result was published. Binary clinical risk and the absence of current oncology cash flows keep this a watch item rather than a distinct thesis.</x:v>
      </x:c>
    </x:row>
    <x:row r="169">
      <x:c r="A169" t="str">
        <x:v>EV-2026-164</x:v>
      </x:c>
      <x:c r="B169" t="str">
        <x:v>EEI-2026-003</x:v>
      </x:c>
      <x:c r="C169" s="21" t="n">
        <x:v>46287.50418981481</x:v>
      </x:c>
      <x:c r="D169" t="str">
        <x:v>Neutral market and policy check</x:v>
      </x:c>
      <x:c r="E169" t="str">
        <x:v>Reuters</x:v>
      </x:c>
      <x:c r="F169" t="str">
        <x:v>High quality reporting</x:v>
      </x:c>
      <x:c r="G169" s="44" t="str">
        <x:v>https://www.reuters.com/business/wall-st-futures-pause-after-ai-rally-focus-mideast-tensions-2026-09-22/</x:v>
      </x:c>
      <x:c r="H169" s="44" t="str">
        <x:v>U.S. futures were nearly flat after an AI-led Nasdaq record; Brent eased and the 10-year Treasury yield was near 4.9%. No factual congressional-control development was established in this scan.</x:v>
      </x:c>
      <x:c r="I169" s="44" t="str">
        <x:v>No election-thesis confirmation</x:v>
      </x:c>
      <x:c r="J169" s="44" t="n">
        <x:v>5</x:v>
      </x:c>
      <x:c r="K169" s="44" t="str">
        <x:v>This is a market and policy observation only. It does not predict or assign a probability to House or Senate control. Narrow AI leadership remains the principal breadth contradiction.</x:v>
      </x:c>
    </x:row>
    <x:row r="170">
      <x:c r="C170" s="21"/>
      <x:c r="G170" s="44"/>
      <x:c r="H170" s="44"/>
      <x:c r="I170" s="44"/>
      <x:c r="J170" s="44"/>
      <x:c r="K170" s="44"/>
    </x:row>
    <x:row r="171">
      <x:c r="C171" s="21"/>
      <x:c r="G171" s="44"/>
      <x:c r="H171" s="44"/>
      <x:c r="I171" s="44"/>
      <x:c r="J171" s="44"/>
      <x:c r="K171" s="44"/>
    </x:row>
    <x:row r="172">
      <x:c r="C172" s="21"/>
      <x:c r="G172" s="44"/>
      <x:c r="H172" s="44"/>
      <x:c r="I172" s="44"/>
      <x:c r="J172" s="44"/>
      <x:c r="K172" s="44"/>
    </x:row>
    <x:row r="173">
      <x:c r="C173" s="21"/>
      <x:c r="G173" s="44"/>
      <x:c r="H173" s="44"/>
      <x:c r="I173" s="44"/>
      <x:c r="J173" s="44"/>
      <x:c r="K173" s="44"/>
    </x:row>
    <x:row r="174">
      <x:c r="C174" s="21"/>
      <x:c r="G174" s="44"/>
      <x:c r="H174" s="44"/>
      <x:c r="I174" s="44"/>
      <x:c r="J174" s="44"/>
      <x:c r="K174" s="44"/>
    </x:row>
    <x:row r="175">
      <x:c r="C175" s="21"/>
      <x:c r="G175" s="44"/>
      <x:c r="H175" s="44"/>
      <x:c r="I175" s="44"/>
      <x:c r="J175" s="44"/>
      <x:c r="K175" s="44"/>
    </x:row>
    <x:row r="176">
      <x:c r="C176" s="21"/>
      <x:c r="G176" s="44"/>
      <x:c r="H176" s="44"/>
      <x:c r="I176" s="44"/>
      <x:c r="J176" s="44"/>
      <x:c r="K176" s="44"/>
    </x:row>
    <x:row r="177">
      <x:c r="C177" s="21"/>
      <x:c r="G177" s="44"/>
      <x:c r="H177" s="44"/>
      <x:c r="I177" s="44"/>
      <x:c r="J177" s="44"/>
      <x:c r="K177" s="44"/>
    </x:row>
    <x:row r="178">
      <x:c r="C178" s="21"/>
      <x:c r="G178" s="44"/>
      <x:c r="H178" s="44"/>
      <x:c r="I178" s="44"/>
      <x:c r="J178" s="44"/>
      <x:c r="K178" s="44"/>
    </x:row>
    <x:row r="179">
      <x:c r="C179" s="21"/>
      <x:c r="G179" s="44"/>
      <x:c r="H179" s="44"/>
      <x:c r="I179" s="44"/>
      <x:c r="J179" s="44"/>
      <x:c r="K179" s="44"/>
    </x:row>
    <x:row r="180">
      <x:c r="C180" s="21"/>
      <x:c r="G180" s="44"/>
      <x:c r="H180" s="44"/>
      <x:c r="I180" s="44"/>
      <x:c r="J180" s="44"/>
      <x:c r="K180" s="44"/>
    </x:row>
    <x:row r="181">
      <x:c r="C181" s="21"/>
      <x:c r="G181" s="44"/>
      <x:c r="H181" s="44"/>
      <x:c r="I181" s="44"/>
      <x:c r="J181" s="44"/>
      <x:c r="K181" s="44"/>
    </x:row>
    <x:row r="182">
      <x:c r="C182" s="21"/>
      <x:c r="G182" s="44"/>
      <x:c r="H182" s="44"/>
      <x:c r="I182" s="44"/>
      <x:c r="J182" s="44"/>
      <x:c r="K182" s="44"/>
    </x:row>
    <x:row r="183">
      <x:c r="C183" s="21"/>
      <x:c r="G183" s="44"/>
      <x:c r="H183" s="44"/>
      <x:c r="I183" s="44"/>
      <x:c r="J183" s="44"/>
      <x:c r="K183" s="44"/>
    </x:row>
    <x:row r="184">
      <x:c r="C184" s="21"/>
      <x:c r="G184" s="44"/>
      <x:c r="H184" s="44"/>
      <x:c r="I184" s="44"/>
      <x:c r="J184" s="44"/>
      <x:c r="K184" s="44"/>
    </x:row>
    <x:row r="185">
      <x:c r="C185" s="21"/>
      <x:c r="G185" s="44"/>
      <x:c r="H185" s="44"/>
      <x:c r="I185" s="44"/>
      <x:c r="J185" s="44"/>
      <x:c r="K185" s="44"/>
    </x:row>
    <x:row r="186">
      <x:c r="C186" s="21"/>
      <x:c r="G186" s="44"/>
      <x:c r="H186" s="44"/>
      <x:c r="I186" s="44"/>
      <x:c r="J186" s="44"/>
      <x:c r="K186" s="44"/>
    </x:row>
    <x:row r="187">
      <x:c r="C187" s="21"/>
      <x:c r="G187" s="44"/>
      <x:c r="H187" s="44"/>
      <x:c r="I187" s="44"/>
      <x:c r="J187" s="44"/>
      <x:c r="K187" s="44"/>
    </x:row>
    <x:row r="188">
      <x:c r="C188" s="21"/>
      <x:c r="G188" s="44"/>
      <x:c r="H188" s="44"/>
      <x:c r="I188" s="44"/>
      <x:c r="J188" s="44"/>
      <x:c r="K188" s="44"/>
    </x:row>
    <x:row r="189">
      <x:c r="C189" s="21"/>
      <x:c r="G189" s="44"/>
      <x:c r="H189" s="44"/>
      <x:c r="I189" s="44"/>
      <x:c r="J189" s="44"/>
      <x:c r="K189" s="44"/>
    </x:row>
    <x:row r="190">
      <x:c r="C190" s="21"/>
      <x:c r="G190" s="44"/>
      <x:c r="H190" s="44"/>
      <x:c r="I190" s="44"/>
      <x:c r="J190" s="44"/>
      <x:c r="K190" s="44"/>
    </x:row>
    <x:row r="191">
      <x:c r="C191" s="21"/>
      <x:c r="G191" s="44"/>
      <x:c r="H191" s="44"/>
      <x:c r="I191" s="44"/>
      <x:c r="J191" s="44"/>
      <x:c r="K191" s="44"/>
    </x:row>
    <x:row r="192">
      <x:c r="C192" s="21"/>
      <x:c r="G192" s="44"/>
      <x:c r="H192" s="44"/>
      <x:c r="I192" s="44"/>
      <x:c r="J192" s="44"/>
      <x:c r="K192" s="44"/>
    </x:row>
    <x:row r="193">
      <x:c r="C193" s="21"/>
      <x:c r="G193" s="44"/>
      <x:c r="H193" s="44"/>
      <x:c r="I193" s="44"/>
      <x:c r="J193" s="44"/>
      <x:c r="K193" s="44"/>
    </x:row>
    <x:row r="194">
      <x:c r="C194" s="21"/>
      <x:c r="G194" s="44"/>
      <x:c r="H194" s="44"/>
      <x:c r="I194" s="44"/>
      <x:c r="J194" s="44"/>
      <x:c r="K194" s="44"/>
    </x:row>
    <x:row r="195">
      <x:c r="C195" s="21"/>
      <x:c r="G195" s="44"/>
      <x:c r="H195" s="44"/>
      <x:c r="I195" s="44"/>
      <x:c r="J195" s="44"/>
      <x:c r="K195" s="44"/>
    </x:row>
    <x:row r="196">
      <x:c r="C196" s="21"/>
      <x:c r="G196" s="44"/>
      <x:c r="H196" s="44"/>
      <x:c r="I196" s="44"/>
      <x:c r="J196" s="44"/>
      <x:c r="K196" s="44"/>
    </x:row>
    <x:row r="197">
      <x:c r="C197" s="21"/>
      <x:c r="G197" s="44"/>
      <x:c r="H197" s="44"/>
      <x:c r="I197" s="44"/>
      <x:c r="J197" s="44"/>
      <x:c r="K197" s="44"/>
    </x:row>
    <x:row r="198">
      <x:c r="C198" s="21"/>
      <x:c r="G198" s="44"/>
      <x:c r="H198" s="44"/>
      <x:c r="I198" s="44"/>
      <x:c r="J198" s="44"/>
      <x:c r="K198" s="44"/>
    </x:row>
    <x:row r="199">
      <x:c r="C199" s="21"/>
      <x:c r="G199" s="44"/>
      <x:c r="H199" s="44"/>
      <x:c r="I199" s="44"/>
      <x:c r="J199" s="44"/>
      <x:c r="K199" s="44"/>
    </x:row>
    <x:row r="200">
      <x:c r="C200" s="21"/>
      <x:c r="G200" s="44"/>
      <x:c r="H200" s="44"/>
      <x:c r="I200" s="44"/>
      <x:c r="J200" s="44"/>
      <x:c r="K200" s="44"/>
    </x:row>
    <x:row r="201">
      <x:c r="C201" s="21"/>
      <x:c r="G201" s="44"/>
      <x:c r="H201" s="44"/>
      <x:c r="I201" s="44"/>
      <x:c r="J201" s="44"/>
      <x:c r="K201" s="44"/>
    </x:row>
    <x:row r="202">
      <x:c r="C202" s="21"/>
      <x:c r="G202" s="44"/>
      <x:c r="H202" s="44"/>
      <x:c r="I202" s="44"/>
      <x:c r="J202" s="44"/>
      <x:c r="K202" s="44"/>
    </x:row>
    <x:row r="203">
      <x:c r="C203" s="21"/>
      <x:c r="G203" s="44"/>
      <x:c r="H203" s="44"/>
      <x:c r="I203" s="44"/>
      <x:c r="J203" s="44"/>
      <x:c r="K203" s="44"/>
    </x:row>
    <x:row r="204">
      <x:c r="C204" s="21"/>
      <x:c r="G204" s="44"/>
      <x:c r="H204" s="44"/>
      <x:c r="I204" s="44"/>
      <x:c r="J204" s="44"/>
      <x:c r="K204" s="44"/>
    </x:row>
    <x:row r="205">
      <x:c r="C205" s="21"/>
      <x:c r="G205" s="44"/>
      <x:c r="H205" s="44"/>
      <x:c r="I205" s="44"/>
      <x:c r="J205" s="44"/>
      <x:c r="K205" s="44"/>
    </x:row>
    <x:row r="206">
      <x:c r="C206" s="21"/>
      <x:c r="G206" s="44"/>
      <x:c r="H206" s="44"/>
      <x:c r="I206" s="44"/>
      <x:c r="J206" s="44"/>
      <x:c r="K206" s="44"/>
    </x:row>
    <x:row r="207">
      <x:c r="C207" s="21"/>
      <x:c r="G207" s="44"/>
      <x:c r="H207" s="44"/>
      <x:c r="I207" s="44"/>
      <x:c r="J207" s="44"/>
      <x:c r="K207" s="44"/>
    </x:row>
    <x:row r="208">
      <x:c r="C208" s="21"/>
      <x:c r="G208" s="44"/>
      <x:c r="H208" s="44"/>
      <x:c r="I208" s="44"/>
      <x:c r="J208" s="44"/>
      <x:c r="K208" s="44"/>
    </x:row>
    <x:row r="209">
      <x:c r="C209" s="21"/>
      <x:c r="G209" s="44"/>
      <x:c r="H209" s="44"/>
      <x:c r="I209" s="44"/>
      <x:c r="J209" s="44"/>
      <x:c r="K209" s="44"/>
    </x:row>
    <x:row r="210">
      <x:c r="C210" s="21"/>
      <x:c r="G210" s="44"/>
      <x:c r="H210" s="44"/>
      <x:c r="I210" s="44"/>
      <x:c r="J210" s="44"/>
      <x:c r="K210" s="44"/>
    </x:row>
    <x:row r="211">
      <x:c r="C211" s="21"/>
      <x:c r="G211" s="44"/>
      <x:c r="H211" s="44"/>
      <x:c r="I211" s="44"/>
      <x:c r="J211" s="44"/>
      <x:c r="K211" s="44"/>
    </x:row>
    <x:row r="212">
      <x:c r="C212" s="21"/>
      <x:c r="G212" s="44"/>
      <x:c r="H212" s="44"/>
      <x:c r="I212" s="44"/>
      <x:c r="J212" s="44"/>
      <x:c r="K212" s="44"/>
    </x:row>
    <x:row r="213">
      <x:c r="C213" s="21"/>
      <x:c r="G213" s="44"/>
      <x:c r="H213" s="44"/>
      <x:c r="I213" s="44"/>
      <x:c r="J213" s="44"/>
      <x:c r="K213" s="44"/>
    </x:row>
    <x:row r="214">
      <x:c r="C214" s="21"/>
      <x:c r="G214" s="44"/>
      <x:c r="H214" s="44"/>
      <x:c r="I214" s="44"/>
      <x:c r="J214" s="44"/>
      <x:c r="K214" s="44"/>
    </x:row>
    <x:row r="215">
      <x:c r="C215" s="21"/>
      <x:c r="G215" s="44"/>
      <x:c r="H215" s="44"/>
      <x:c r="I215" s="44"/>
      <x:c r="J215" s="44"/>
      <x:c r="K215" s="44"/>
    </x:row>
    <x:row r="216">
      <x:c r="C216" s="21"/>
      <x:c r="G216" s="44"/>
      <x:c r="H216" s="44"/>
      <x:c r="I216" s="44"/>
      <x:c r="J216" s="44"/>
      <x:c r="K216" s="44"/>
    </x:row>
    <x:row r="217">
      <x:c r="C217" s="21"/>
      <x:c r="G217" s="44"/>
      <x:c r="H217" s="44"/>
      <x:c r="I217" s="44"/>
      <x:c r="J217" s="44"/>
      <x:c r="K217" s="44"/>
    </x:row>
    <x:row r="218">
      <x:c r="C218" s="21"/>
      <x:c r="G218" s="44"/>
      <x:c r="H218" s="44"/>
      <x:c r="I218" s="44"/>
      <x:c r="J218" s="44"/>
      <x:c r="K218" s="44"/>
    </x:row>
    <x:row r="219">
      <x:c r="C219" s="21"/>
      <x:c r="G219" s="44"/>
      <x:c r="H219" s="44"/>
      <x:c r="I219" s="44"/>
      <x:c r="J219" s="44"/>
      <x:c r="K219" s="44"/>
    </x:row>
    <x:row r="220">
      <x:c r="C220" s="21"/>
      <x:c r="G220" s="44"/>
      <x:c r="H220" s="44"/>
      <x:c r="I220" s="44"/>
      <x:c r="J220" s="44"/>
      <x:c r="K220" s="44"/>
    </x:row>
    <x:row r="221">
      <x:c r="C221" s="21"/>
      <x:c r="G221" s="44"/>
      <x:c r="H221" s="44"/>
      <x:c r="I221" s="44"/>
      <x:c r="J221" s="44"/>
      <x:c r="K221" s="44"/>
    </x:row>
    <x:row r="222">
      <x:c r="C222" s="21"/>
      <x:c r="G222" s="44"/>
      <x:c r="H222" s="44"/>
      <x:c r="I222" s="44"/>
      <x:c r="J222" s="44"/>
      <x:c r="K222" s="44"/>
    </x:row>
    <x:row r="223">
      <x:c r="C223" s="21"/>
      <x:c r="G223" s="44"/>
      <x:c r="H223" s="44"/>
      <x:c r="I223" s="44"/>
      <x:c r="J223" s="44"/>
      <x:c r="K223" s="44"/>
    </x:row>
    <x:row r="224">
      <x:c r="C224" s="21"/>
      <x:c r="G224" s="44"/>
      <x:c r="H224" s="44"/>
      <x:c r="I224" s="44"/>
      <x:c r="J224" s="44"/>
      <x:c r="K224" s="44"/>
    </x:row>
    <x:row r="225">
      <x:c r="C225" s="21"/>
      <x:c r="G225" s="44"/>
      <x:c r="H225" s="44"/>
      <x:c r="I225" s="44"/>
      <x:c r="J225" s="44"/>
      <x:c r="K225" s="44"/>
    </x:row>
    <x:row r="226">
      <x:c r="C226" s="21"/>
      <x:c r="G226" s="44"/>
      <x:c r="H226" s="44"/>
      <x:c r="I226" s="44"/>
      <x:c r="J226" s="44"/>
      <x:c r="K226" s="44"/>
    </x:row>
    <x:row r="227">
      <x:c r="C227" s="21"/>
      <x:c r="G227" s="44"/>
      <x:c r="H227" s="44"/>
      <x:c r="I227" s="44"/>
      <x:c r="J227" s="44"/>
      <x:c r="K227" s="44"/>
    </x:row>
    <x:row r="228">
      <x:c r="C228" s="21"/>
      <x:c r="G228" s="44"/>
      <x:c r="H228" s="44"/>
      <x:c r="I228" s="44"/>
      <x:c r="J228" s="44"/>
      <x:c r="K228" s="44"/>
    </x:row>
    <x:row r="229">
      <x:c r="C229" s="21"/>
      <x:c r="G229" s="44"/>
      <x:c r="H229" s="44"/>
      <x:c r="I229" s="44"/>
      <x:c r="J229" s="44"/>
      <x:c r="K229" s="44"/>
    </x:row>
    <x:row r="230">
      <x:c r="C230" s="21"/>
      <x:c r="G230" s="44"/>
      <x:c r="H230" s="44"/>
      <x:c r="I230" s="44"/>
      <x:c r="J230" s="44"/>
      <x:c r="K230" s="44"/>
    </x:row>
    <x:row r="231">
      <x:c r="C231" s="21"/>
      <x:c r="G231" s="44"/>
      <x:c r="H231" s="44"/>
      <x:c r="I231" s="44"/>
      <x:c r="J231" s="44"/>
      <x:c r="K231" s="44"/>
    </x:row>
    <x:row r="232">
      <x:c r="C232" s="21"/>
      <x:c r="G232" s="44"/>
      <x:c r="H232" s="44"/>
      <x:c r="I232" s="44"/>
      <x:c r="J232" s="44"/>
      <x:c r="K232" s="44"/>
    </x:row>
    <x:row r="233">
      <x:c r="C233" s="21"/>
      <x:c r="G233" s="44"/>
      <x:c r="H233" s="44"/>
      <x:c r="I233" s="44"/>
      <x:c r="J233" s="44"/>
      <x:c r="K233" s="44"/>
    </x:row>
    <x:row r="234">
      <x:c r="C234" s="21"/>
      <x:c r="G234" s="44"/>
      <x:c r="H234" s="44"/>
      <x:c r="I234" s="44"/>
      <x:c r="J234" s="44"/>
      <x:c r="K234" s="44"/>
    </x:row>
    <x:row r="235">
      <x:c r="C235" s="21"/>
      <x:c r="G235" s="44"/>
      <x:c r="H235" s="44"/>
      <x:c r="I235" s="44"/>
      <x:c r="J235" s="44"/>
      <x:c r="K235" s="44"/>
    </x:row>
    <x:row r="236">
      <x:c r="C236" s="21"/>
      <x:c r="G236" s="44"/>
      <x:c r="H236" s="44"/>
      <x:c r="I236" s="44"/>
      <x:c r="J236" s="44"/>
      <x:c r="K236" s="44"/>
    </x:row>
    <x:row r="237">
      <x:c r="C237" s="21"/>
      <x:c r="G237" s="44"/>
      <x:c r="H237" s="44"/>
      <x:c r="I237" s="44"/>
      <x:c r="J237" s="44"/>
      <x:c r="K237" s="44"/>
    </x:row>
    <x:row r="238">
      <x:c r="C238" s="21"/>
      <x:c r="G238" s="44"/>
      <x:c r="H238" s="44"/>
      <x:c r="I238" s="44"/>
      <x:c r="J238" s="44"/>
      <x:c r="K238" s="44"/>
    </x:row>
    <x:row r="239">
      <x:c r="C239" s="21"/>
      <x:c r="G239" s="44"/>
      <x:c r="H239" s="44"/>
      <x:c r="I239" s="44"/>
      <x:c r="J239" s="44"/>
      <x:c r="K239" s="44"/>
    </x:row>
    <x:row r="240">
      <x:c r="C240" s="21"/>
      <x:c r="G240" s="44"/>
      <x:c r="H240" s="44"/>
      <x:c r="I240" s="44"/>
      <x:c r="J240" s="44"/>
      <x:c r="K240" s="44"/>
    </x:row>
    <x:row r="241">
      <x:c r="C241" s="21"/>
      <x:c r="G241" s="44"/>
      <x:c r="H241" s="44"/>
      <x:c r="I241" s="44"/>
      <x:c r="J241" s="44"/>
      <x:c r="K241" s="44"/>
    </x:row>
    <x:row r="242">
      <x:c r="C242" s="21"/>
      <x:c r="G242" s="44"/>
      <x:c r="H242" s="44"/>
      <x:c r="I242" s="44"/>
      <x:c r="J242" s="44"/>
      <x:c r="K242" s="44"/>
    </x:row>
    <x:row r="243">
      <x:c r="C243" s="21"/>
      <x:c r="G243" s="44"/>
      <x:c r="H243" s="44"/>
      <x:c r="I243" s="44"/>
      <x:c r="J243" s="44"/>
      <x:c r="K243" s="44"/>
    </x:row>
    <x:row r="244">
      <x:c r="C244" s="21"/>
      <x:c r="G244" s="44"/>
      <x:c r="H244" s="44"/>
      <x:c r="I244" s="44"/>
      <x:c r="J244" s="44"/>
      <x:c r="K244" s="44"/>
    </x:row>
    <x:row r="245">
      <x:c r="C245" s="21"/>
      <x:c r="G245" s="44"/>
      <x:c r="H245" s="44"/>
      <x:c r="I245" s="44"/>
      <x:c r="J245" s="44"/>
      <x:c r="K245" s="44"/>
    </x:row>
    <x:row r="246">
      <x:c r="C246" s="21"/>
      <x:c r="G246" s="44"/>
      <x:c r="H246" s="44"/>
      <x:c r="I246" s="44"/>
      <x:c r="J246" s="44"/>
      <x:c r="K246" s="44"/>
    </x:row>
    <x:row r="247">
      <x:c r="C247" s="21"/>
      <x:c r="G247" s="44"/>
      <x:c r="H247" s="44"/>
      <x:c r="I247" s="44"/>
      <x:c r="J247" s="44"/>
      <x:c r="K247" s="44"/>
    </x:row>
    <x:row r="248">
      <x:c r="C248" s="21"/>
      <x:c r="G248" s="44"/>
      <x:c r="H248" s="44"/>
      <x:c r="I248" s="44"/>
      <x:c r="J248" s="44"/>
      <x:c r="K248" s="44"/>
    </x:row>
    <x:row r="249">
      <x:c r="C249" s="21"/>
      <x:c r="G249" s="44"/>
      <x:c r="H249" s="44"/>
      <x:c r="I249" s="44"/>
      <x:c r="J249" s="44"/>
      <x:c r="K249" s="44"/>
    </x:row>
    <x:row r="250">
      <x:c r="C250" s="21"/>
      <x:c r="G250" s="44"/>
      <x:c r="H250" s="44"/>
      <x:c r="I250" s="44"/>
      <x:c r="J250" s="44"/>
      <x:c r="K250" s="44"/>
    </x:row>
    <x:row r="251">
      <x:c r="C251" s="21"/>
      <x:c r="G251" s="44"/>
      <x:c r="H251" s="44"/>
      <x:c r="I251" s="44"/>
      <x:c r="J251" s="44"/>
      <x:c r="K251" s="44"/>
    </x:row>
    <x:row r="252">
      <x:c r="C252" s="21"/>
      <x:c r="G252" s="44"/>
      <x:c r="H252" s="44"/>
      <x:c r="I252" s="44"/>
      <x:c r="J252" s="44"/>
      <x:c r="K252" s="44"/>
    </x:row>
    <x:row r="253">
      <x:c r="C253" s="21"/>
      <x:c r="G253" s="44"/>
      <x:c r="H253" s="44"/>
      <x:c r="I253" s="44"/>
      <x:c r="J253" s="44"/>
      <x:c r="K253" s="44"/>
    </x:row>
    <x:row r="254">
      <x:c r="C254" s="21"/>
      <x:c r="G254" s="44"/>
      <x:c r="H254" s="44"/>
      <x:c r="I254" s="44"/>
      <x:c r="J254" s="44"/>
      <x:c r="K254" s="44"/>
    </x:row>
    <x:row r="255">
      <x:c r="C255" s="21"/>
      <x:c r="G255" s="44"/>
      <x:c r="H255" s="44"/>
      <x:c r="I255" s="44"/>
      <x:c r="J255" s="44"/>
      <x:c r="K255" s="44"/>
    </x:row>
    <x:row r="256">
      <x:c r="C256" s="21"/>
      <x:c r="G256" s="44"/>
      <x:c r="H256" s="44"/>
      <x:c r="I256" s="44"/>
      <x:c r="J256" s="44"/>
      <x:c r="K256" s="44"/>
    </x:row>
    <x:row r="257">
      <x:c r="C257" s="21"/>
      <x:c r="G257" s="44"/>
      <x:c r="H257" s="44"/>
      <x:c r="I257" s="44"/>
      <x:c r="J257" s="44"/>
      <x:c r="K257" s="44"/>
    </x:row>
    <x:row r="258">
      <x:c r="C258" s="21"/>
      <x:c r="G258" s="44"/>
      <x:c r="H258" s="44"/>
      <x:c r="I258" s="44"/>
      <x:c r="J258" s="44"/>
      <x:c r="K258" s="44"/>
    </x:row>
    <x:row r="259">
      <x:c r="C259" s="21"/>
      <x:c r="G259" s="44"/>
      <x:c r="H259" s="44"/>
      <x:c r="I259" s="44"/>
      <x:c r="J259" s="44"/>
      <x:c r="K259" s="44"/>
    </x:row>
    <x:row r="260">
      <x:c r="C260" s="21"/>
      <x:c r="G260" s="44"/>
      <x:c r="H260" s="44"/>
      <x:c r="I260" s="44"/>
      <x:c r="J260" s="44"/>
      <x:c r="K260" s="44"/>
    </x:row>
    <x:row r="261">
      <x:c r="C261" s="21"/>
      <x:c r="G261" s="44"/>
      <x:c r="H261" s="44"/>
      <x:c r="I261" s="44"/>
      <x:c r="J261" s="44"/>
      <x:c r="K261" s="44"/>
    </x:row>
    <x:row r="262">
      <x:c r="C262" s="21"/>
      <x:c r="G262" s="44"/>
      <x:c r="H262" s="44"/>
      <x:c r="I262" s="44"/>
      <x:c r="J262" s="44"/>
      <x:c r="K262" s="44"/>
    </x:row>
    <x:row r="263">
      <x:c r="C263" s="21"/>
      <x:c r="G263" s="44"/>
      <x:c r="H263" s="44"/>
      <x:c r="I263" s="44"/>
      <x:c r="J263" s="44"/>
      <x:c r="K263" s="44"/>
    </x:row>
    <x:row r="264">
      <x:c r="C264" s="21"/>
      <x:c r="G264" s="44"/>
      <x:c r="H264" s="44"/>
      <x:c r="I264" s="44"/>
      <x:c r="J264" s="44"/>
      <x:c r="K264" s="44"/>
    </x:row>
    <x:row r="265">
      <x:c r="C265" s="21"/>
      <x:c r="G265" s="44"/>
      <x:c r="H265" s="44"/>
      <x:c r="I265" s="44"/>
      <x:c r="J265" s="44"/>
      <x:c r="K265" s="44"/>
    </x:row>
    <x:row r="266">
      <x:c r="C266" s="21"/>
      <x:c r="G266" s="44"/>
      <x:c r="H266" s="44"/>
      <x:c r="I266" s="44"/>
      <x:c r="J266" s="44"/>
      <x:c r="K266" s="44"/>
    </x:row>
    <x:row r="267">
      <x:c r="C267" s="21"/>
      <x:c r="G267" s="44"/>
      <x:c r="H267" s="44"/>
      <x:c r="I267" s="44"/>
      <x:c r="J267" s="44"/>
      <x:c r="K267" s="44"/>
    </x:row>
    <x:row r="268">
      <x:c r="C268" s="21"/>
      <x:c r="G268" s="44"/>
      <x:c r="H268" s="44"/>
      <x:c r="I268" s="44"/>
      <x:c r="J268" s="44"/>
      <x:c r="K268" s="44"/>
    </x:row>
    <x:row r="269">
      <x:c r="C269" s="21"/>
      <x:c r="G269" s="44"/>
      <x:c r="H269" s="44"/>
      <x:c r="I269" s="44"/>
      <x:c r="J269" s="44"/>
      <x:c r="K269" s="44"/>
    </x:row>
    <x:row r="270">
      <x:c r="C270" s="21"/>
      <x:c r="G270" s="44"/>
      <x:c r="H270" s="44"/>
      <x:c r="I270" s="44"/>
      <x:c r="J270" s="44"/>
      <x:c r="K270" s="44"/>
    </x:row>
    <x:row r="271">
      <x:c r="C271" s="21"/>
      <x:c r="G271" s="44"/>
      <x:c r="H271" s="44"/>
      <x:c r="I271" s="44"/>
      <x:c r="J271" s="44"/>
      <x:c r="K271" s="44"/>
    </x:row>
    <x:row r="272">
      <x:c r="C272" s="21"/>
      <x:c r="G272" s="44"/>
      <x:c r="H272" s="44"/>
      <x:c r="I272" s="44"/>
      <x:c r="J272" s="44"/>
      <x:c r="K272" s="44"/>
    </x:row>
    <x:row r="273">
      <x:c r="C273" s="21"/>
      <x:c r="G273" s="44"/>
      <x:c r="H273" s="44"/>
      <x:c r="I273" s="44"/>
      <x:c r="J273" s="44"/>
      <x:c r="K273" s="44"/>
    </x:row>
    <x:row r="274">
      <x:c r="C274" s="21"/>
      <x:c r="G274" s="44"/>
      <x:c r="H274" s="44"/>
      <x:c r="I274" s="44"/>
      <x:c r="J274" s="44"/>
      <x:c r="K274" s="44"/>
    </x:row>
    <x:row r="275">
      <x:c r="C275" s="21"/>
      <x:c r="G275" s="44"/>
      <x:c r="H275" s="44"/>
      <x:c r="I275" s="44"/>
      <x:c r="J275" s="44"/>
      <x:c r="K275" s="44"/>
    </x:row>
    <x:row r="276">
      <x:c r="C276" s="21"/>
      <x:c r="G276" s="44"/>
      <x:c r="H276" s="44"/>
      <x:c r="I276" s="44"/>
      <x:c r="J276" s="44"/>
      <x:c r="K276" s="44"/>
    </x:row>
    <x:row r="277">
      <x:c r="C277" s="21"/>
      <x:c r="G277" s="44"/>
      <x:c r="H277" s="44"/>
      <x:c r="I277" s="44"/>
      <x:c r="J277" s="44"/>
      <x:c r="K277" s="44"/>
    </x:row>
    <x:row r="278">
      <x:c r="C278" s="21"/>
      <x:c r="G278" s="44"/>
      <x:c r="H278" s="44"/>
      <x:c r="I278" s="44"/>
      <x:c r="J278" s="44"/>
      <x:c r="K278" s="44"/>
    </x:row>
    <x:row r="279">
      <x:c r="C279" s="21"/>
      <x:c r="G279" s="44"/>
      <x:c r="H279" s="44"/>
      <x:c r="I279" s="44"/>
      <x:c r="J279" s="44"/>
      <x:c r="K279" s="44"/>
    </x:row>
    <x:row r="280">
      <x:c r="C280" s="21"/>
      <x:c r="G280" s="44"/>
      <x:c r="H280" s="44"/>
      <x:c r="I280" s="44"/>
      <x:c r="J280" s="44"/>
      <x:c r="K280" s="44"/>
    </x:row>
    <x:row r="281">
      <x:c r="C281" s="21"/>
      <x:c r="G281" s="44"/>
      <x:c r="H281" s="44"/>
      <x:c r="I281" s="44"/>
      <x:c r="J281" s="44"/>
      <x:c r="K281" s="44"/>
    </x:row>
    <x:row r="282">
      <x:c r="C282" s="21"/>
      <x:c r="G282" s="44"/>
      <x:c r="H282" s="44"/>
      <x:c r="I282" s="44"/>
      <x:c r="J282" s="44"/>
      <x:c r="K282" s="44"/>
    </x:row>
    <x:row r="283">
      <x:c r="C283" s="21"/>
      <x:c r="G283" s="44"/>
      <x:c r="H283" s="44"/>
      <x:c r="I283" s="44"/>
      <x:c r="J283" s="44"/>
      <x:c r="K283" s="44"/>
    </x:row>
    <x:row r="284">
      <x:c r="C284" s="21"/>
      <x:c r="G284" s="44"/>
      <x:c r="H284" s="44"/>
      <x:c r="I284" s="44"/>
      <x:c r="J284" s="44"/>
      <x:c r="K284" s="44"/>
    </x:row>
    <x:row r="285">
      <x:c r="C285" s="21"/>
      <x:c r="G285" s="44"/>
      <x:c r="H285" s="44"/>
      <x:c r="I285" s="44"/>
      <x:c r="J285" s="44"/>
      <x:c r="K285" s="44"/>
    </x:row>
    <x:row r="286">
      <x:c r="C286" s="21"/>
      <x:c r="G286" s="44"/>
      <x:c r="H286" s="44"/>
      <x:c r="I286" s="44"/>
      <x:c r="J286" s="44"/>
      <x:c r="K286" s="44"/>
    </x:row>
    <x:row r="287">
      <x:c r="C287" s="21"/>
      <x:c r="G287" s="44"/>
      <x:c r="H287" s="44"/>
      <x:c r="I287" s="44"/>
      <x:c r="J287" s="44"/>
      <x:c r="K287" s="44"/>
    </x:row>
    <x:row r="288">
      <x:c r="C288" s="21"/>
      <x:c r="G288" s="44"/>
      <x:c r="H288" s="44"/>
      <x:c r="I288" s="44"/>
      <x:c r="J288" s="44"/>
      <x:c r="K288" s="44"/>
    </x:row>
    <x:row r="289">
      <x:c r="C289" s="21"/>
      <x:c r="G289" s="44"/>
      <x:c r="H289" s="44"/>
      <x:c r="I289" s="44"/>
      <x:c r="J289" s="44"/>
      <x:c r="K289" s="44"/>
    </x:row>
    <x:row r="290">
      <x:c r="C290" s="21"/>
      <x:c r="G290" s="44"/>
      <x:c r="H290" s="44"/>
      <x:c r="I290" s="44"/>
      <x:c r="J290" s="44"/>
      <x:c r="K290" s="44"/>
    </x:row>
    <x:row r="291">
      <x:c r="C291" s="21"/>
      <x:c r="G291" s="44"/>
      <x:c r="H291" s="44"/>
      <x:c r="I291" s="44"/>
      <x:c r="J291" s="44"/>
      <x:c r="K291" s="44"/>
    </x:row>
    <x:row r="292">
      <x:c r="C292" s="21"/>
      <x:c r="G292" s="44"/>
      <x:c r="H292" s="44"/>
      <x:c r="I292" s="44"/>
      <x:c r="J292" s="44"/>
      <x:c r="K292" s="44"/>
    </x:row>
    <x:row r="293">
      <x:c r="C293" s="21"/>
      <x:c r="G293" s="44"/>
      <x:c r="H293" s="44"/>
      <x:c r="I293" s="44"/>
      <x:c r="J293" s="44"/>
      <x:c r="K293" s="44"/>
    </x:row>
    <x:row r="294">
      <x:c r="C294" s="21"/>
      <x:c r="G294" s="44"/>
      <x:c r="H294" s="44"/>
      <x:c r="I294" s="44"/>
      <x:c r="J294" s="44"/>
      <x:c r="K294" s="44"/>
    </x:row>
    <x:row r="295">
      <x:c r="C295" s="21"/>
      <x:c r="G295" s="44"/>
      <x:c r="H295" s="44"/>
      <x:c r="I295" s="44"/>
      <x:c r="J295" s="44"/>
      <x:c r="K295" s="44"/>
    </x:row>
    <x:row r="296">
      <x:c r="C296" s="21"/>
      <x:c r="G296" s="44"/>
      <x:c r="H296" s="44"/>
      <x:c r="I296" s="44"/>
      <x:c r="J296" s="44"/>
      <x:c r="K296" s="44"/>
    </x:row>
    <x:row r="297">
      <x:c r="C297" s="21"/>
      <x:c r="G297" s="44"/>
      <x:c r="H297" s="44"/>
      <x:c r="I297" s="44"/>
      <x:c r="J297" s="44"/>
      <x:c r="K297" s="44"/>
    </x:row>
    <x:row r="298">
      <x:c r="C298" s="21"/>
      <x:c r="G298" s="44"/>
      <x:c r="H298" s="44"/>
      <x:c r="I298" s="44"/>
      <x:c r="J298" s="44"/>
      <x:c r="K298" s="44"/>
    </x:row>
    <x:row r="299">
      <x:c r="C299" s="21"/>
      <x:c r="G299" s="44"/>
      <x:c r="H299" s="44"/>
      <x:c r="I299" s="44"/>
      <x:c r="J299" s="44"/>
      <x:c r="K299" s="44"/>
    </x:row>
    <x:row r="300">
      <x:c r="C300" s="21"/>
      <x:c r="G300" s="44"/>
      <x:c r="H300" s="44"/>
      <x:c r="I300" s="44"/>
      <x:c r="J300" s="44"/>
      <x:c r="K300" s="44"/>
    </x:row>
    <x:row r="301">
      <x:c r="C301" s="21"/>
      <x:c r="G301" s="44"/>
      <x:c r="H301" s="44"/>
      <x:c r="I301" s="44"/>
      <x:c r="J301" s="44"/>
      <x:c r="K301" s="44"/>
    </x:row>
    <x:row r="302">
      <x:c r="C302" s="21"/>
      <x:c r="G302" s="44"/>
      <x:c r="H302" s="44"/>
      <x:c r="I302" s="44"/>
      <x:c r="J302" s="44"/>
      <x:c r="K302" s="44"/>
    </x:row>
    <x:row r="303">
      <x:c r="C303" s="21"/>
      <x:c r="G303" s="44"/>
      <x:c r="H303" s="44"/>
      <x:c r="I303" s="44"/>
      <x:c r="J303" s="44"/>
      <x:c r="K303" s="44"/>
    </x:row>
    <x:row r="304">
      <x:c r="C304" s="21"/>
      <x:c r="G304" s="44"/>
      <x:c r="H304" s="44"/>
      <x:c r="I304" s="44"/>
      <x:c r="J304" s="44"/>
      <x:c r="K304" s="44"/>
    </x:row>
    <x:row r="305">
      <x:c r="C305" s="21"/>
      <x:c r="G305" s="44"/>
      <x:c r="H305" s="44"/>
      <x:c r="I305" s="44"/>
      <x:c r="J305" s="44"/>
      <x:c r="K305" s="44"/>
    </x:row>
    <x:row r="306">
      <x:c r="C306" s="21"/>
      <x:c r="G306" s="44"/>
      <x:c r="H306" s="44"/>
      <x:c r="I306" s="44"/>
      <x:c r="J306" s="44"/>
      <x:c r="K306" s="44"/>
    </x:row>
    <x:row r="307">
      <x:c r="C307" s="21"/>
      <x:c r="G307" s="44"/>
      <x:c r="H307" s="44"/>
      <x:c r="I307" s="44"/>
      <x:c r="J307" s="44"/>
      <x:c r="K307" s="44"/>
    </x:row>
    <x:row r="308">
      <x:c r="C308" s="21"/>
      <x:c r="G308" s="44"/>
      <x:c r="H308" s="44"/>
      <x:c r="I308" s="44"/>
      <x:c r="J308" s="44"/>
      <x:c r="K308" s="44"/>
    </x:row>
    <x:row r="309">
      <x:c r="C309" s="21"/>
      <x:c r="G309" s="44"/>
      <x:c r="H309" s="44"/>
      <x:c r="I309" s="44"/>
      <x:c r="J309" s="44"/>
      <x:c r="K309" s="44"/>
    </x:row>
    <x:row r="310">
      <x:c r="C310" s="21"/>
      <x:c r="G310" s="44"/>
      <x:c r="H310" s="44"/>
      <x:c r="I310" s="44"/>
      <x:c r="J310" s="44"/>
      <x:c r="K310" s="44"/>
    </x:row>
    <x:row r="311">
      <x:c r="C311" s="21"/>
      <x:c r="G311" s="44"/>
      <x:c r="H311" s="44"/>
      <x:c r="I311" s="44"/>
      <x:c r="J311" s="44"/>
      <x:c r="K311" s="44"/>
    </x:row>
    <x:row r="312">
      <x:c r="C312" s="21"/>
      <x:c r="G312" s="44"/>
      <x:c r="H312" s="44"/>
      <x:c r="I312" s="44"/>
      <x:c r="J312" s="44"/>
      <x:c r="K312" s="44"/>
    </x:row>
    <x:row r="313">
      <x:c r="C313" s="21"/>
      <x:c r="G313" s="44"/>
      <x:c r="H313" s="44"/>
      <x:c r="I313" s="44"/>
      <x:c r="J313" s="44"/>
      <x:c r="K313" s="44"/>
    </x:row>
    <x:row r="314">
      <x:c r="C314" s="21"/>
      <x:c r="G314" s="44"/>
      <x:c r="H314" s="44"/>
      <x:c r="I314" s="44"/>
      <x:c r="J314" s="44"/>
      <x:c r="K314" s="44"/>
    </x:row>
    <x:row r="315">
      <x:c r="C315" s="21"/>
      <x:c r="G315" s="44"/>
      <x:c r="H315" s="44"/>
      <x:c r="I315" s="44"/>
      <x:c r="J315" s="44"/>
      <x:c r="K315" s="44"/>
    </x:row>
    <x:row r="316">
      <x:c r="C316" s="21"/>
      <x:c r="G316" s="44"/>
      <x:c r="H316" s="44"/>
      <x:c r="I316" s="44"/>
      <x:c r="J316" s="44"/>
      <x:c r="K316" s="44"/>
    </x:row>
    <x:row r="317">
      <x:c r="C317" s="21"/>
      <x:c r="G317" s="44"/>
      <x:c r="H317" s="44"/>
      <x:c r="I317" s="44"/>
      <x:c r="J317" s="44"/>
      <x:c r="K317" s="44"/>
    </x:row>
    <x:row r="318">
      <x:c r="C318" s="21"/>
      <x:c r="G318" s="44"/>
      <x:c r="H318" s="44"/>
      <x:c r="I318" s="44"/>
      <x:c r="J318" s="44"/>
      <x:c r="K318" s="44"/>
    </x:row>
    <x:row r="319">
      <x:c r="C319" s="21"/>
      <x:c r="G319" s="44"/>
      <x:c r="H319" s="44"/>
      <x:c r="I319" s="44"/>
      <x:c r="J319" s="44"/>
      <x:c r="K319" s="44"/>
    </x:row>
    <x:row r="320">
      <x:c r="C320" s="21"/>
      <x:c r="G320" s="44"/>
      <x:c r="H320" s="44"/>
      <x:c r="I320" s="44"/>
      <x:c r="J320" s="44"/>
      <x:c r="K320" s="44"/>
    </x:row>
    <x:row r="321">
      <x:c r="C321" s="21"/>
      <x:c r="G321" s="44"/>
      <x:c r="H321" s="44"/>
      <x:c r="I321" s="44"/>
      <x:c r="J321" s="44"/>
      <x:c r="K321" s="44"/>
    </x:row>
    <x:row r="322">
      <x:c r="C322" s="21"/>
      <x:c r="G322" s="44"/>
      <x:c r="H322" s="44"/>
      <x:c r="I322" s="44"/>
      <x:c r="J322" s="44"/>
      <x:c r="K322" s="44"/>
    </x:row>
    <x:row r="323">
      <x:c r="C323" s="21"/>
      <x:c r="G323" s="44"/>
      <x:c r="H323" s="44"/>
      <x:c r="I323" s="44"/>
      <x:c r="J323" s="44"/>
      <x:c r="K323" s="44"/>
    </x:row>
    <x:row r="324">
      <x:c r="C324" s="21"/>
      <x:c r="G324" s="44"/>
      <x:c r="H324" s="44"/>
      <x:c r="I324" s="44"/>
      <x:c r="J324" s="44"/>
      <x:c r="K324" s="44"/>
    </x:row>
    <x:row r="325">
      <x:c r="C325" s="21"/>
      <x:c r="G325" s="44"/>
      <x:c r="H325" s="44"/>
      <x:c r="I325" s="44"/>
      <x:c r="J325" s="44"/>
      <x:c r="K325" s="44"/>
    </x:row>
    <x:row r="326">
      <x:c r="C326" s="21"/>
      <x:c r="G326" s="44"/>
      <x:c r="H326" s="44"/>
      <x:c r="I326" s="44"/>
      <x:c r="J326" s="44"/>
      <x:c r="K326" s="44"/>
    </x:row>
    <x:row r="327">
      <x:c r="C327" s="21"/>
      <x:c r="G327" s="44"/>
      <x:c r="H327" s="44"/>
      <x:c r="I327" s="44"/>
      <x:c r="J327" s="44"/>
      <x:c r="K327" s="44"/>
    </x:row>
    <x:row r="328">
      <x:c r="C328" s="21"/>
      <x:c r="G328" s="44"/>
      <x:c r="H328" s="44"/>
      <x:c r="I328" s="44"/>
      <x:c r="J328" s="44"/>
      <x:c r="K328" s="44"/>
    </x:row>
    <x:row r="329">
      <x:c r="C329" s="21"/>
      <x:c r="G329" s="44"/>
      <x:c r="H329" s="44"/>
      <x:c r="I329" s="44"/>
      <x:c r="J329" s="44"/>
      <x:c r="K329" s="44"/>
    </x:row>
    <x:row r="330">
      <x:c r="C330" s="21"/>
      <x:c r="G330" s="44"/>
      <x:c r="H330" s="44"/>
      <x:c r="I330" s="44"/>
      <x:c r="J330" s="44"/>
      <x:c r="K330" s="44"/>
    </x:row>
    <x:row r="331">
      <x:c r="C331" s="21"/>
      <x:c r="G331" s="44"/>
      <x:c r="H331" s="44"/>
      <x:c r="I331" s="44"/>
      <x:c r="J331" s="44"/>
      <x:c r="K331" s="44"/>
    </x:row>
    <x:row r="332">
      <x:c r="C332" s="21"/>
      <x:c r="G332" s="44"/>
      <x:c r="H332" s="44"/>
      <x:c r="I332" s="44"/>
      <x:c r="J332" s="44"/>
      <x:c r="K332" s="44"/>
    </x:row>
    <x:row r="333">
      <x:c r="C333" s="21"/>
      <x:c r="G333" s="44"/>
      <x:c r="H333" s="44"/>
      <x:c r="I333" s="44"/>
      <x:c r="J333" s="44"/>
      <x:c r="K333" s="44"/>
    </x:row>
    <x:row r="334">
      <x:c r="C334" s="21"/>
      <x:c r="G334" s="44"/>
      <x:c r="H334" s="44"/>
      <x:c r="I334" s="44"/>
      <x:c r="J334" s="44"/>
      <x:c r="K334" s="44"/>
    </x:row>
    <x:row r="335">
      <x:c r="C335" s="21"/>
      <x:c r="G335" s="44"/>
      <x:c r="H335" s="44"/>
      <x:c r="I335" s="44"/>
      <x:c r="J335" s="44"/>
      <x:c r="K335" s="44"/>
    </x:row>
    <x:row r="336">
      <x:c r="C336" s="21"/>
      <x:c r="G336" s="44"/>
      <x:c r="H336" s="44"/>
      <x:c r="I336" s="44"/>
      <x:c r="J336" s="44"/>
      <x:c r="K336" s="44"/>
    </x:row>
    <x:row r="337">
      <x:c r="C337" s="21"/>
      <x:c r="G337" s="44"/>
      <x:c r="H337" s="44"/>
      <x:c r="I337" s="44"/>
      <x:c r="J337" s="44"/>
      <x:c r="K337" s="44"/>
    </x:row>
    <x:row r="338">
      <x:c r="C338" s="21"/>
      <x:c r="G338" s="44"/>
      <x:c r="H338" s="44"/>
      <x:c r="I338" s="44"/>
      <x:c r="J338" s="44"/>
      <x:c r="K338" s="44"/>
    </x:row>
    <x:row r="339">
      <x:c r="C339" s="21"/>
      <x:c r="G339" s="44"/>
      <x:c r="H339" s="44"/>
      <x:c r="I339" s="44"/>
      <x:c r="J339" s="44"/>
      <x:c r="K339" s="44"/>
    </x:row>
    <x:row r="340">
      <x:c r="C340" s="21"/>
      <x:c r="G340" s="44"/>
      <x:c r="H340" s="44"/>
      <x:c r="I340" s="44"/>
      <x:c r="J340" s="44"/>
      <x:c r="K340" s="44"/>
    </x:row>
    <x:row r="341">
      <x:c r="C341" s="21"/>
      <x:c r="G341" s="44"/>
      <x:c r="H341" s="44"/>
      <x:c r="I341" s="44"/>
      <x:c r="J341" s="44"/>
      <x:c r="K341" s="44"/>
    </x:row>
    <x:row r="342">
      <x:c r="C342" s="21"/>
      <x:c r="G342" s="44"/>
      <x:c r="H342" s="44"/>
      <x:c r="I342" s="44"/>
      <x:c r="J342" s="44"/>
      <x:c r="K342" s="44"/>
    </x:row>
    <x:row r="343">
      <x:c r="C343" s="21"/>
      <x:c r="G343" s="44"/>
      <x:c r="H343" s="44"/>
      <x:c r="I343" s="44"/>
      <x:c r="J343" s="44"/>
      <x:c r="K343" s="44"/>
    </x:row>
    <x:row r="344">
      <x:c r="C344" s="21"/>
      <x:c r="G344" s="44"/>
      <x:c r="H344" s="44"/>
      <x:c r="I344" s="44"/>
      <x:c r="J344" s="44"/>
      <x:c r="K344" s="44"/>
    </x:row>
    <x:row r="345">
      <x:c r="C345" s="21"/>
      <x:c r="G345" s="44"/>
      <x:c r="H345" s="44"/>
      <x:c r="I345" s="44"/>
      <x:c r="J345" s="44"/>
      <x:c r="K345" s="44"/>
    </x:row>
    <x:row r="346">
      <x:c r="C346" s="21"/>
      <x:c r="G346" s="44"/>
      <x:c r="H346" s="44"/>
      <x:c r="I346" s="44"/>
      <x:c r="J346" s="44"/>
      <x:c r="K346" s="44"/>
    </x:row>
    <x:row r="347">
      <x:c r="C347" s="21"/>
      <x:c r="G347" s="44"/>
      <x:c r="H347" s="44"/>
      <x:c r="I347" s="44"/>
      <x:c r="J347" s="44"/>
      <x:c r="K347" s="44"/>
    </x:row>
    <x:row r="348">
      <x:c r="C348" s="21"/>
      <x:c r="G348" s="44"/>
      <x:c r="H348" s="44"/>
      <x:c r="I348" s="44"/>
      <x:c r="J348" s="44"/>
      <x:c r="K348" s="44"/>
    </x:row>
    <x:row r="349">
      <x:c r="C349" s="21"/>
      <x:c r="G349" s="44"/>
      <x:c r="H349" s="44"/>
      <x:c r="I349" s="44"/>
      <x:c r="J349" s="44"/>
      <x:c r="K349" s="44"/>
    </x:row>
    <x:row r="350">
      <x:c r="C350" s="21"/>
      <x:c r="G350" s="44"/>
      <x:c r="H350" s="44"/>
      <x:c r="I350" s="44"/>
      <x:c r="J350" s="44"/>
      <x:c r="K350" s="44"/>
    </x:row>
    <x:row r="351">
      <x:c r="C351" s="21"/>
      <x:c r="G351" s="44"/>
      <x:c r="H351" s="44"/>
      <x:c r="I351" s="44"/>
      <x:c r="J351" s="44"/>
      <x:c r="K351" s="44"/>
    </x:row>
    <x:row r="352">
      <x:c r="C352" s="21"/>
      <x:c r="G352" s="44"/>
      <x:c r="H352" s="44"/>
      <x:c r="I352" s="44"/>
      <x:c r="J352" s="44"/>
      <x:c r="K352" s="44"/>
    </x:row>
    <x:row r="353">
      <x:c r="C353" s="21"/>
      <x:c r="G353" s="44"/>
      <x:c r="H353" s="44"/>
      <x:c r="I353" s="44"/>
      <x:c r="J353" s="44"/>
      <x:c r="K353" s="44"/>
    </x:row>
    <x:row r="354">
      <x:c r="C354" s="21"/>
      <x:c r="G354" s="44"/>
      <x:c r="H354" s="44"/>
      <x:c r="I354" s="44"/>
      <x:c r="J354" s="44"/>
      <x:c r="K354" s="44"/>
    </x:row>
    <x:row r="355">
      <x:c r="C355" s="21"/>
      <x:c r="G355" s="44"/>
      <x:c r="H355" s="44"/>
      <x:c r="I355" s="44"/>
      <x:c r="J355" s="44"/>
      <x:c r="K355" s="44"/>
    </x:row>
    <x:row r="356">
      <x:c r="C356" s="21"/>
      <x:c r="G356" s="44"/>
      <x:c r="H356" s="44"/>
      <x:c r="I356" s="44"/>
      <x:c r="J356" s="44"/>
      <x:c r="K356" s="44"/>
    </x:row>
    <x:row r="357">
      <x:c r="C357" s="21"/>
      <x:c r="G357" s="44"/>
      <x:c r="H357" s="44"/>
      <x:c r="I357" s="44"/>
      <x:c r="J357" s="44"/>
      <x:c r="K357" s="44"/>
    </x:row>
    <x:row r="358">
      <x:c r="C358" s="21"/>
      <x:c r="G358" s="44"/>
      <x:c r="H358" s="44"/>
      <x:c r="I358" s="44"/>
      <x:c r="J358" s="44"/>
      <x:c r="K358" s="44"/>
    </x:row>
    <x:row r="359">
      <x:c r="C359" s="21"/>
      <x:c r="G359" s="44"/>
      <x:c r="H359" s="44"/>
      <x:c r="I359" s="44"/>
      <x:c r="J359" s="44"/>
      <x:c r="K359" s="44"/>
    </x:row>
    <x:row r="360">
      <x:c r="C360" s="21"/>
      <x:c r="G360" s="44"/>
      <x:c r="H360" s="44"/>
      <x:c r="I360" s="44"/>
      <x:c r="J360" s="44"/>
      <x:c r="K360" s="44"/>
    </x:row>
    <x:row r="361">
      <x:c r="C361" s="21"/>
      <x:c r="G361" s="44"/>
      <x:c r="H361" s="44"/>
      <x:c r="I361" s="44"/>
      <x:c r="J361" s="44"/>
      <x:c r="K361" s="44"/>
    </x:row>
    <x:row r="362">
      <x:c r="C362" s="21"/>
      <x:c r="G362" s="44"/>
      <x:c r="H362" s="44"/>
      <x:c r="I362" s="44"/>
      <x:c r="J362" s="44"/>
      <x:c r="K362" s="44"/>
    </x:row>
    <x:row r="363">
      <x:c r="C363" s="21"/>
      <x:c r="G363" s="44"/>
      <x:c r="H363" s="44"/>
      <x:c r="I363" s="44"/>
      <x:c r="J363" s="44"/>
      <x:c r="K363" s="44"/>
    </x:row>
    <x:row r="364">
      <x:c r="C364" s="21"/>
      <x:c r="G364" s="44"/>
      <x:c r="H364" s="44"/>
      <x:c r="I364" s="44"/>
      <x:c r="J364" s="44"/>
      <x:c r="K364" s="44"/>
    </x:row>
    <x:row r="365">
      <x:c r="C365" s="21"/>
      <x:c r="G365" s="44"/>
      <x:c r="H365" s="44"/>
      <x:c r="I365" s="44"/>
      <x:c r="J365" s="44"/>
      <x:c r="K365" s="44"/>
    </x:row>
    <x:row r="366">
      <x:c r="C366" s="21"/>
      <x:c r="G366" s="44"/>
      <x:c r="H366" s="44"/>
      <x:c r="I366" s="44"/>
      <x:c r="J366" s="44"/>
      <x:c r="K366" s="44"/>
    </x:row>
    <x:row r="367">
      <x:c r="C367" s="21"/>
      <x:c r="G367" s="44"/>
      <x:c r="H367" s="44"/>
      <x:c r="I367" s="44"/>
      <x:c r="J367" s="44"/>
      <x:c r="K367" s="44"/>
    </x:row>
    <x:row r="368">
      <x:c r="C368" s="21"/>
      <x:c r="G368" s="44"/>
      <x:c r="H368" s="44"/>
      <x:c r="I368" s="44"/>
      <x:c r="J368" s="44"/>
      <x:c r="K368" s="44"/>
    </x:row>
    <x:row r="369">
      <x:c r="C369" s="21"/>
      <x:c r="G369" s="44"/>
      <x:c r="H369" s="44"/>
      <x:c r="I369" s="44"/>
      <x:c r="J369" s="44"/>
      <x:c r="K369" s="44"/>
    </x:row>
    <x:row r="370">
      <x:c r="C370" s="21"/>
      <x:c r="G370" s="44"/>
      <x:c r="H370" s="44"/>
      <x:c r="I370" s="44"/>
      <x:c r="J370" s="44"/>
      <x:c r="K370" s="44"/>
    </x:row>
    <x:row r="371">
      <x:c r="C371" s="21"/>
      <x:c r="G371" s="44"/>
      <x:c r="H371" s="44"/>
      <x:c r="I371" s="44"/>
      <x:c r="J371" s="44"/>
      <x:c r="K371" s="44"/>
    </x:row>
    <x:row r="372">
      <x:c r="C372" s="21"/>
      <x:c r="G372" s="44"/>
      <x:c r="H372" s="44"/>
      <x:c r="I372" s="44"/>
      <x:c r="J372" s="44"/>
      <x:c r="K372" s="44"/>
    </x:row>
    <x:row r="373">
      <x:c r="C373" s="21"/>
      <x:c r="G373" s="44"/>
      <x:c r="H373" s="44"/>
      <x:c r="I373" s="44"/>
      <x:c r="J373" s="44"/>
      <x:c r="K373" s="44"/>
    </x:row>
    <x:row r="374">
      <x:c r="C374" s="21"/>
      <x:c r="G374" s="44"/>
      <x:c r="H374" s="44"/>
      <x:c r="I374" s="44"/>
      <x:c r="J374" s="44"/>
      <x:c r="K374" s="44"/>
    </x:row>
    <x:row r="375">
      <x:c r="C375" s="21"/>
      <x:c r="G375" s="44"/>
      <x:c r="H375" s="44"/>
      <x:c r="I375" s="44"/>
      <x:c r="J375" s="44"/>
      <x:c r="K375" s="44"/>
    </x:row>
    <x:row r="376">
      <x:c r="C376" s="21"/>
      <x:c r="G376" s="44"/>
      <x:c r="H376" s="44"/>
      <x:c r="I376" s="44"/>
      <x:c r="J376" s="44"/>
      <x:c r="K376" s="44"/>
    </x:row>
    <x:row r="377">
      <x:c r="C377" s="21"/>
      <x:c r="G377" s="44"/>
      <x:c r="H377" s="44"/>
      <x:c r="I377" s="44"/>
      <x:c r="J377" s="44"/>
      <x:c r="K377" s="44"/>
    </x:row>
    <x:row r="378">
      <x:c r="C378" s="21"/>
      <x:c r="G378" s="44"/>
      <x:c r="H378" s="44"/>
      <x:c r="I378" s="44"/>
      <x:c r="J378" s="44"/>
      <x:c r="K378" s="44"/>
    </x:row>
    <x:row r="379">
      <x:c r="C379" s="21"/>
      <x:c r="G379" s="44"/>
      <x:c r="H379" s="44"/>
      <x:c r="I379" s="44"/>
      <x:c r="J379" s="44"/>
      <x:c r="K379" s="44"/>
    </x:row>
    <x:row r="380">
      <x:c r="C380" s="21"/>
      <x:c r="G380" s="44"/>
      <x:c r="H380" s="44"/>
      <x:c r="I380" s="44"/>
      <x:c r="J380" s="44"/>
      <x:c r="K380" s="44"/>
    </x:row>
    <x:row r="381">
      <x:c r="C381" s="21"/>
      <x:c r="G381" s="44"/>
      <x:c r="H381" s="44"/>
      <x:c r="I381" s="44"/>
      <x:c r="J381" s="44"/>
      <x:c r="K381" s="44"/>
    </x:row>
    <x:row r="382">
      <x:c r="C382" s="21"/>
      <x:c r="G382" s="44"/>
      <x:c r="H382" s="44"/>
      <x:c r="I382" s="44"/>
      <x:c r="J382" s="44"/>
      <x:c r="K382" s="44"/>
    </x:row>
    <x:row r="383">
      <x:c r="C383" s="21"/>
      <x:c r="G383" s="44"/>
      <x:c r="H383" s="44"/>
      <x:c r="I383" s="44"/>
      <x:c r="J383" s="44"/>
      <x:c r="K383" s="44"/>
    </x:row>
    <x:row r="384">
      <x:c r="C384" s="21"/>
      <x:c r="G384" s="44"/>
      <x:c r="H384" s="44"/>
      <x:c r="I384" s="44"/>
      <x:c r="J384" s="44"/>
      <x:c r="K384" s="44"/>
    </x:row>
    <x:row r="385">
      <x:c r="C385" s="21"/>
      <x:c r="G385" s="44"/>
      <x:c r="H385" s="44"/>
      <x:c r="I385" s="44"/>
      <x:c r="J385" s="44"/>
      <x:c r="K385" s="44"/>
    </x:row>
    <x:row r="386">
      <x:c r="C386" s="21"/>
      <x:c r="G386" s="44"/>
      <x:c r="H386" s="44"/>
      <x:c r="I386" s="44"/>
      <x:c r="J386" s="44"/>
      <x:c r="K386" s="44"/>
    </x:row>
    <x:row r="387">
      <x:c r="C387" s="21"/>
      <x:c r="G387" s="44"/>
      <x:c r="H387" s="44"/>
      <x:c r="I387" s="44"/>
      <x:c r="J387" s="44"/>
      <x:c r="K387" s="44"/>
    </x:row>
    <x:row r="388">
      <x:c r="C388" s="21"/>
      <x:c r="G388" s="44"/>
      <x:c r="H388" s="44"/>
      <x:c r="I388" s="44"/>
      <x:c r="J388" s="44"/>
      <x:c r="K388" s="44"/>
    </x:row>
    <x:row r="389">
      <x:c r="C389" s="21"/>
      <x:c r="G389" s="44"/>
      <x:c r="H389" s="44"/>
      <x:c r="I389" s="44"/>
      <x:c r="J389" s="44"/>
      <x:c r="K389" s="44"/>
    </x:row>
    <x:row r="390">
      <x:c r="C390" s="21"/>
      <x:c r="G390" s="44"/>
      <x:c r="H390" s="44"/>
      <x:c r="I390" s="44"/>
      <x:c r="J390" s="44"/>
      <x:c r="K390" s="44"/>
    </x:row>
    <x:row r="391">
      <x:c r="C391" s="21"/>
      <x:c r="G391" s="44"/>
      <x:c r="H391" s="44"/>
      <x:c r="I391" s="44"/>
      <x:c r="J391" s="44"/>
      <x:c r="K391" s="44"/>
    </x:row>
    <x:row r="392">
      <x:c r="C392" s="21"/>
      <x:c r="G392" s="44"/>
      <x:c r="H392" s="44"/>
      <x:c r="I392" s="44"/>
      <x:c r="J392" s="44"/>
      <x:c r="K392" s="44"/>
    </x:row>
    <x:row r="393">
      <x:c r="C393" s="21"/>
      <x:c r="G393" s="44"/>
      <x:c r="H393" s="44"/>
      <x:c r="I393" s="44"/>
      <x:c r="J393" s="44"/>
      <x:c r="K393" s="44"/>
    </x:row>
    <x:row r="394">
      <x:c r="C394" s="21"/>
      <x:c r="G394" s="44"/>
      <x:c r="H394" s="44"/>
      <x:c r="I394" s="44"/>
      <x:c r="J394" s="44"/>
      <x:c r="K394" s="44"/>
    </x:row>
    <x:row r="395">
      <x:c r="C395" s="21"/>
      <x:c r="G395" s="44"/>
      <x:c r="H395" s="44"/>
      <x:c r="I395" s="44"/>
      <x:c r="J395" s="44"/>
      <x:c r="K395" s="44"/>
    </x:row>
    <x:row r="396">
      <x:c r="C396" s="21"/>
      <x:c r="G396" s="44"/>
      <x:c r="H396" s="44"/>
      <x:c r="I396" s="44"/>
      <x:c r="J396" s="44"/>
      <x:c r="K396" s="44"/>
    </x:row>
    <x:row r="397">
      <x:c r="C397" s="21"/>
      <x:c r="G397" s="44"/>
      <x:c r="H397" s="44"/>
      <x:c r="I397" s="44"/>
      <x:c r="J397" s="44"/>
      <x:c r="K397" s="44"/>
    </x:row>
    <x:row r="398">
      <x:c r="C398" s="21"/>
      <x:c r="G398" s="44"/>
      <x:c r="H398" s="44"/>
      <x:c r="I398" s="44"/>
      <x:c r="J398" s="44"/>
      <x:c r="K398" s="44"/>
    </x:row>
    <x:row r="399">
      <x:c r="C399" s="21"/>
      <x:c r="G399" s="44"/>
      <x:c r="H399" s="44"/>
      <x:c r="I399" s="44"/>
      <x:c r="J399" s="44"/>
      <x:c r="K399" s="44"/>
    </x:row>
    <x:row r="400">
      <x:c r="C400" s="21"/>
      <x:c r="G400" s="44"/>
      <x:c r="H400" s="44"/>
      <x:c r="I400" s="44"/>
      <x:c r="J400" s="44"/>
      <x:c r="K400" s="44"/>
    </x:row>
    <x:row r="401">
      <x:c r="C401" s="21"/>
      <x:c r="G401" s="44"/>
      <x:c r="H401" s="44"/>
      <x:c r="I401" s="44"/>
      <x:c r="J401" s="44"/>
      <x:c r="K401" s="44"/>
    </x:row>
    <x:row r="402">
      <x:c r="C402" s="21"/>
      <x:c r="G402" s="44"/>
      <x:c r="H402" s="44"/>
      <x:c r="I402" s="44"/>
      <x:c r="J402" s="44"/>
      <x:c r="K402" s="44"/>
    </x:row>
    <x:row r="403">
      <x:c r="C403" s="21"/>
      <x:c r="G403" s="44"/>
      <x:c r="H403" s="44"/>
      <x:c r="I403" s="44"/>
      <x:c r="J403" s="44"/>
      <x:c r="K403" s="44"/>
    </x:row>
    <x:row r="404">
      <x:c r="C404" s="21"/>
      <x:c r="G404" s="44"/>
      <x:c r="H404" s="44"/>
      <x:c r="I404" s="44"/>
      <x:c r="J404" s="44"/>
      <x:c r="K404" s="44"/>
    </x:row>
    <x:row r="405">
      <x:c r="C405" s="21"/>
      <x:c r="G405" s="44"/>
      <x:c r="H405" s="44"/>
      <x:c r="I405" s="44"/>
      <x:c r="J405" s="44"/>
      <x:c r="K405" s="44"/>
    </x:row>
    <x:row r="406">
      <x:c r="C406" s="21"/>
      <x:c r="G406" s="44"/>
      <x:c r="H406" s="44"/>
      <x:c r="I406" s="44"/>
      <x:c r="J406" s="44"/>
      <x:c r="K406" s="44"/>
    </x:row>
    <x:row r="407">
      <x:c r="C407" s="21"/>
      <x:c r="G407" s="44"/>
      <x:c r="H407" s="44"/>
      <x:c r="I407" s="44"/>
      <x:c r="J407" s="44"/>
      <x:c r="K407" s="44"/>
    </x:row>
    <x:row r="408">
      <x:c r="C408" s="21"/>
      <x:c r="G408" s="44"/>
      <x:c r="H408" s="44"/>
      <x:c r="I408" s="44"/>
      <x:c r="J408" s="44"/>
      <x:c r="K408" s="44"/>
    </x:row>
    <x:row r="409">
      <x:c r="C409" s="21"/>
      <x:c r="G409" s="44"/>
      <x:c r="H409" s="44"/>
      <x:c r="I409" s="44"/>
      <x:c r="J409" s="44"/>
      <x:c r="K409" s="44"/>
    </x:row>
    <x:row r="410">
      <x:c r="C410" s="21"/>
      <x:c r="G410" s="44"/>
      <x:c r="H410" s="44"/>
      <x:c r="I410" s="44"/>
      <x:c r="J410" s="44"/>
      <x:c r="K410" s="44"/>
    </x:row>
    <x:row r="411">
      <x:c r="C411" s="21"/>
      <x:c r="G411" s="44"/>
      <x:c r="H411" s="44"/>
      <x:c r="I411" s="44"/>
      <x:c r="J411" s="44"/>
      <x:c r="K411" s="44"/>
    </x:row>
    <x:row r="412">
      <x:c r="C412" s="21"/>
      <x:c r="G412" s="44"/>
      <x:c r="H412" s="44"/>
      <x:c r="I412" s="44"/>
      <x:c r="J412" s="44"/>
      <x:c r="K412" s="44"/>
    </x:row>
    <x:row r="413">
      <x:c r="C413" s="21"/>
      <x:c r="G413" s="44"/>
      <x:c r="H413" s="44"/>
      <x:c r="I413" s="44"/>
      <x:c r="J413" s="44"/>
      <x:c r="K413" s="44"/>
    </x:row>
    <x:row r="414">
      <x:c r="C414" s="21"/>
      <x:c r="G414" s="44"/>
      <x:c r="H414" s="44"/>
      <x:c r="I414" s="44"/>
      <x:c r="J414" s="44"/>
      <x:c r="K414" s="44"/>
    </x:row>
    <x:row r="415">
      <x:c r="C415" s="21"/>
      <x:c r="G415" s="44"/>
      <x:c r="H415" s="44"/>
      <x:c r="I415" s="44"/>
      <x:c r="J415" s="44"/>
      <x:c r="K415" s="44"/>
    </x:row>
    <x:row r="416">
      <x:c r="C416" s="21"/>
      <x:c r="G416" s="44"/>
      <x:c r="H416" s="44"/>
      <x:c r="I416" s="44"/>
      <x:c r="J416" s="44"/>
      <x:c r="K416" s="44"/>
    </x:row>
    <x:row r="417">
      <x:c r="C417" s="21"/>
      <x:c r="G417" s="44"/>
      <x:c r="H417" s="44"/>
      <x:c r="I417" s="44"/>
      <x:c r="J417" s="44"/>
      <x:c r="K417" s="44"/>
    </x:row>
    <x:row r="418">
      <x:c r="C418" s="21"/>
      <x:c r="G418" s="44"/>
      <x:c r="H418" s="44"/>
      <x:c r="I418" s="44"/>
      <x:c r="J418" s="44"/>
      <x:c r="K418" s="44"/>
    </x:row>
    <x:row r="419">
      <x:c r="C419" s="21"/>
      <x:c r="G419" s="44"/>
      <x:c r="H419" s="44"/>
      <x:c r="I419" s="44"/>
      <x:c r="J419" s="44"/>
      <x:c r="K419" s="44"/>
    </x:row>
    <x:row r="420">
      <x:c r="C420" s="21"/>
      <x:c r="G420" s="44"/>
      <x:c r="H420" s="44"/>
      <x:c r="I420" s="44"/>
      <x:c r="J420" s="44"/>
      <x:c r="K420" s="44"/>
    </x:row>
    <x:row r="421">
      <x:c r="C421" s="21"/>
      <x:c r="G421" s="44"/>
      <x:c r="H421" s="44"/>
      <x:c r="I421" s="44"/>
      <x:c r="J421" s="44"/>
      <x:c r="K421" s="44"/>
    </x:row>
    <x:row r="422">
      <x:c r="C422" s="21"/>
      <x:c r="G422" s="44"/>
      <x:c r="H422" s="44"/>
      <x:c r="I422" s="44"/>
      <x:c r="J422" s="44"/>
      <x:c r="K422" s="44"/>
    </x:row>
    <x:row r="423">
      <x:c r="C423" s="21"/>
      <x:c r="G423" s="44"/>
      <x:c r="H423" s="44"/>
      <x:c r="I423" s="44"/>
      <x:c r="J423" s="44"/>
      <x:c r="K423" s="44"/>
    </x:row>
    <x:row r="424">
      <x:c r="C424" s="21"/>
      <x:c r="G424" s="44"/>
      <x:c r="H424" s="44"/>
      <x:c r="I424" s="44"/>
      <x:c r="J424" s="44"/>
      <x:c r="K424" s="44"/>
    </x:row>
    <x:row r="425">
      <x:c r="C425" s="21"/>
      <x:c r="G425" s="44"/>
      <x:c r="H425" s="44"/>
      <x:c r="I425" s="44"/>
      <x:c r="J425" s="44"/>
      <x:c r="K425" s="44"/>
    </x:row>
    <x:row r="426">
      <x:c r="C426" s="21"/>
      <x:c r="G426" s="44"/>
      <x:c r="H426" s="44"/>
      <x:c r="I426" s="44"/>
      <x:c r="J426" s="44"/>
      <x:c r="K426" s="44"/>
    </x:row>
    <x:row r="427">
      <x:c r="C427" s="21"/>
      <x:c r="G427" s="44"/>
      <x:c r="H427" s="44"/>
      <x:c r="I427" s="44"/>
      <x:c r="J427" s="44"/>
      <x:c r="K427" s="44"/>
    </x:row>
    <x:row r="428">
      <x:c r="C428" s="21"/>
      <x:c r="G428" s="44"/>
      <x:c r="H428" s="44"/>
      <x:c r="I428" s="44"/>
      <x:c r="J428" s="44"/>
      <x:c r="K428" s="44"/>
    </x:row>
    <x:row r="429">
      <x:c r="C429" s="21"/>
      <x:c r="G429" s="44"/>
      <x:c r="H429" s="44"/>
      <x:c r="I429" s="44"/>
      <x:c r="J429" s="44"/>
      <x:c r="K429" s="44"/>
    </x:row>
    <x:row r="430">
      <x:c r="C430" s="21"/>
      <x:c r="G430" s="44"/>
      <x:c r="H430" s="44"/>
      <x:c r="I430" s="44"/>
      <x:c r="J430" s="44"/>
      <x:c r="K430" s="44"/>
    </x:row>
    <x:row r="431">
      <x:c r="C431" s="21"/>
      <x:c r="G431" s="44"/>
      <x:c r="H431" s="44"/>
      <x:c r="I431" s="44"/>
      <x:c r="J431" s="44"/>
      <x:c r="K431" s="44"/>
    </x:row>
    <x:row r="432">
      <x:c r="C432" s="21"/>
      <x:c r="G432" s="44"/>
      <x:c r="H432" s="44"/>
      <x:c r="I432" s="44"/>
      <x:c r="J432" s="44"/>
      <x:c r="K432" s="44"/>
    </x:row>
    <x:row r="433">
      <x:c r="C433" s="21"/>
      <x:c r="G433" s="44"/>
      <x:c r="H433" s="44"/>
      <x:c r="I433" s="44"/>
      <x:c r="J433" s="44"/>
      <x:c r="K433" s="44"/>
    </x:row>
    <x:row r="434">
      <x:c r="C434" s="21"/>
      <x:c r="G434" s="44"/>
      <x:c r="H434" s="44"/>
      <x:c r="I434" s="44"/>
      <x:c r="J434" s="44"/>
      <x:c r="K434" s="44"/>
    </x:row>
    <x:row r="435">
      <x:c r="C435" s="21"/>
      <x:c r="G435" s="44"/>
      <x:c r="H435" s="44"/>
      <x:c r="I435" s="44"/>
      <x:c r="J435" s="44"/>
      <x:c r="K435" s="44"/>
    </x:row>
    <x:row r="436">
      <x:c r="C436" s="21"/>
      <x:c r="G436" s="44"/>
      <x:c r="H436" s="44"/>
      <x:c r="I436" s="44"/>
      <x:c r="J436" s="44"/>
      <x:c r="K436" s="44"/>
    </x:row>
    <x:row r="437">
      <x:c r="C437" s="21"/>
      <x:c r="G437" s="44"/>
      <x:c r="H437" s="44"/>
      <x:c r="I437" s="44"/>
      <x:c r="J437" s="44"/>
      <x:c r="K437" s="44"/>
    </x:row>
    <x:row r="438">
      <x:c r="C438" s="21"/>
      <x:c r="G438" s="44"/>
      <x:c r="H438" s="44"/>
      <x:c r="I438" s="44"/>
      <x:c r="J438" s="44"/>
      <x:c r="K438" s="44"/>
    </x:row>
    <x:row r="439">
      <x:c r="C439" s="21"/>
      <x:c r="G439" s="44"/>
      <x:c r="H439" s="44"/>
      <x:c r="I439" s="44"/>
      <x:c r="J439" s="44"/>
      <x:c r="K439" s="44"/>
    </x:row>
    <x:row r="440">
      <x:c r="C440" s="21"/>
      <x:c r="G440" s="44"/>
      <x:c r="H440" s="44"/>
      <x:c r="I440" s="44"/>
      <x:c r="J440" s="44"/>
      <x:c r="K440" s="44"/>
    </x:row>
    <x:row r="441">
      <x:c r="C441" s="21"/>
      <x:c r="G441" s="44"/>
      <x:c r="H441" s="44"/>
      <x:c r="I441" s="44"/>
      <x:c r="J441" s="44"/>
      <x:c r="K441" s="44"/>
    </x:row>
    <x:row r="442">
      <x:c r="C442" s="21"/>
      <x:c r="G442" s="44"/>
      <x:c r="H442" s="44"/>
      <x:c r="I442" s="44"/>
      <x:c r="J442" s="44"/>
      <x:c r="K442" s="44"/>
    </x:row>
    <x:row r="443">
      <x:c r="C443" s="21"/>
      <x:c r="G443" s="44"/>
      <x:c r="H443" s="44"/>
      <x:c r="I443" s="44"/>
      <x:c r="J443" s="44"/>
      <x:c r="K443" s="44"/>
    </x:row>
    <x:row r="444">
      <x:c r="C444" s="21"/>
      <x:c r="G444" s="44"/>
      <x:c r="H444" s="44"/>
      <x:c r="I444" s="44"/>
      <x:c r="J444" s="44"/>
      <x:c r="K444" s="44"/>
    </x:row>
    <x:row r="445">
      <x:c r="C445" s="21"/>
      <x:c r="G445" s="44"/>
      <x:c r="H445" s="44"/>
      <x:c r="I445" s="44"/>
      <x:c r="J445" s="44"/>
      <x:c r="K445" s="44"/>
    </x:row>
    <x:row r="446">
      <x:c r="C446" s="21"/>
      <x:c r="G446" s="44"/>
      <x:c r="H446" s="44"/>
      <x:c r="I446" s="44"/>
      <x:c r="J446" s="44"/>
      <x:c r="K446" s="44"/>
    </x:row>
    <x:row r="447">
      <x:c r="C447" s="21"/>
      <x:c r="G447" s="44"/>
      <x:c r="H447" s="44"/>
      <x:c r="I447" s="44"/>
      <x:c r="J447" s="44"/>
      <x:c r="K447" s="44"/>
    </x:row>
    <x:row r="448">
      <x:c r="C448" s="21"/>
      <x:c r="G448" s="44"/>
      <x:c r="H448" s="44"/>
      <x:c r="I448" s="44"/>
      <x:c r="J448" s="44"/>
      <x:c r="K448" s="44"/>
    </x:row>
    <x:row r="449">
      <x:c r="C449" s="21"/>
      <x:c r="G449" s="44"/>
      <x:c r="H449" s="44"/>
      <x:c r="I449" s="44"/>
      <x:c r="J449" s="44"/>
      <x:c r="K449" s="44"/>
    </x:row>
    <x:row r="450">
      <x:c r="C450" s="21"/>
      <x:c r="G450" s="44"/>
      <x:c r="H450" s="44"/>
      <x:c r="I450" s="44"/>
      <x:c r="J450" s="44"/>
      <x:c r="K450" s="44"/>
    </x:row>
    <x:row r="451">
      <x:c r="C451" s="21"/>
      <x:c r="G451" s="44"/>
      <x:c r="H451" s="44"/>
      <x:c r="I451" s="44"/>
      <x:c r="J451" s="44"/>
      <x:c r="K451" s="44"/>
    </x:row>
    <x:row r="452">
      <x:c r="C452" s="21"/>
      <x:c r="G452" s="44"/>
      <x:c r="H452" s="44"/>
      <x:c r="I452" s="44"/>
      <x:c r="J452" s="44"/>
      <x:c r="K452" s="44"/>
    </x:row>
    <x:row r="453">
      <x:c r="C453" s="21"/>
      <x:c r="G453" s="44"/>
      <x:c r="H453" s="44"/>
      <x:c r="I453" s="44"/>
      <x:c r="J453" s="44"/>
      <x:c r="K453" s="44"/>
    </x:row>
    <x:row r="454">
      <x:c r="C454" s="21"/>
      <x:c r="G454" s="44"/>
      <x:c r="H454" s="44"/>
      <x:c r="I454" s="44"/>
      <x:c r="J454" s="44"/>
      <x:c r="K454" s="44"/>
    </x:row>
    <x:row r="455">
      <x:c r="C455" s="21"/>
      <x:c r="G455" s="44"/>
      <x:c r="H455" s="44"/>
      <x:c r="I455" s="44"/>
      <x:c r="J455" s="44"/>
      <x:c r="K455" s="44"/>
    </x:row>
    <x:row r="456">
      <x:c r="C456" s="21"/>
      <x:c r="G456" s="44"/>
      <x:c r="H456" s="44"/>
      <x:c r="I456" s="44"/>
      <x:c r="J456" s="44"/>
      <x:c r="K456" s="44"/>
    </x:row>
    <x:row r="457">
      <x:c r="C457" s="21"/>
      <x:c r="G457" s="44"/>
      <x:c r="H457" s="44"/>
      <x:c r="I457" s="44"/>
      <x:c r="J457" s="44"/>
      <x:c r="K457" s="44"/>
    </x:row>
    <x:row r="458">
      <x:c r="C458" s="21"/>
      <x:c r="G458" s="44"/>
      <x:c r="H458" s="44"/>
      <x:c r="I458" s="44"/>
      <x:c r="J458" s="44"/>
      <x:c r="K458" s="44"/>
    </x:row>
    <x:row r="459">
      <x:c r="C459" s="21"/>
      <x:c r="G459" s="44"/>
      <x:c r="H459" s="44"/>
      <x:c r="I459" s="44"/>
      <x:c r="J459" s="44"/>
      <x:c r="K459" s="44"/>
    </x:row>
    <x:row r="460">
      <x:c r="C460" s="21"/>
      <x:c r="G460" s="44"/>
      <x:c r="H460" s="44"/>
      <x:c r="I460" s="44"/>
      <x:c r="J460" s="44"/>
      <x:c r="K460" s="44"/>
    </x:row>
    <x:row r="461">
      <x:c r="C461" s="21"/>
      <x:c r="G461" s="44"/>
      <x:c r="H461" s="44"/>
      <x:c r="I461" s="44"/>
      <x:c r="J461" s="44"/>
      <x:c r="K461" s="44"/>
    </x:row>
    <x:row r="462">
      <x:c r="C462" s="21"/>
      <x:c r="G462" s="44"/>
      <x:c r="H462" s="44"/>
      <x:c r="I462" s="44"/>
      <x:c r="J462" s="44"/>
      <x:c r="K462" s="44"/>
    </x:row>
    <x:row r="463">
      <x:c r="C463" s="21"/>
      <x:c r="G463" s="44"/>
      <x:c r="H463" s="44"/>
      <x:c r="I463" s="44"/>
      <x:c r="J463" s="44"/>
      <x:c r="K463" s="44"/>
    </x:row>
    <x:row r="464">
      <x:c r="C464" s="21"/>
      <x:c r="G464" s="44"/>
      <x:c r="H464" s="44"/>
      <x:c r="I464" s="44"/>
      <x:c r="J464" s="44"/>
      <x:c r="K464" s="44"/>
    </x:row>
    <x:row r="465">
      <x:c r="C465" s="21"/>
      <x:c r="G465" s="44"/>
      <x:c r="H465" s="44"/>
      <x:c r="I465" s="44"/>
      <x:c r="J465" s="44"/>
      <x:c r="K465" s="44"/>
    </x:row>
    <x:row r="466">
      <x:c r="C466" s="21"/>
      <x:c r="G466" s="44"/>
      <x:c r="H466" s="44"/>
      <x:c r="I466" s="44"/>
      <x:c r="J466" s="44"/>
      <x:c r="K466" s="44"/>
    </x:row>
    <x:row r="467">
      <x:c r="C467" s="21"/>
      <x:c r="G467" s="44"/>
      <x:c r="H467" s="44"/>
      <x:c r="I467" s="44"/>
      <x:c r="J467" s="44"/>
      <x:c r="K467" s="44"/>
    </x:row>
    <x:row r="468">
      <x:c r="C468" s="21"/>
      <x:c r="G468" s="44"/>
      <x:c r="H468" s="44"/>
      <x:c r="I468" s="44"/>
      <x:c r="J468" s="44"/>
      <x:c r="K468" s="44"/>
    </x:row>
    <x:row r="469">
      <x:c r="C469" s="21"/>
      <x:c r="G469" s="44"/>
      <x:c r="H469" s="44"/>
      <x:c r="I469" s="44"/>
      <x:c r="J469" s="44"/>
      <x:c r="K469" s="44"/>
    </x:row>
    <x:row r="470">
      <x:c r="C470" s="21"/>
      <x:c r="G470" s="44"/>
      <x:c r="H470" s="44"/>
      <x:c r="I470" s="44"/>
      <x:c r="J470" s="44"/>
      <x:c r="K470" s="44"/>
    </x:row>
    <x:row r="471">
      <x:c r="C471" s="21"/>
      <x:c r="G471" s="44"/>
      <x:c r="H471" s="44"/>
      <x:c r="I471" s="44"/>
      <x:c r="J471" s="44"/>
      <x:c r="K471" s="44"/>
    </x:row>
    <x:row r="472">
      <x:c r="C472" s="21"/>
      <x:c r="G472" s="44"/>
      <x:c r="H472" s="44"/>
      <x:c r="I472" s="44"/>
      <x:c r="J472" s="44"/>
      <x:c r="K472" s="44"/>
    </x:row>
    <x:row r="473">
      <x:c r="C473" s="21"/>
      <x:c r="G473" s="44"/>
      <x:c r="H473" s="44"/>
      <x:c r="I473" s="44"/>
      <x:c r="J473" s="44"/>
      <x:c r="K473" s="44"/>
    </x:row>
    <x:row r="474">
      <x:c r="C474" s="21"/>
      <x:c r="G474" s="44"/>
      <x:c r="H474" s="44"/>
      <x:c r="I474" s="44"/>
      <x:c r="J474" s="44"/>
      <x:c r="K474" s="44"/>
    </x:row>
    <x:row r="475">
      <x:c r="C475" s="21"/>
      <x:c r="G475" s="44"/>
      <x:c r="H475" s="44"/>
      <x:c r="I475" s="44"/>
      <x:c r="J475" s="44"/>
      <x:c r="K475" s="44"/>
    </x:row>
    <x:row r="476">
      <x:c r="C476" s="21"/>
      <x:c r="G476" s="44"/>
      <x:c r="H476" s="44"/>
      <x:c r="I476" s="44"/>
      <x:c r="J476" s="44"/>
      <x:c r="K476" s="44"/>
    </x:row>
    <x:row r="477">
      <x:c r="C477" s="21"/>
      <x:c r="G477" s="44"/>
      <x:c r="H477" s="44"/>
      <x:c r="I477" s="44"/>
      <x:c r="J477" s="44"/>
      <x:c r="K477" s="44"/>
    </x:row>
    <x:row r="478">
      <x:c r="C478" s="21"/>
      <x:c r="G478" s="44"/>
      <x:c r="H478" s="44"/>
      <x:c r="I478" s="44"/>
      <x:c r="J478" s="44"/>
      <x:c r="K478" s="44"/>
    </x:row>
    <x:row r="479">
      <x:c r="C479" s="21"/>
      <x:c r="G479" s="44"/>
      <x:c r="H479" s="44"/>
      <x:c r="I479" s="44"/>
      <x:c r="J479" s="44"/>
      <x:c r="K479" s="44"/>
    </x:row>
    <x:row r="480">
      <x:c r="C480" s="21"/>
      <x:c r="G480" s="44"/>
      <x:c r="H480" s="44"/>
      <x:c r="I480" s="44"/>
      <x:c r="J480" s="44"/>
      <x:c r="K480" s="44"/>
    </x:row>
    <x:row r="481">
      <x:c r="C481" s="21"/>
      <x:c r="G481" s="44"/>
      <x:c r="H481" s="44"/>
      <x:c r="I481" s="44"/>
      <x:c r="J481" s="44"/>
      <x:c r="K481" s="44"/>
    </x:row>
    <x:row r="482">
      <x:c r="C482" s="21"/>
      <x:c r="G482" s="44"/>
      <x:c r="H482" s="44"/>
      <x:c r="I482" s="44"/>
      <x:c r="J482" s="44"/>
      <x:c r="K482" s="44"/>
    </x:row>
    <x:row r="483">
      <x:c r="C483" s="21"/>
      <x:c r="G483" s="44"/>
      <x:c r="H483" s="44"/>
      <x:c r="I483" s="44"/>
      <x:c r="J483" s="44"/>
      <x:c r="K483" s="44"/>
    </x:row>
    <x:row r="484">
      <x:c r="C484" s="21"/>
      <x:c r="G484" s="44"/>
      <x:c r="H484" s="44"/>
      <x:c r="I484" s="44"/>
      <x:c r="J484" s="44"/>
      <x:c r="K484" s="44"/>
    </x:row>
    <x:row r="485">
      <x:c r="C485" s="21"/>
      <x:c r="G485" s="44"/>
      <x:c r="H485" s="44"/>
      <x:c r="I485" s="44"/>
      <x:c r="J485" s="44"/>
      <x:c r="K485" s="44"/>
    </x:row>
    <x:row r="486">
      <x:c r="C486" s="21"/>
      <x:c r="G486" s="44"/>
      <x:c r="H486" s="44"/>
      <x:c r="I486" s="44"/>
      <x:c r="J486" s="44"/>
      <x:c r="K486" s="44"/>
    </x:row>
    <x:row r="487">
      <x:c r="C487" s="21"/>
      <x:c r="G487" s="44"/>
      <x:c r="H487" s="44"/>
      <x:c r="I487" s="44"/>
      <x:c r="J487" s="44"/>
      <x:c r="K487" s="44"/>
    </x:row>
    <x:row r="488">
      <x:c r="C488" s="21"/>
      <x:c r="G488" s="44"/>
      <x:c r="H488" s="44"/>
      <x:c r="I488" s="44"/>
      <x:c r="J488" s="44"/>
      <x:c r="K488" s="44"/>
    </x:row>
    <x:row r="489">
      <x:c r="C489" s="21"/>
      <x:c r="G489" s="44"/>
      <x:c r="H489" s="44"/>
      <x:c r="I489" s="44"/>
      <x:c r="J489" s="44"/>
      <x:c r="K489" s="44"/>
    </x:row>
    <x:row r="490">
      <x:c r="C490" s="21"/>
      <x:c r="G490" s="44"/>
      <x:c r="H490" s="44"/>
      <x:c r="I490" s="44"/>
      <x:c r="J490" s="44"/>
      <x:c r="K490" s="44"/>
    </x:row>
    <x:row r="491">
      <x:c r="C491" s="21"/>
      <x:c r="G491" s="44"/>
      <x:c r="H491" s="44"/>
      <x:c r="I491" s="44"/>
      <x:c r="J491" s="44"/>
      <x:c r="K491" s="44"/>
    </x:row>
    <x:row r="492">
      <x:c r="C492" s="21"/>
      <x:c r="G492" s="44"/>
      <x:c r="H492" s="44"/>
      <x:c r="I492" s="44"/>
      <x:c r="J492" s="44"/>
      <x:c r="K492" s="44"/>
    </x:row>
    <x:row r="493">
      <x:c r="C493" s="21"/>
      <x:c r="G493" s="44"/>
      <x:c r="H493" s="44"/>
      <x:c r="I493" s="44"/>
      <x:c r="J493" s="44"/>
      <x:c r="K493" s="44"/>
    </x:row>
    <x:row r="494">
      <x:c r="C494" s="21"/>
      <x:c r="G494" s="44"/>
      <x:c r="H494" s="44"/>
      <x:c r="I494" s="44"/>
      <x:c r="J494" s="44"/>
      <x:c r="K494" s="44"/>
    </x:row>
    <x:row r="495">
      <x:c r="C495" s="21"/>
      <x:c r="G495" s="44"/>
      <x:c r="H495" s="44"/>
      <x:c r="I495" s="44"/>
      <x:c r="J495" s="44"/>
      <x:c r="K495" s="44"/>
    </x:row>
    <x:row r="496">
      <x:c r="C496" s="21"/>
      <x:c r="G496" s="44"/>
      <x:c r="H496" s="44"/>
      <x:c r="I496" s="44"/>
      <x:c r="J496" s="44"/>
      <x:c r="K496" s="44"/>
    </x:row>
    <x:row r="497">
      <x:c r="C497" s="21"/>
      <x:c r="G497" s="44"/>
      <x:c r="H497" s="44"/>
      <x:c r="I497" s="44"/>
      <x:c r="J497" s="44"/>
      <x:c r="K497" s="44"/>
    </x:row>
    <x:row r="498">
      <x:c r="C498" s="21"/>
      <x:c r="G498" s="44"/>
      <x:c r="H498" s="44"/>
      <x:c r="I498" s="44"/>
      <x:c r="J498" s="44"/>
      <x:c r="K498" s="44"/>
    </x:row>
    <x:row r="499">
      <x:c r="C499" s="21"/>
      <x:c r="G499" s="44"/>
      <x:c r="H499" s="44"/>
      <x:c r="I499" s="44"/>
      <x:c r="J499" s="44"/>
      <x:c r="K499" s="44"/>
    </x:row>
    <x:row r="500">
      <x:c r="C500" s="21"/>
      <x:c r="G500" s="44"/>
      <x:c r="H500" s="44"/>
      <x:c r="I500" s="44"/>
      <x:c r="J500" s="44"/>
      <x:c r="K500" s="44"/>
    </x:row>
    <x:row r="501">
      <x:c r="C501" s="21"/>
      <x:c r="G501" s="44"/>
      <x:c r="H501" s="44"/>
      <x:c r="I501" s="44"/>
      <x:c r="J501" s="44"/>
      <x:c r="K501" s="44"/>
    </x:row>
    <x:row r="502">
      <x:c r="C502" s="21"/>
      <x:c r="G502" s="44"/>
      <x:c r="H502" s="44"/>
      <x:c r="I502" s="44"/>
      <x:c r="J502" s="44"/>
      <x:c r="K502" s="44"/>
    </x:row>
    <x:row r="503">
      <x:c r="C503" s="21"/>
      <x:c r="G503" s="44"/>
      <x:c r="H503" s="44"/>
      <x:c r="I503" s="44"/>
      <x:c r="J503" s="44"/>
      <x:c r="K503" s="44"/>
    </x:row>
    <x:row r="504">
      <x:c r="C504" s="21"/>
      <x:c r="G504" s="44"/>
      <x:c r="H504" s="44"/>
      <x:c r="I504" s="44"/>
      <x:c r="J504" s="44"/>
      <x:c r="K504" s="44"/>
    </x:row>
    <x:row r="505">
      <x:c r="C505" s="21"/>
      <x:c r="G505" s="44"/>
      <x:c r="H505" s="44"/>
      <x:c r="I505" s="44"/>
      <x:c r="J505" s="44"/>
      <x:c r="K505" s="44"/>
    </x:row>
  </x:sheetData>
  <x:mergeCells>
    <x:mergeCell ref="A2:K2"/>
  </x:mergeCells>
  <x:pageMargins left="0.7" right="0.7" top="0.75" bottom="0.75" header="0.3" footer="0.3"/>
  <x:tableParts count="1">
    <x:tablePart xmlns:r="http://schemas.openxmlformats.org/officeDocument/2006/relationships" r:id="Rfa41176f3a024683"/>
  </x:tableParts>
</x:worksheet>
</file>

<file path=xl/worksheets/sheet4.xml><?xml version="1.0" encoding="utf-8"?>
<x:worksheet xmlns:x="http://schemas.openxmlformats.org/spreadsheetml/2006/main">
  <x:sheetPr>
    <x:tabColor rgb="FFF4B942"/>
  </x:sheetPr>
  <x:sheetViews>
    <x:sheetView showGridLines="0" workbookViewId="0">
      <x:pane ySplit="5" topLeftCell="A6" activePane="bottomLeft" state="frozen"/>
    </x:sheetView>
  </x:sheetViews>
  <x:sheetFormatPr defaultRowHeight="15"/>
  <x:cols>
    <x:col min="1" max="1" width="16" hidden="0" customWidth="1"/>
    <x:col min="2" max="2" width="16" hidden="0" customWidth="1"/>
    <x:col min="3" max="3" width="16" hidden="0" customWidth="1"/>
    <x:col min="4" max="4" width="16" hidden="0" customWidth="1"/>
    <x:col min="5" max="5" width="16" hidden="0" customWidth="1"/>
    <x:col min="6" max="6" width="16" hidden="0" customWidth="1"/>
    <x:col min="7" max="7" width="16" hidden="0" customWidth="1"/>
    <x:col min="8" max="8" width="16" hidden="0" customWidth="1"/>
    <x:col min="9" max="9" width="16" hidden="0" customWidth="1"/>
    <x:col min="10" max="10" width="16" hidden="0" customWidth="1"/>
    <x:col min="11" max="11" width="16" hidden="0" customWidth="1"/>
    <x:col min="12" max="12" width="16" hidden="0" customWidth="1"/>
    <x:col min="13" max="13" width="34" hidden="0" customWidth="1"/>
  </x:cols>
  <x:sheetData>
    <x:row r="1">
      <x:c r="A1" s="1"/>
      <x:c r="B1" s="1"/>
      <x:c r="C1" s="1"/>
      <x:c r="D1" s="1"/>
      <x:c r="E1" s="1"/>
      <x:c r="F1" s="1"/>
      <x:c r="G1" s="1"/>
      <x:c r="H1" s="1"/>
      <x:c r="I1" s="1"/>
      <x:c r="J1" s="1"/>
      <x:c r="K1" s="1"/>
      <x:c r="L1" s="1"/>
      <x:c r="M1" s="1"/>
    </x:row>
    <x:row r="2">
      <x:c r="A2" s="2" t="str">
        <x:v>Source Registry</x:v>
      </x:c>
      <x:c r="B2" s="1"/>
      <x:c r="C2" s="1"/>
      <x:c r="D2" s="1"/>
      <x:c r="E2" s="1"/>
      <x:c r="F2" s="1"/>
      <x:c r="G2" s="1"/>
      <x:c r="H2" s="1"/>
      <x:c r="I2" s="1"/>
      <x:c r="J2" s="1"/>
      <x:c r="K2" s="1"/>
      <x:c r="L2" s="1"/>
      <x:c r="M2" s="1"/>
    </x:row>
    <x:row r="3">
      <x:c r="A3" s="3"/>
      <x:c r="B3" s="3"/>
      <x:c r="C3" s="3"/>
      <x:c r="D3" s="3"/>
      <x:c r="E3" s="3"/>
      <x:c r="F3" s="3"/>
      <x:c r="G3" s="3"/>
      <x:c r="H3" s="3"/>
      <x:c r="I3" s="3"/>
      <x:c r="J3" s="3"/>
      <x:c r="K3" s="3"/>
      <x:c r="L3" s="3"/>
      <x:c r="M3" s="3"/>
    </x:row>
    <x:row r="4">
      <x:c r="A4" s="1"/>
      <x:c r="B4" s="1"/>
      <x:c r="C4" s="1"/>
      <x:c r="D4" s="1"/>
      <x:c r="E4" s="1"/>
      <x:c r="F4" s="1"/>
      <x:c r="G4" s="1"/>
      <x:c r="H4" s="1"/>
      <x:c r="I4" s="1"/>
      <x:c r="J4" s="1"/>
      <x:c r="K4" s="1"/>
      <x:c r="L4" s="1"/>
      <x:c r="M4" s="1"/>
    </x:row>
    <x:row r="5">
      <x:c r="A5" s="24" t="str">
        <x:v>Source</x:v>
      </x:c>
      <x:c r="B5" s="25" t="str">
        <x:v>Source Class</x:v>
      </x:c>
      <x:c r="C5" s="25" t="str">
        <x:v>Domain</x:v>
      </x:c>
      <x:c r="D5" s="25" t="str">
        <x:v>Approved Status</x:v>
      </x:c>
      <x:c r="E5" s="25" t="str">
        <x:v>Reliability 1 to 5</x:v>
      </x:c>
      <x:c r="F5" s="25" t="str">
        <x:v>Timeliness 1 to 5</x:v>
      </x:c>
      <x:c r="G5" s="25" t="str">
        <x:v>Directness 1 to 5</x:v>
      </x:c>
      <x:c r="H5" s="25" t="str">
        <x:v>Corroboration Required</x:v>
      </x:c>
      <x:c r="I5" s="25" t="str">
        <x:v>Correct Calls</x:v>
      </x:c>
      <x:c r="J5" s="25" t="str">
        <x:v>Incorrect Calls</x:v>
      </x:c>
      <x:c r="K5" s="25" t="str">
        <x:v>Evaluated Calls</x:v>
      </x:c>
      <x:c r="L5" s="25" t="str">
        <x:v>Hit Rate</x:v>
      </x:c>
      <x:c r="M5" s="26" t="str">
        <x:v>Notes</x:v>
      </x:c>
    </x:row>
    <x:row r="6">
      <x:c r="A6" s="27" t="str">
        <x:v>USAspending.gov</x:v>
      </x:c>
      <x:c r="B6" s="27" t="str">
        <x:v>Trigger</x:v>
      </x:c>
      <x:c r="C6" s="27" t="str">
        <x:v>Government contracts</x:v>
      </x:c>
      <x:c r="D6" s="27" t="str">
        <x:v>Approved</x:v>
      </x:c>
      <x:c r="E6" s="27" t="n">
        <x:v>5</x:v>
      </x:c>
      <x:c r="F6" s="27" t="n">
        <x:v>3</x:v>
      </x:c>
      <x:c r="G6" s="27" t="n">
        <x:v>5</x:v>
      </x:c>
      <x:c r="H6" s="27" t="str">
        <x:v>Yes</x:v>
      </x:c>
      <x:c r="I6" s="27" t="n">
        <x:v>0</x:v>
      </x:c>
      <x:c r="J6" s="27" t="n">
        <x:v>0</x:v>
      </x:c>
      <x:c r="K6" s="27" t="n">
        <x:f>I6+J6</x:f>
        <x:v>0</x:v>
      </x:c>
      <x:c r="L6" s="31" t="str">
        <x:f>IF(K6=0,"",I6/K6)</x:f>
      </x:c>
      <x:c r="M6" s="29" t="str">
        <x:v>Award records trigger investigation; test materiality and confirm economic impact.</x:v>
      </x:c>
    </x:row>
    <x:row r="7">
      <x:c r="A7" s="27" t="str">
        <x:v>Congress.gov</x:v>
      </x:c>
      <x:c r="B7" s="27" t="str">
        <x:v>Trigger and confirmation</x:v>
      </x:c>
      <x:c r="C7" s="27" t="str">
        <x:v>Legislation</x:v>
      </x:c>
      <x:c r="D7" s="27" t="str">
        <x:v>Approved</x:v>
      </x:c>
      <x:c r="E7" s="27" t="n">
        <x:v>5</x:v>
      </x:c>
      <x:c r="F7" s="27" t="n">
        <x:v>3</x:v>
      </x:c>
      <x:c r="G7" s="27" t="n">
        <x:v>5</x:v>
      </x:c>
      <x:c r="H7" s="27" t="str">
        <x:v>Context often required</x:v>
      </x:c>
      <x:c r="I7" s="27" t="n">
        <x:v>0</x:v>
      </x:c>
      <x:c r="J7" s="27" t="n">
        <x:v>0</x:v>
      </x:c>
      <x:c r="K7" s="27" t="n">
        <x:f>I7+J7</x:f>
        <x:v>0</x:v>
      </x:c>
      <x:c r="L7" s="31" t="str">
        <x:f>IF(K7=0,"",I7/K7)</x:f>
      </x:c>
      <x:c r="M7" s="29" t="str">
        <x:v>Use statutory text and action history; passage and implementation are separate risks.</x:v>
      </x:c>
    </x:row>
    <x:row r="8">
      <x:c r="A8" s="27" t="str">
        <x:v>Federal Register</x:v>
      </x:c>
      <x:c r="B8" s="27" t="str">
        <x:v>Confirmation</x:v>
      </x:c>
      <x:c r="C8" s="27" t="str">
        <x:v>Regulation</x:v>
      </x:c>
      <x:c r="D8" s="27" t="str">
        <x:v>Approved</x:v>
      </x:c>
      <x:c r="E8" s="27" t="n">
        <x:v>5</x:v>
      </x:c>
      <x:c r="F8" s="27" t="n">
        <x:v>3</x:v>
      </x:c>
      <x:c r="G8" s="27" t="n">
        <x:v>5</x:v>
      </x:c>
      <x:c r="H8" s="27" t="str">
        <x:v>Context often required</x:v>
      </x:c>
      <x:c r="I8" s="27" t="n">
        <x:v>0</x:v>
      </x:c>
      <x:c r="J8" s="27" t="n">
        <x:v>0</x:v>
      </x:c>
      <x:c r="K8" s="27" t="n">
        <x:f>I8+J8</x:f>
        <x:v>0</x:v>
      </x:c>
      <x:c r="L8" s="31" t="str">
        <x:f>IF(K8=0,"",I8/K8)</x:f>
      </x:c>
      <x:c r="M8" s="29" t="str">
        <x:v>Distinguish proposed, final and effective rules.</x:v>
      </x:c>
    </x:row>
    <x:row r="9">
      <x:c r="A9" s="27" t="str">
        <x:v>SEC EDGAR</x:v>
      </x:c>
      <x:c r="B9" s="27" t="str">
        <x:v>Confirmation</x:v>
      </x:c>
      <x:c r="C9" s="27" t="str">
        <x:v>Company filings</x:v>
      </x:c>
      <x:c r="D9" s="27" t="str">
        <x:v>Approved</x:v>
      </x:c>
      <x:c r="E9" s="27" t="n">
        <x:v>5</x:v>
      </x:c>
      <x:c r="F9" s="27" t="n">
        <x:v>4</x:v>
      </x:c>
      <x:c r="G9" s="27" t="n">
        <x:v>5</x:v>
      </x:c>
      <x:c r="H9" s="27" t="str">
        <x:v>No for filed facts</x:v>
      </x:c>
      <x:c r="I9" s="27" t="n">
        <x:v>0</x:v>
      </x:c>
      <x:c r="J9" s="27" t="n">
        <x:v>0</x:v>
      </x:c>
      <x:c r="K9" s="27" t="n">
        <x:f>I9+J9</x:f>
        <x:v>0</x:v>
      </x:c>
      <x:c r="L9" s="31" t="str">
        <x:f>IF(K9=0,"",I9/K9)</x:f>
      </x:c>
      <x:c r="M9" s="29" t="str">
        <x:v>Use filings for company disclosures, risks and materiality.</x:v>
      </x:c>
    </x:row>
    <x:row r="10">
      <x:c r="A10" s="27" t="str">
        <x:v>U.S. EIA</x:v>
      </x:c>
      <x:c r="B10" s="27" t="str">
        <x:v>Confirmation</x:v>
      </x:c>
      <x:c r="C10" s="27" t="str">
        <x:v>Energy</x:v>
      </x:c>
      <x:c r="D10" s="27" t="str">
        <x:v>Approved</x:v>
      </x:c>
      <x:c r="E10" s="27" t="n">
        <x:v>5</x:v>
      </x:c>
      <x:c r="F10" s="27" t="n">
        <x:v>4</x:v>
      </x:c>
      <x:c r="G10" s="27" t="n">
        <x:v>5</x:v>
      </x:c>
      <x:c r="H10" s="27" t="str">
        <x:v>No for published data</x:v>
      </x:c>
      <x:c r="I10" s="27" t="n">
        <x:v>0</x:v>
      </x:c>
      <x:c r="J10" s="27" t="n">
        <x:v>0</x:v>
      </x:c>
      <x:c r="K10" s="27" t="n">
        <x:f>I10+J10</x:f>
        <x:v>0</x:v>
      </x:c>
      <x:c r="L10" s="31" t="str">
        <x:f>IF(K10=0,"",I10/K10)</x:f>
      </x:c>
      <x:c r="M10" s="29" t="str">
        <x:v>Primary U.S. energy statistics and forecasts.</x:v>
      </x:c>
    </x:row>
    <x:row r="11">
      <x:c r="A11" s="27" t="str">
        <x:v>IEA</x:v>
      </x:c>
      <x:c r="B11" s="27" t="str">
        <x:v>Confirmation</x:v>
      </x:c>
      <x:c r="C11" s="27" t="str">
        <x:v>Global energy</x:v>
      </x:c>
      <x:c r="D11" s="27" t="str">
        <x:v>Approved</x:v>
      </x:c>
      <x:c r="E11" s="27" t="n">
        <x:v>5</x:v>
      </x:c>
      <x:c r="F11" s="27" t="n">
        <x:v>4</x:v>
      </x:c>
      <x:c r="G11" s="27" t="n">
        <x:v>5</x:v>
      </x:c>
      <x:c r="H11" s="27" t="str">
        <x:v>Check assumptions</x:v>
      </x:c>
      <x:c r="I11" s="27" t="n">
        <x:v>0</x:v>
      </x:c>
      <x:c r="J11" s="27" t="n">
        <x:v>0</x:v>
      </x:c>
      <x:c r="K11" s="27" t="n">
        <x:f>I11+J11</x:f>
        <x:v>0</x:v>
      </x:c>
      <x:c r="L11" s="31" t="str">
        <x:f>IF(K11=0,"",I11/K11)</x:f>
      </x:c>
      <x:c r="M11" s="29" t="str">
        <x:v>Global energy data and forecasts; distinguish estimates from observations.</x:v>
      </x:c>
    </x:row>
    <x:row r="12">
      <x:c r="A12" s="27" t="str">
        <x:v>Reuters</x:v>
      </x:c>
      <x:c r="B12" s="27" t="str">
        <x:v>High quality reporting</x:v>
      </x:c>
      <x:c r="C12" s="27" t="str">
        <x:v>Cross-sector</x:v>
      </x:c>
      <x:c r="D12" s="27" t="str">
        <x:v>Approved</x:v>
      </x:c>
      <x:c r="E12" s="27" t="n">
        <x:v>4</x:v>
      </x:c>
      <x:c r="F12" s="27" t="n">
        <x:v>5</x:v>
      </x:c>
      <x:c r="G12" s="27" t="n">
        <x:v>3</x:v>
      </x:c>
      <x:c r="H12" s="27" t="str">
        <x:v>Yes for decisive claims</x:v>
      </x:c>
      <x:c r="I12" s="27" t="n">
        <x:v>0</x:v>
      </x:c>
      <x:c r="J12" s="27" t="n">
        <x:v>0</x:v>
      </x:c>
      <x:c r="K12" s="27" t="n">
        <x:f>I12+J12</x:f>
        <x:v>0</x:v>
      </x:c>
      <x:c r="L12" s="31" t="str">
        <x:f>IF(K12=0,"",I12/K12)</x:f>
      </x:c>
      <x:c r="M12" s="29" t="str">
        <x:v>Strong timely reporting; trace claims to primary sources when available.</x:v>
      </x:c>
    </x:row>
    <x:row r="13">
      <x:c r="A13" s="27" t="str">
        <x:v>Associated Press</x:v>
      </x:c>
      <x:c r="B13" s="27" t="str">
        <x:v>High quality reporting</x:v>
      </x:c>
      <x:c r="C13" s="27" t="str">
        <x:v>Cross-sector</x:v>
      </x:c>
      <x:c r="D13" s="27" t="str">
        <x:v>Approved</x:v>
      </x:c>
      <x:c r="E13" s="27" t="n">
        <x:v>4</x:v>
      </x:c>
      <x:c r="F13" s="27" t="n">
        <x:v>4</x:v>
      </x:c>
      <x:c r="G13" s="27" t="n">
        <x:v>3</x:v>
      </x:c>
      <x:c r="H13" s="27" t="str">
        <x:v>Yes for investment mechanism</x:v>
      </x:c>
      <x:c r="I13" s="27" t="n">
        <x:v>0</x:v>
      </x:c>
      <x:c r="J13" s="27" t="n">
        <x:v>0</x:v>
      </x:c>
      <x:c r="K13" s="27" t="n">
        <x:f>I13+J13</x:f>
        <x:v>0</x:v>
      </x:c>
      <x:c r="L13" s="31" t="str">
        <x:f>IF(K13=0,"",I13/K13)</x:f>
      </x:c>
      <x:c r="M13" s="29" t="str">
        <x:v>Useful factual confirmation and context.</x:v>
      </x:c>
    </x:row>
    <x:row r="14">
      <x:c r="A14" s="27" t="str">
        <x:v>Mr Global</x:v>
      </x:c>
      <x:c r="B14" s="27" t="str">
        <x:v>Enhancer</x:v>
      </x:c>
      <x:c r="C14" s="27" t="str">
        <x:v>Oil and gas</x:v>
      </x:c>
      <x:c r="D14" s="27" t="str">
        <x:v>Approved enhancer</x:v>
      </x:c>
      <x:c r="E14" s="27" t="n">
        <x:v>3</x:v>
      </x:c>
      <x:c r="F14" s="27" t="n">
        <x:v>5</x:v>
      </x:c>
      <x:c r="G14" s="27" t="n">
        <x:v>2</x:v>
      </x:c>
      <x:c r="H14" s="27" t="str">
        <x:v>Always</x:v>
      </x:c>
      <x:c r="I14" s="27" t="n">
        <x:v>1</x:v>
      </x:c>
      <x:c r="J14" s="27" t="n">
        <x:v>0</x:v>
      </x:c>
      <x:c r="K14" s="27" t="n">
        <x:f>I14+J14</x:f>
        <x:v>1</x:v>
      </x:c>
      <x:c r="L14" s="31" t="n">
        <x:f>IF(K14=0,"",I14/K14)</x:f>
        <x:v>1</x:v>
      </x:c>
      <x:c r="M14" s="29" t="str">
        <x:v>Expert enhancer only; never originating proof. EEI-2026-001 resolved on September 18 with the oil supply-risk direction and timing correct, so one call is credited. Independent evidence remained required.</x:v>
      </x:c>
    </x:row>
    <x:row r="15">
      <x:c r="A15" s="27" t="str">
        <x:v>Market price and volume data</x:v>
      </x:c>
      <x:c r="B15" s="27" t="str">
        <x:v>Market data</x:v>
      </x:c>
      <x:c r="C15" s="27" t="str">
        <x:v>Cross-sector</x:v>
      </x:c>
      <x:c r="D15" s="27" t="str">
        <x:v>Approved</x:v>
      </x:c>
      <x:c r="E15" s="27" t="n">
        <x:v>5</x:v>
      </x:c>
      <x:c r="F15" s="27" t="n">
        <x:v>5</x:v>
      </x:c>
      <x:c r="G15" s="27" t="n">
        <x:v>4</x:v>
      </x:c>
      <x:c r="H15" s="27" t="str">
        <x:v>Interpretation required</x:v>
      </x:c>
      <x:c r="I15" s="27" t="n">
        <x:v>0</x:v>
      </x:c>
      <x:c r="J15" s="27" t="n">
        <x:v>0</x:v>
      </x:c>
      <x:c r="K15" s="27" t="n">
        <x:f>I15+J15</x:f>
        <x:v>0</x:v>
      </x:c>
      <x:c r="L15" s="31" t="str">
        <x:f>IF(K15=0,"",I15/K15)</x:f>
      </x:c>
      <x:c r="M15" s="29" t="str">
        <x:v>Use for confirmation, entry analysis and outcome measurement.</x:v>
      </x:c>
    </x:row>
    <x:row r="16">
      <x:c r="A16" s="27"/>
      <x:c r="B16" s="27"/>
      <x:c r="C16" s="27"/>
      <x:c r="D16" s="27"/>
      <x:c r="E16" s="27"/>
      <x:c r="F16" s="27"/>
      <x:c r="G16" s="27"/>
      <x:c r="H16" s="27"/>
      <x:c r="I16" s="27"/>
      <x:c r="J16" s="27"/>
      <x:c r="K16" s="27" t="n">
        <x:f>I16+J16</x:f>
        <x:v>0</x:v>
      </x:c>
      <x:c r="L16" s="31" t="str">
        <x:f>IF(K16=0,"",I16/K16)</x:f>
      </x:c>
      <x:c r="M16" s="29"/>
    </x:row>
    <x:row r="17">
      <x:c r="A17" s="27"/>
      <x:c r="B17" s="27"/>
      <x:c r="C17" s="27"/>
      <x:c r="D17" s="27"/>
      <x:c r="E17" s="27"/>
      <x:c r="F17" s="27"/>
      <x:c r="G17" s="27"/>
      <x:c r="H17" s="27"/>
      <x:c r="I17" s="27"/>
      <x:c r="J17" s="27"/>
      <x:c r="K17" s="27" t="n">
        <x:f>I17+J17</x:f>
        <x:v>0</x:v>
      </x:c>
      <x:c r="L17" s="31" t="str">
        <x:f>IF(K17=0,"",I17/K17)</x:f>
      </x:c>
      <x:c r="M17" s="29"/>
    </x:row>
    <x:row r="18">
      <x:c r="A18" s="27"/>
      <x:c r="B18" s="27"/>
      <x:c r="C18" s="27"/>
      <x:c r="D18" s="27"/>
      <x:c r="E18" s="27"/>
      <x:c r="F18" s="27"/>
      <x:c r="G18" s="27"/>
      <x:c r="H18" s="27"/>
      <x:c r="I18" s="27"/>
      <x:c r="J18" s="27"/>
      <x:c r="K18" s="27" t="n">
        <x:f>I18+J18</x:f>
        <x:v>0</x:v>
      </x:c>
      <x:c r="L18" s="31" t="str">
        <x:f>IF(K18=0,"",I18/K18)</x:f>
      </x:c>
      <x:c r="M18" s="29"/>
    </x:row>
    <x:row r="19">
      <x:c r="A19" s="27"/>
      <x:c r="B19" s="27"/>
      <x:c r="C19" s="27"/>
      <x:c r="D19" s="27"/>
      <x:c r="E19" s="27"/>
      <x:c r="F19" s="27"/>
      <x:c r="G19" s="27"/>
      <x:c r="H19" s="27"/>
      <x:c r="I19" s="27"/>
      <x:c r="J19" s="27"/>
      <x:c r="K19" s="27" t="n">
        <x:f>I19+J19</x:f>
        <x:v>0</x:v>
      </x:c>
      <x:c r="L19" s="31" t="str">
        <x:f>IF(K19=0,"",I19/K19)</x:f>
      </x:c>
      <x:c r="M19" s="29"/>
    </x:row>
    <x:row r="20">
      <x:c r="A20" s="27"/>
      <x:c r="B20" s="27"/>
      <x:c r="C20" s="27"/>
      <x:c r="D20" s="27"/>
      <x:c r="E20" s="27"/>
      <x:c r="F20" s="27"/>
      <x:c r="G20" s="27"/>
      <x:c r="H20" s="27"/>
      <x:c r="I20" s="27"/>
      <x:c r="J20" s="27"/>
      <x:c r="K20" s="27" t="n">
        <x:f>I20+J20</x:f>
        <x:v>0</x:v>
      </x:c>
      <x:c r="L20" s="31" t="str">
        <x:f>IF(K20=0,"",I20/K20)</x:f>
      </x:c>
      <x:c r="M20" s="29"/>
    </x:row>
    <x:row r="21">
      <x:c r="A21" s="27"/>
      <x:c r="B21" s="27"/>
      <x:c r="C21" s="27"/>
      <x:c r="D21" s="27"/>
      <x:c r="E21" s="27"/>
      <x:c r="F21" s="27"/>
      <x:c r="G21" s="27"/>
      <x:c r="H21" s="27"/>
      <x:c r="I21" s="27"/>
      <x:c r="J21" s="27"/>
      <x:c r="K21" s="27" t="n">
        <x:f>I21+J21</x:f>
        <x:v>0</x:v>
      </x:c>
      <x:c r="L21" s="31" t="str">
        <x:f>IF(K21=0,"",I21/K21)</x:f>
      </x:c>
      <x:c r="M21" s="29"/>
    </x:row>
    <x:row r="22">
      <x:c r="A22" s="27"/>
      <x:c r="B22" s="27"/>
      <x:c r="C22" s="27"/>
      <x:c r="D22" s="27"/>
      <x:c r="E22" s="27"/>
      <x:c r="F22" s="27"/>
      <x:c r="G22" s="27"/>
      <x:c r="H22" s="27"/>
      <x:c r="I22" s="27"/>
      <x:c r="J22" s="27"/>
      <x:c r="K22" s="27" t="n">
        <x:f>I22+J22</x:f>
        <x:v>0</x:v>
      </x:c>
      <x:c r="L22" s="31" t="str">
        <x:f>IF(K22=0,"",I22/K22)</x:f>
      </x:c>
      <x:c r="M22" s="29"/>
    </x:row>
    <x:row r="23">
      <x:c r="A23" s="27"/>
      <x:c r="B23" s="27"/>
      <x:c r="C23" s="27"/>
      <x:c r="D23" s="27"/>
      <x:c r="E23" s="27"/>
      <x:c r="F23" s="27"/>
      <x:c r="G23" s="27"/>
      <x:c r="H23" s="27"/>
      <x:c r="I23" s="27"/>
      <x:c r="J23" s="27"/>
      <x:c r="K23" s="27" t="n">
        <x:f>I23+J23</x:f>
        <x:v>0</x:v>
      </x:c>
      <x:c r="L23" s="31" t="str">
        <x:f>IF(K23=0,"",I23/K23)</x:f>
      </x:c>
      <x:c r="M23" s="29"/>
    </x:row>
    <x:row r="24">
      <x:c r="A24" s="27"/>
      <x:c r="B24" s="27"/>
      <x:c r="C24" s="27"/>
      <x:c r="D24" s="27"/>
      <x:c r="E24" s="27"/>
      <x:c r="F24" s="27"/>
      <x:c r="G24" s="27"/>
      <x:c r="H24" s="27"/>
      <x:c r="I24" s="27"/>
      <x:c r="J24" s="27"/>
      <x:c r="K24" s="27" t="n">
        <x:f>I24+J24</x:f>
        <x:v>0</x:v>
      </x:c>
      <x:c r="L24" s="31" t="str">
        <x:f>IF(K24=0,"",I24/K24)</x:f>
      </x:c>
      <x:c r="M24" s="29"/>
    </x:row>
    <x:row r="25">
      <x:c r="A25" s="27"/>
      <x:c r="B25" s="27"/>
      <x:c r="C25" s="27"/>
      <x:c r="D25" s="27"/>
      <x:c r="E25" s="27"/>
      <x:c r="F25" s="27"/>
      <x:c r="G25" s="27"/>
      <x:c r="H25" s="27"/>
      <x:c r="I25" s="27"/>
      <x:c r="J25" s="27"/>
      <x:c r="K25" s="27" t="n">
        <x:f>I25+J25</x:f>
        <x:v>0</x:v>
      </x:c>
      <x:c r="L25" s="31" t="str">
        <x:f>IF(K25=0,"",I25/K25)</x:f>
      </x:c>
      <x:c r="M25" s="29"/>
    </x:row>
    <x:row r="26">
      <x:c r="A26" s="27"/>
      <x:c r="B26" s="27"/>
      <x:c r="C26" s="27"/>
      <x:c r="D26" s="27"/>
      <x:c r="E26" s="27"/>
      <x:c r="F26" s="27"/>
      <x:c r="G26" s="27"/>
      <x:c r="H26" s="27"/>
      <x:c r="I26" s="27"/>
      <x:c r="J26" s="27"/>
      <x:c r="K26" s="27" t="n">
        <x:f>I26+J26</x:f>
        <x:v>0</x:v>
      </x:c>
      <x:c r="L26" s="31" t="str">
        <x:f>IF(K26=0,"",I26/K26)</x:f>
      </x:c>
      <x:c r="M26" s="29"/>
    </x:row>
    <x:row r="27">
      <x:c r="A27" s="27"/>
      <x:c r="B27" s="27"/>
      <x:c r="C27" s="27"/>
      <x:c r="D27" s="27"/>
      <x:c r="E27" s="27"/>
      <x:c r="F27" s="27"/>
      <x:c r="G27" s="27"/>
      <x:c r="H27" s="27"/>
      <x:c r="I27" s="27"/>
      <x:c r="J27" s="27"/>
      <x:c r="K27" s="27" t="n">
        <x:f>I27+J27</x:f>
        <x:v>0</x:v>
      </x:c>
      <x:c r="L27" s="31" t="str">
        <x:f>IF(K27=0,"",I27/K27)</x:f>
      </x:c>
      <x:c r="M27" s="29"/>
    </x:row>
    <x:row r="28">
      <x:c r="A28" s="27"/>
      <x:c r="B28" s="27"/>
      <x:c r="C28" s="27"/>
      <x:c r="D28" s="27"/>
      <x:c r="E28" s="27"/>
      <x:c r="F28" s="27"/>
      <x:c r="G28" s="27"/>
      <x:c r="H28" s="27"/>
      <x:c r="I28" s="27"/>
      <x:c r="J28" s="27"/>
      <x:c r="K28" s="27" t="n">
        <x:f>I28+J28</x:f>
        <x:v>0</x:v>
      </x:c>
      <x:c r="L28" s="31" t="str">
        <x:f>IF(K28=0,"",I28/K28)</x:f>
      </x:c>
      <x:c r="M28" s="29"/>
    </x:row>
    <x:row r="29">
      <x:c r="A29" s="27"/>
      <x:c r="B29" s="27"/>
      <x:c r="C29" s="27"/>
      <x:c r="D29" s="27"/>
      <x:c r="E29" s="27"/>
      <x:c r="F29" s="27"/>
      <x:c r="G29" s="27"/>
      <x:c r="H29" s="27"/>
      <x:c r="I29" s="27"/>
      <x:c r="J29" s="27"/>
      <x:c r="K29" s="27" t="n">
        <x:f>I29+J29</x:f>
        <x:v>0</x:v>
      </x:c>
      <x:c r="L29" s="31" t="str">
        <x:f>IF(K29=0,"",I29/K29)</x:f>
      </x:c>
      <x:c r="M29" s="29"/>
    </x:row>
    <x:row r="30">
      <x:c r="A30" s="27"/>
      <x:c r="B30" s="27"/>
      <x:c r="C30" s="27"/>
      <x:c r="D30" s="27"/>
      <x:c r="E30" s="27"/>
      <x:c r="F30" s="27"/>
      <x:c r="G30" s="27"/>
      <x:c r="H30" s="27"/>
      <x:c r="I30" s="27"/>
      <x:c r="J30" s="27"/>
      <x:c r="K30" s="27" t="n">
        <x:f>I30+J30</x:f>
        <x:v>0</x:v>
      </x:c>
      <x:c r="L30" s="31" t="str">
        <x:f>IF(K30=0,"",I30/K30)</x:f>
      </x:c>
      <x:c r="M30" s="29"/>
    </x:row>
    <x:row r="31">
      <x:c r="A31" s="27"/>
      <x:c r="B31" s="27"/>
      <x:c r="C31" s="27"/>
      <x:c r="D31" s="27"/>
      <x:c r="E31" s="27"/>
      <x:c r="F31" s="27"/>
      <x:c r="G31" s="27"/>
      <x:c r="H31" s="27"/>
      <x:c r="I31" s="27"/>
      <x:c r="J31" s="27"/>
      <x:c r="K31" s="27" t="n">
        <x:f>I31+J31</x:f>
        <x:v>0</x:v>
      </x:c>
      <x:c r="L31" s="31" t="str">
        <x:f>IF(K31=0,"",I31/K31)</x:f>
      </x:c>
      <x:c r="M31" s="29"/>
    </x:row>
    <x:row r="32">
      <x:c r="A32" s="27"/>
      <x:c r="B32" s="27"/>
      <x:c r="C32" s="27"/>
      <x:c r="D32" s="27"/>
      <x:c r="E32" s="27"/>
      <x:c r="F32" s="27"/>
      <x:c r="G32" s="27"/>
      <x:c r="H32" s="27"/>
      <x:c r="I32" s="27"/>
      <x:c r="J32" s="27"/>
      <x:c r="K32" s="27" t="n">
        <x:f>I32+J32</x:f>
        <x:v>0</x:v>
      </x:c>
      <x:c r="L32" s="31" t="str">
        <x:f>IF(K32=0,"",I32/K32)</x:f>
      </x:c>
      <x:c r="M32" s="29"/>
    </x:row>
    <x:row r="33">
      <x:c r="A33" s="27"/>
      <x:c r="B33" s="27"/>
      <x:c r="C33" s="27"/>
      <x:c r="D33" s="27"/>
      <x:c r="E33" s="27"/>
      <x:c r="F33" s="27"/>
      <x:c r="G33" s="27"/>
      <x:c r="H33" s="27"/>
      <x:c r="I33" s="27"/>
      <x:c r="J33" s="27"/>
      <x:c r="K33" s="27" t="n">
        <x:f>I33+J33</x:f>
        <x:v>0</x:v>
      </x:c>
      <x:c r="L33" s="31" t="str">
        <x:f>IF(K33=0,"",I33/K33)</x:f>
      </x:c>
      <x:c r="M33" s="29"/>
    </x:row>
    <x:row r="34">
      <x:c r="A34" s="27"/>
      <x:c r="B34" s="27"/>
      <x:c r="C34" s="27"/>
      <x:c r="D34" s="27"/>
      <x:c r="E34" s="27"/>
      <x:c r="F34" s="27"/>
      <x:c r="G34" s="27"/>
      <x:c r="H34" s="27"/>
      <x:c r="I34" s="27"/>
      <x:c r="J34" s="27"/>
      <x:c r="K34" s="27" t="n">
        <x:f>I34+J34</x:f>
        <x:v>0</x:v>
      </x:c>
      <x:c r="L34" s="31" t="str">
        <x:f>IF(K34=0,"",I34/K34)</x:f>
      </x:c>
      <x:c r="M34" s="29"/>
    </x:row>
    <x:row r="35">
      <x:c r="A35" s="27"/>
      <x:c r="B35" s="27"/>
      <x:c r="C35" s="27"/>
      <x:c r="D35" s="27"/>
      <x:c r="E35" s="27"/>
      <x:c r="F35" s="27"/>
      <x:c r="G35" s="27"/>
      <x:c r="H35" s="27"/>
      <x:c r="I35" s="27"/>
      <x:c r="J35" s="27"/>
      <x:c r="K35" s="27" t="n">
        <x:f>I35+J35</x:f>
        <x:v>0</x:v>
      </x:c>
      <x:c r="L35" s="31" t="str">
        <x:f>IF(K35=0,"",I35/K35)</x:f>
      </x:c>
      <x:c r="M35" s="29"/>
    </x:row>
    <x:row r="36">
      <x:c r="A36" s="27"/>
      <x:c r="B36" s="27"/>
      <x:c r="C36" s="27"/>
      <x:c r="D36" s="27"/>
      <x:c r="E36" s="27"/>
      <x:c r="F36" s="27"/>
      <x:c r="G36" s="27"/>
      <x:c r="H36" s="27"/>
      <x:c r="I36" s="27"/>
      <x:c r="J36" s="27"/>
      <x:c r="K36" s="27" t="n">
        <x:f>I36+J36</x:f>
        <x:v>0</x:v>
      </x:c>
      <x:c r="L36" s="31" t="str">
        <x:f>IF(K36=0,"",I36/K36)</x:f>
      </x:c>
      <x:c r="M36" s="29"/>
    </x:row>
    <x:row r="37">
      <x:c r="A37" s="27"/>
      <x:c r="B37" s="27"/>
      <x:c r="C37" s="27"/>
      <x:c r="D37" s="27"/>
      <x:c r="E37" s="27"/>
      <x:c r="F37" s="27"/>
      <x:c r="G37" s="27"/>
      <x:c r="H37" s="27"/>
      <x:c r="I37" s="27"/>
      <x:c r="J37" s="27"/>
      <x:c r="K37" s="27" t="n">
        <x:f>I37+J37</x:f>
        <x:v>0</x:v>
      </x:c>
      <x:c r="L37" s="31" t="str">
        <x:f>IF(K37=0,"",I37/K37)</x:f>
      </x:c>
      <x:c r="M37" s="29"/>
    </x:row>
    <x:row r="38">
      <x:c r="A38" s="27"/>
      <x:c r="B38" s="27"/>
      <x:c r="C38" s="27"/>
      <x:c r="D38" s="27"/>
      <x:c r="E38" s="27"/>
      <x:c r="F38" s="27"/>
      <x:c r="G38" s="27"/>
      <x:c r="H38" s="27"/>
      <x:c r="I38" s="27"/>
      <x:c r="J38" s="27"/>
      <x:c r="K38" s="27" t="n">
        <x:f>I38+J38</x:f>
        <x:v>0</x:v>
      </x:c>
      <x:c r="L38" s="31" t="str">
        <x:f>IF(K38=0,"",I38/K38)</x:f>
      </x:c>
      <x:c r="M38" s="29"/>
    </x:row>
    <x:row r="39">
      <x:c r="A39" s="27"/>
      <x:c r="B39" s="27"/>
      <x:c r="C39" s="27"/>
      <x:c r="D39" s="27"/>
      <x:c r="E39" s="27"/>
      <x:c r="F39" s="27"/>
      <x:c r="G39" s="27"/>
      <x:c r="H39" s="27"/>
      <x:c r="I39" s="27"/>
      <x:c r="J39" s="27"/>
      <x:c r="K39" s="27" t="n">
        <x:f>I39+J39</x:f>
        <x:v>0</x:v>
      </x:c>
      <x:c r="L39" s="31" t="str">
        <x:f>IF(K39=0,"",I39/K39)</x:f>
      </x:c>
      <x:c r="M39" s="29"/>
    </x:row>
    <x:row r="40">
      <x:c r="A40" s="27"/>
      <x:c r="B40" s="27"/>
      <x:c r="C40" s="27"/>
      <x:c r="D40" s="27"/>
      <x:c r="E40" s="27"/>
      <x:c r="F40" s="27"/>
      <x:c r="G40" s="27"/>
      <x:c r="H40" s="27"/>
      <x:c r="I40" s="27"/>
      <x:c r="J40" s="27"/>
      <x:c r="K40" s="27" t="n">
        <x:f>I40+J40</x:f>
        <x:v>0</x:v>
      </x:c>
      <x:c r="L40" s="31" t="str">
        <x:f>IF(K40=0,"",I40/K40)</x:f>
      </x:c>
      <x:c r="M40" s="29"/>
    </x:row>
    <x:row r="41">
      <x:c r="A41" s="27"/>
      <x:c r="B41" s="27"/>
      <x:c r="C41" s="27"/>
      <x:c r="D41" s="27"/>
      <x:c r="E41" s="27"/>
      <x:c r="F41" s="27"/>
      <x:c r="G41" s="27"/>
      <x:c r="H41" s="27"/>
      <x:c r="I41" s="27"/>
      <x:c r="J41" s="27"/>
      <x:c r="K41" s="27" t="n">
        <x:f>I41+J41</x:f>
        <x:v>0</x:v>
      </x:c>
      <x:c r="L41" s="31" t="str">
        <x:f>IF(K41=0,"",I41/K41)</x:f>
      </x:c>
      <x:c r="M41" s="29"/>
    </x:row>
    <x:row r="42">
      <x:c r="A42" s="27"/>
      <x:c r="B42" s="27"/>
      <x:c r="C42" s="27"/>
      <x:c r="D42" s="27"/>
      <x:c r="E42" s="27"/>
      <x:c r="F42" s="27"/>
      <x:c r="G42" s="27"/>
      <x:c r="H42" s="27"/>
      <x:c r="I42" s="27"/>
      <x:c r="J42" s="27"/>
      <x:c r="K42" s="27" t="n">
        <x:f>I42+J42</x:f>
        <x:v>0</x:v>
      </x:c>
      <x:c r="L42" s="31" t="str">
        <x:f>IF(K42=0,"",I42/K42)</x:f>
      </x:c>
      <x:c r="M42" s="29"/>
    </x:row>
    <x:row r="43">
      <x:c r="A43" s="27"/>
      <x:c r="B43" s="27"/>
      <x:c r="C43" s="27"/>
      <x:c r="D43" s="27"/>
      <x:c r="E43" s="27"/>
      <x:c r="F43" s="27"/>
      <x:c r="G43" s="27"/>
      <x:c r="H43" s="27"/>
      <x:c r="I43" s="27"/>
      <x:c r="J43" s="27"/>
      <x:c r="K43" s="27" t="n">
        <x:f>I43+J43</x:f>
        <x:v>0</x:v>
      </x:c>
      <x:c r="L43" s="31" t="str">
        <x:f>IF(K43=0,"",I43/K43)</x:f>
      </x:c>
      <x:c r="M43" s="29"/>
    </x:row>
    <x:row r="44">
      <x:c r="A44" s="27"/>
      <x:c r="B44" s="27"/>
      <x:c r="C44" s="27"/>
      <x:c r="D44" s="27"/>
      <x:c r="E44" s="27"/>
      <x:c r="F44" s="27"/>
      <x:c r="G44" s="27"/>
      <x:c r="H44" s="27"/>
      <x:c r="I44" s="27"/>
      <x:c r="J44" s="27"/>
      <x:c r="K44" s="27" t="n">
        <x:f>I44+J44</x:f>
        <x:v>0</x:v>
      </x:c>
      <x:c r="L44" s="31" t="str">
        <x:f>IF(K44=0,"",I44/K44)</x:f>
      </x:c>
      <x:c r="M44" s="29"/>
    </x:row>
    <x:row r="45">
      <x:c r="A45" s="27"/>
      <x:c r="B45" s="27"/>
      <x:c r="C45" s="27"/>
      <x:c r="D45" s="27"/>
      <x:c r="E45" s="27"/>
      <x:c r="F45" s="27"/>
      <x:c r="G45" s="27"/>
      <x:c r="H45" s="27"/>
      <x:c r="I45" s="27"/>
      <x:c r="J45" s="27"/>
      <x:c r="K45" s="27" t="n">
        <x:f>I45+J45</x:f>
        <x:v>0</x:v>
      </x:c>
      <x:c r="L45" s="31" t="str">
        <x:f>IF(K45=0,"",I45/K45)</x:f>
      </x:c>
      <x:c r="M45" s="29"/>
    </x:row>
    <x:row r="46">
      <x:c r="A46" s="27"/>
      <x:c r="B46" s="27"/>
      <x:c r="C46" s="27"/>
      <x:c r="D46" s="27"/>
      <x:c r="E46" s="27"/>
      <x:c r="F46" s="27"/>
      <x:c r="G46" s="27"/>
      <x:c r="H46" s="27"/>
      <x:c r="I46" s="27"/>
      <x:c r="J46" s="27"/>
      <x:c r="K46" s="27" t="n">
        <x:f>I46+J46</x:f>
        <x:v>0</x:v>
      </x:c>
      <x:c r="L46" s="31" t="str">
        <x:f>IF(K46=0,"",I46/K46)</x:f>
      </x:c>
      <x:c r="M46" s="29"/>
    </x:row>
    <x:row r="47">
      <x:c r="A47" s="27"/>
      <x:c r="B47" s="27"/>
      <x:c r="C47" s="27"/>
      <x:c r="D47" s="27"/>
      <x:c r="E47" s="27"/>
      <x:c r="F47" s="27"/>
      <x:c r="G47" s="27"/>
      <x:c r="H47" s="27"/>
      <x:c r="I47" s="27"/>
      <x:c r="J47" s="27"/>
      <x:c r="K47" s="27" t="n">
        <x:f>I47+J47</x:f>
        <x:v>0</x:v>
      </x:c>
      <x:c r="L47" s="31" t="str">
        <x:f>IF(K47=0,"",I47/K47)</x:f>
      </x:c>
      <x:c r="M47" s="29"/>
    </x:row>
    <x:row r="48">
      <x:c r="A48" s="27"/>
      <x:c r="B48" s="27"/>
      <x:c r="C48" s="27"/>
      <x:c r="D48" s="27"/>
      <x:c r="E48" s="27"/>
      <x:c r="F48" s="27"/>
      <x:c r="G48" s="27"/>
      <x:c r="H48" s="27"/>
      <x:c r="I48" s="27"/>
      <x:c r="J48" s="27"/>
      <x:c r="K48" s="27" t="n">
        <x:f>I48+J48</x:f>
        <x:v>0</x:v>
      </x:c>
      <x:c r="L48" s="31" t="str">
        <x:f>IF(K48=0,"",I48/K48)</x:f>
      </x:c>
      <x:c r="M48" s="29"/>
    </x:row>
    <x:row r="49">
      <x:c r="A49" s="27"/>
      <x:c r="B49" s="27"/>
      <x:c r="C49" s="27"/>
      <x:c r="D49" s="27"/>
      <x:c r="E49" s="27"/>
      <x:c r="F49" s="27"/>
      <x:c r="G49" s="27"/>
      <x:c r="H49" s="27"/>
      <x:c r="I49" s="27"/>
      <x:c r="J49" s="27"/>
      <x:c r="K49" s="27" t="n">
        <x:f>I49+J49</x:f>
        <x:v>0</x:v>
      </x:c>
      <x:c r="L49" s="31" t="str">
        <x:f>IF(K49=0,"",I49/K49)</x:f>
      </x:c>
      <x:c r="M49" s="29"/>
    </x:row>
    <x:row r="50">
      <x:c r="A50" s="27"/>
      <x:c r="B50" s="27"/>
      <x:c r="C50" s="27"/>
      <x:c r="D50" s="27"/>
      <x:c r="E50" s="27"/>
      <x:c r="F50" s="27"/>
      <x:c r="G50" s="27"/>
      <x:c r="H50" s="27"/>
      <x:c r="I50" s="27"/>
      <x:c r="J50" s="27"/>
      <x:c r="K50" s="27" t="n">
        <x:f>I50+J50</x:f>
        <x:v>0</x:v>
      </x:c>
      <x:c r="L50" s="31" t="str">
        <x:f>IF(K50=0,"",I50/K50)</x:f>
      </x:c>
      <x:c r="M50" s="29"/>
    </x:row>
    <x:row r="51">
      <x:c r="K51" t="n">
        <x:f>I51+J51</x:f>
        <x:v>0</x:v>
      </x:c>
      <x:c r="L51" s="19" t="str">
        <x:f>IF(K51=0,"",I51/K51)</x:f>
      </x:c>
      <x:c r="M51" s="44"/>
    </x:row>
    <x:row r="52">
      <x:c r="K52" t="n">
        <x:f>I52+J52</x:f>
        <x:v>0</x:v>
      </x:c>
      <x:c r="L52" s="19" t="str">
        <x:f>IF(K52=0,"",I52/K52)</x:f>
      </x:c>
      <x:c r="M52" s="44"/>
    </x:row>
    <x:row r="53">
      <x:c r="K53" t="n">
        <x:f>I53+J53</x:f>
        <x:v>0</x:v>
      </x:c>
      <x:c r="L53" s="19" t="str">
        <x:f>IF(K53=0,"",I53/K53)</x:f>
      </x:c>
      <x:c r="M53" s="44"/>
    </x:row>
    <x:row r="54">
      <x:c r="K54" t="n">
        <x:f>I54+J54</x:f>
        <x:v>0</x:v>
      </x:c>
      <x:c r="L54" s="19" t="str">
        <x:f>IF(K54=0,"",I54/K54)</x:f>
      </x:c>
      <x:c r="M54" s="44"/>
    </x:row>
    <x:row r="55">
      <x:c r="K55" t="n">
        <x:f>I55+J55</x:f>
        <x:v>0</x:v>
      </x:c>
      <x:c r="L55" s="19" t="str">
        <x:f>IF(K55=0,"",I55/K55)</x:f>
      </x:c>
      <x:c r="M55" s="44"/>
    </x:row>
    <x:row r="56">
      <x:c r="K56" t="n">
        <x:f>I56+J56</x:f>
        <x:v>0</x:v>
      </x:c>
      <x:c r="L56" s="19" t="str">
        <x:f>IF(K56=0,"",I56/K56)</x:f>
      </x:c>
      <x:c r="M56" s="44"/>
    </x:row>
    <x:row r="57">
      <x:c r="K57" t="n">
        <x:f>I57+J57</x:f>
        <x:v>0</x:v>
      </x:c>
      <x:c r="L57" s="19" t="str">
        <x:f>IF(K57=0,"",I57/K57)</x:f>
      </x:c>
      <x:c r="M57" s="44"/>
    </x:row>
    <x:row r="58">
      <x:c r="K58" t="n">
        <x:f>I58+J58</x:f>
        <x:v>0</x:v>
      </x:c>
      <x:c r="L58" s="19" t="str">
        <x:f>IF(K58=0,"",I58/K58)</x:f>
      </x:c>
      <x:c r="M58" s="44"/>
    </x:row>
    <x:row r="59">
      <x:c r="K59" t="n">
        <x:f>I59+J59</x:f>
        <x:v>0</x:v>
      </x:c>
      <x:c r="L59" s="19" t="str">
        <x:f>IF(K59=0,"",I59/K59)</x:f>
      </x:c>
      <x:c r="M59" s="44"/>
    </x:row>
    <x:row r="60">
      <x:c r="K60" t="n">
        <x:f>I60+J60</x:f>
        <x:v>0</x:v>
      </x:c>
      <x:c r="L60" s="19" t="str">
        <x:f>IF(K60=0,"",I60/K60)</x:f>
      </x:c>
      <x:c r="M60" s="44"/>
    </x:row>
    <x:row r="61">
      <x:c r="K61" t="n">
        <x:f>I61+J61</x:f>
        <x:v>0</x:v>
      </x:c>
      <x:c r="L61" s="19" t="str">
        <x:f>IF(K61=0,"",I61/K61)</x:f>
      </x:c>
      <x:c r="M61" s="44"/>
    </x:row>
    <x:row r="62">
      <x:c r="K62" t="n">
        <x:f>I62+J62</x:f>
        <x:v>0</x:v>
      </x:c>
      <x:c r="L62" s="19" t="str">
        <x:f>IF(K62=0,"",I62/K62)</x:f>
      </x:c>
      <x:c r="M62" s="44"/>
    </x:row>
    <x:row r="63">
      <x:c r="K63" t="n">
        <x:f>I63+J63</x:f>
        <x:v>0</x:v>
      </x:c>
      <x:c r="L63" s="19" t="str">
        <x:f>IF(K63=0,"",I63/K63)</x:f>
      </x:c>
      <x:c r="M63" s="44"/>
    </x:row>
    <x:row r="64">
      <x:c r="K64" t="n">
        <x:f>I64+J64</x:f>
        <x:v>0</x:v>
      </x:c>
      <x:c r="L64" s="19" t="str">
        <x:f>IF(K64=0,"",I64/K64)</x:f>
      </x:c>
      <x:c r="M64" s="44"/>
    </x:row>
    <x:row r="65">
      <x:c r="K65" t="n">
        <x:f>I65+J65</x:f>
        <x:v>0</x:v>
      </x:c>
      <x:c r="L65" s="19" t="str">
        <x:f>IF(K65=0,"",I65/K65)</x:f>
      </x:c>
      <x:c r="M65" s="44"/>
    </x:row>
    <x:row r="66">
      <x:c r="K66" t="n">
        <x:f>I66+J66</x:f>
        <x:v>0</x:v>
      </x:c>
      <x:c r="L66" s="19" t="str">
        <x:f>IF(K66=0,"",I66/K66)</x:f>
      </x:c>
      <x:c r="M66" s="44"/>
    </x:row>
    <x:row r="67">
      <x:c r="K67" t="n">
        <x:f>I67+J67</x:f>
        <x:v>0</x:v>
      </x:c>
      <x:c r="L67" s="19" t="str">
        <x:f>IF(K67=0,"",I67/K67)</x:f>
      </x:c>
      <x:c r="M67" s="44"/>
    </x:row>
    <x:row r="68">
      <x:c r="K68" t="n">
        <x:f>I68+J68</x:f>
        <x:v>0</x:v>
      </x:c>
      <x:c r="L68" s="19" t="str">
        <x:f>IF(K68=0,"",I68/K68)</x:f>
      </x:c>
      <x:c r="M68" s="44"/>
    </x:row>
    <x:row r="69">
      <x:c r="K69" t="n">
        <x:f>I69+J69</x:f>
        <x:v>0</x:v>
      </x:c>
      <x:c r="L69" s="19" t="str">
        <x:f>IF(K69=0,"",I69/K69)</x:f>
      </x:c>
      <x:c r="M69" s="44"/>
    </x:row>
    <x:row r="70">
      <x:c r="K70" t="n">
        <x:f>I70+J70</x:f>
        <x:v>0</x:v>
      </x:c>
      <x:c r="L70" s="19" t="str">
        <x:f>IF(K70=0,"",I70/K70)</x:f>
      </x:c>
      <x:c r="M70" s="44"/>
    </x:row>
    <x:row r="71">
      <x:c r="K71" t="n">
        <x:f>I71+J71</x:f>
        <x:v>0</x:v>
      </x:c>
      <x:c r="L71" s="19" t="str">
        <x:f>IF(K71=0,"",I71/K71)</x:f>
      </x:c>
      <x:c r="M71" s="44"/>
    </x:row>
    <x:row r="72">
      <x:c r="K72" t="n">
        <x:f>I72+J72</x:f>
        <x:v>0</x:v>
      </x:c>
      <x:c r="L72" s="19" t="str">
        <x:f>IF(K72=0,"",I72/K72)</x:f>
      </x:c>
      <x:c r="M72" s="44"/>
    </x:row>
    <x:row r="73">
      <x:c r="K73" t="n">
        <x:f>I73+J73</x:f>
        <x:v>0</x:v>
      </x:c>
      <x:c r="L73" s="19" t="str">
        <x:f>IF(K73=0,"",I73/K73)</x:f>
      </x:c>
      <x:c r="M73" s="44"/>
    </x:row>
    <x:row r="74">
      <x:c r="K74" t="n">
        <x:f>I74+J74</x:f>
        <x:v>0</x:v>
      </x:c>
      <x:c r="L74" s="19" t="str">
        <x:f>IF(K74=0,"",I74/K74)</x:f>
      </x:c>
      <x:c r="M74" s="44"/>
    </x:row>
    <x:row r="75">
      <x:c r="K75" t="n">
        <x:f>I75+J75</x:f>
        <x:v>0</x:v>
      </x:c>
      <x:c r="L75" s="19" t="str">
        <x:f>IF(K75=0,"",I75/K75)</x:f>
      </x:c>
      <x:c r="M75" s="44"/>
    </x:row>
    <x:row r="76">
      <x:c r="K76" t="n">
        <x:f>I76+J76</x:f>
        <x:v>0</x:v>
      </x:c>
      <x:c r="L76" s="19" t="str">
        <x:f>IF(K76=0,"",I76/K76)</x:f>
      </x:c>
      <x:c r="M76" s="44"/>
    </x:row>
    <x:row r="77">
      <x:c r="K77" t="n">
        <x:f>I77+J77</x:f>
        <x:v>0</x:v>
      </x:c>
      <x:c r="L77" s="19" t="str">
        <x:f>IF(K77=0,"",I77/K77)</x:f>
      </x:c>
      <x:c r="M77" s="44"/>
    </x:row>
    <x:row r="78">
      <x:c r="K78" t="n">
        <x:f>I78+J78</x:f>
        <x:v>0</x:v>
      </x:c>
      <x:c r="L78" s="19" t="str">
        <x:f>IF(K78=0,"",I78/K78)</x:f>
      </x:c>
      <x:c r="M78" s="44"/>
    </x:row>
    <x:row r="79">
      <x:c r="K79" t="n">
        <x:f>I79+J79</x:f>
        <x:v>0</x:v>
      </x:c>
      <x:c r="L79" s="19" t="str">
        <x:f>IF(K79=0,"",I79/K79)</x:f>
      </x:c>
      <x:c r="M79" s="44"/>
    </x:row>
    <x:row r="80">
      <x:c r="K80" t="n">
        <x:f>I80+J80</x:f>
        <x:v>0</x:v>
      </x:c>
      <x:c r="L80" s="19" t="str">
        <x:f>IF(K80=0,"",I80/K80)</x:f>
      </x:c>
      <x:c r="M80" s="44"/>
    </x:row>
    <x:row r="81">
      <x:c r="K81" t="n">
        <x:f>I81+J81</x:f>
        <x:v>0</x:v>
      </x:c>
      <x:c r="L81" s="19" t="str">
        <x:f>IF(K81=0,"",I81/K81)</x:f>
      </x:c>
      <x:c r="M81" s="44"/>
    </x:row>
    <x:row r="82">
      <x:c r="K82" t="n">
        <x:f>I82+J82</x:f>
        <x:v>0</x:v>
      </x:c>
      <x:c r="L82" s="19" t="str">
        <x:f>IF(K82=0,"",I82/K82)</x:f>
      </x:c>
      <x:c r="M82" s="44"/>
    </x:row>
    <x:row r="83">
      <x:c r="K83" t="n">
        <x:f>I83+J83</x:f>
        <x:v>0</x:v>
      </x:c>
      <x:c r="L83" s="19" t="str">
        <x:f>IF(K83=0,"",I83/K83)</x:f>
      </x:c>
      <x:c r="M83" s="44"/>
    </x:row>
    <x:row r="84">
      <x:c r="K84" t="n">
        <x:f>I84+J84</x:f>
        <x:v>0</x:v>
      </x:c>
      <x:c r="L84" s="19" t="str">
        <x:f>IF(K84=0,"",I84/K84)</x:f>
      </x:c>
      <x:c r="M84" s="44"/>
    </x:row>
    <x:row r="85">
      <x:c r="K85" t="n">
        <x:f>I85+J85</x:f>
        <x:v>0</x:v>
      </x:c>
      <x:c r="L85" s="19" t="str">
        <x:f>IF(K85=0,"",I85/K85)</x:f>
      </x:c>
      <x:c r="M85" s="44"/>
    </x:row>
    <x:row r="86">
      <x:c r="K86" t="n">
        <x:f>I86+J86</x:f>
        <x:v>0</x:v>
      </x:c>
      <x:c r="L86" s="19" t="str">
        <x:f>IF(K86=0,"",I86/K86)</x:f>
      </x:c>
      <x:c r="M86" s="44"/>
    </x:row>
    <x:row r="87">
      <x:c r="K87" t="n">
        <x:f>I87+J87</x:f>
        <x:v>0</x:v>
      </x:c>
      <x:c r="L87" s="19" t="str">
        <x:f>IF(K87=0,"",I87/K87)</x:f>
      </x:c>
      <x:c r="M87" s="44"/>
    </x:row>
    <x:row r="88">
      <x:c r="K88" t="n">
        <x:f>I88+J88</x:f>
        <x:v>0</x:v>
      </x:c>
      <x:c r="L88" s="19" t="str">
        <x:f>IF(K88=0,"",I88/K88)</x:f>
      </x:c>
      <x:c r="M88" s="44"/>
    </x:row>
    <x:row r="89">
      <x:c r="K89" t="n">
        <x:f>I89+J89</x:f>
        <x:v>0</x:v>
      </x:c>
      <x:c r="L89" s="19" t="str">
        <x:f>IF(K89=0,"",I89/K89)</x:f>
      </x:c>
      <x:c r="M89" s="44"/>
    </x:row>
    <x:row r="90">
      <x:c r="K90" t="n">
        <x:f>I90+J90</x:f>
        <x:v>0</x:v>
      </x:c>
      <x:c r="L90" s="19" t="str">
        <x:f>IF(K90=0,"",I90/K90)</x:f>
      </x:c>
      <x:c r="M90" s="44"/>
    </x:row>
    <x:row r="91">
      <x:c r="K91" t="n">
        <x:f>I91+J91</x:f>
        <x:v>0</x:v>
      </x:c>
      <x:c r="L91" s="19" t="str">
        <x:f>IF(K91=0,"",I91/K91)</x:f>
      </x:c>
      <x:c r="M91" s="44"/>
    </x:row>
    <x:row r="92">
      <x:c r="K92" t="n">
        <x:f>I92+J92</x:f>
        <x:v>0</x:v>
      </x:c>
      <x:c r="L92" s="19" t="str">
        <x:f>IF(K92=0,"",I92/K92)</x:f>
      </x:c>
      <x:c r="M92" s="44"/>
    </x:row>
    <x:row r="93">
      <x:c r="K93" t="n">
        <x:f>I93+J93</x:f>
        <x:v>0</x:v>
      </x:c>
      <x:c r="L93" s="19" t="str">
        <x:f>IF(K93=0,"",I93/K93)</x:f>
      </x:c>
      <x:c r="M93" s="44"/>
    </x:row>
    <x:row r="94">
      <x:c r="K94" t="n">
        <x:f>I94+J94</x:f>
        <x:v>0</x:v>
      </x:c>
      <x:c r="L94" s="19" t="str">
        <x:f>IF(K94=0,"",I94/K94)</x:f>
      </x:c>
      <x:c r="M94" s="44"/>
    </x:row>
    <x:row r="95">
      <x:c r="K95" t="n">
        <x:f>I95+J95</x:f>
        <x:v>0</x:v>
      </x:c>
      <x:c r="L95" s="19" t="str">
        <x:f>IF(K95=0,"",I95/K95)</x:f>
      </x:c>
      <x:c r="M95" s="44"/>
    </x:row>
    <x:row r="96">
      <x:c r="K96" t="n">
        <x:f>I96+J96</x:f>
        <x:v>0</x:v>
      </x:c>
      <x:c r="L96" s="19" t="str">
        <x:f>IF(K96=0,"",I96/K96)</x:f>
      </x:c>
      <x:c r="M96" s="44"/>
    </x:row>
    <x:row r="97">
      <x:c r="K97" t="n">
        <x:f>I97+J97</x:f>
        <x:v>0</x:v>
      </x:c>
      <x:c r="L97" s="19" t="str">
        <x:f>IF(K97=0,"",I97/K97)</x:f>
      </x:c>
      <x:c r="M97" s="44"/>
    </x:row>
    <x:row r="98">
      <x:c r="K98" t="n">
        <x:f>I98+J98</x:f>
        <x:v>0</x:v>
      </x:c>
      <x:c r="L98" s="19" t="str">
        <x:f>IF(K98=0,"",I98/K98)</x:f>
      </x:c>
      <x:c r="M98" s="44"/>
    </x:row>
    <x:row r="99">
      <x:c r="K99" t="n">
        <x:f>I99+J99</x:f>
        <x:v>0</x:v>
      </x:c>
      <x:c r="L99" s="19" t="str">
        <x:f>IF(K99=0,"",I99/K99)</x:f>
      </x:c>
      <x:c r="M99" s="44"/>
    </x:row>
    <x:row r="100">
      <x:c r="K100" t="n">
        <x:f>I100+J100</x:f>
        <x:v>0</x:v>
      </x:c>
      <x:c r="L100" s="19" t="str">
        <x:f>IF(K100=0,"",I100/K100)</x:f>
      </x:c>
      <x:c r="M100" s="44"/>
    </x:row>
    <x:row r="101">
      <x:c r="K101" t="n">
        <x:f>I101+J101</x:f>
        <x:v>0</x:v>
      </x:c>
      <x:c r="L101" s="19" t="str">
        <x:f>IF(K101=0,"",I101/K101)</x:f>
      </x:c>
      <x:c r="M101" s="44"/>
    </x:row>
    <x:row r="102">
      <x:c r="K102" t="n">
        <x:f>I102+J102</x:f>
        <x:v>0</x:v>
      </x:c>
      <x:c r="L102" s="19" t="str">
        <x:f>IF(K102=0,"",I102/K102)</x:f>
      </x:c>
      <x:c r="M102" s="44"/>
    </x:row>
    <x:row r="103">
      <x:c r="K103" t="n">
        <x:f>I103+J103</x:f>
        <x:v>0</x:v>
      </x:c>
      <x:c r="L103" s="19" t="str">
        <x:f>IF(K103=0,"",I103/K103)</x:f>
      </x:c>
      <x:c r="M103" s="44"/>
    </x:row>
    <x:row r="104">
      <x:c r="K104" t="n">
        <x:f>I104+J104</x:f>
        <x:v>0</x:v>
      </x:c>
      <x:c r="L104" s="19" t="str">
        <x:f>IF(K104=0,"",I104/K104)</x:f>
      </x:c>
      <x:c r="M104" s="44"/>
    </x:row>
    <x:row r="105">
      <x:c r="K105" t="n">
        <x:f>I105+J105</x:f>
        <x:v>0</x:v>
      </x:c>
      <x:c r="L105" s="19" t="str">
        <x:f>IF(K105=0,"",I105/K105)</x:f>
      </x:c>
      <x:c r="M105" s="44"/>
    </x:row>
    <x:row r="106">
      <x:c r="K106" t="n">
        <x:f>I106+J106</x:f>
        <x:v>0</x:v>
      </x:c>
      <x:c r="L106" s="19" t="str">
        <x:f>IF(K106=0,"",I106/K106)</x:f>
      </x:c>
      <x:c r="M106" s="44"/>
    </x:row>
    <x:row r="107">
      <x:c r="K107" t="n">
        <x:f>I107+J107</x:f>
        <x:v>0</x:v>
      </x:c>
      <x:c r="L107" s="19" t="str">
        <x:f>IF(K107=0,"",I107/K107)</x:f>
      </x:c>
      <x:c r="M107" s="44"/>
    </x:row>
    <x:row r="108">
      <x:c r="K108" t="n">
        <x:f>I108+J108</x:f>
        <x:v>0</x:v>
      </x:c>
      <x:c r="L108" s="19" t="str">
        <x:f>IF(K108=0,"",I108/K108)</x:f>
      </x:c>
      <x:c r="M108" s="44"/>
    </x:row>
    <x:row r="109">
      <x:c r="K109" t="n">
        <x:f>I109+J109</x:f>
        <x:v>0</x:v>
      </x:c>
      <x:c r="L109" s="19" t="str">
        <x:f>IF(K109=0,"",I109/K109)</x:f>
      </x:c>
      <x:c r="M109" s="44"/>
    </x:row>
    <x:row r="110">
      <x:c r="K110" t="n">
        <x:f>I110+J110</x:f>
        <x:v>0</x:v>
      </x:c>
      <x:c r="L110" s="19" t="str">
        <x:f>IF(K110=0,"",I110/K110)</x:f>
      </x:c>
      <x:c r="M110" s="44"/>
    </x:row>
    <x:row r="111">
      <x:c r="K111" t="n">
        <x:f>I111+J111</x:f>
        <x:v>0</x:v>
      </x:c>
      <x:c r="L111" s="19" t="str">
        <x:f>IF(K111=0,"",I111/K111)</x:f>
      </x:c>
      <x:c r="M111" s="44"/>
    </x:row>
    <x:row r="112">
      <x:c r="K112" t="n">
        <x:f>I112+J112</x:f>
        <x:v>0</x:v>
      </x:c>
      <x:c r="L112" s="19" t="str">
        <x:f>IF(K112=0,"",I112/K112)</x:f>
      </x:c>
      <x:c r="M112" s="44"/>
    </x:row>
    <x:row r="113">
      <x:c r="K113" t="n">
        <x:f>I113+J113</x:f>
        <x:v>0</x:v>
      </x:c>
      <x:c r="L113" s="19" t="str">
        <x:f>IF(K113=0,"",I113/K113)</x:f>
      </x:c>
      <x:c r="M113" s="44"/>
    </x:row>
    <x:row r="114">
      <x:c r="K114" t="n">
        <x:f>I114+J114</x:f>
        <x:v>0</x:v>
      </x:c>
      <x:c r="L114" s="19" t="str">
        <x:f>IF(K114=0,"",I114/K114)</x:f>
      </x:c>
      <x:c r="M114" s="44"/>
    </x:row>
    <x:row r="115">
      <x:c r="K115" t="n">
        <x:f>I115+J115</x:f>
        <x:v>0</x:v>
      </x:c>
      <x:c r="L115" s="19" t="str">
        <x:f>IF(K115=0,"",I115/K115)</x:f>
      </x:c>
      <x:c r="M115" s="44"/>
    </x:row>
    <x:row r="116">
      <x:c r="K116" t="n">
        <x:f>I116+J116</x:f>
        <x:v>0</x:v>
      </x:c>
      <x:c r="L116" s="19" t="str">
        <x:f>IF(K116=0,"",I116/K116)</x:f>
      </x:c>
      <x:c r="M116" s="44"/>
    </x:row>
    <x:row r="117">
      <x:c r="K117" t="n">
        <x:f>I117+J117</x:f>
        <x:v>0</x:v>
      </x:c>
      <x:c r="L117" s="19" t="str">
        <x:f>IF(K117=0,"",I117/K117)</x:f>
      </x:c>
      <x:c r="M117" s="44"/>
    </x:row>
    <x:row r="118">
      <x:c r="K118" t="n">
        <x:f>I118+J118</x:f>
        <x:v>0</x:v>
      </x:c>
      <x:c r="L118" s="19" t="str">
        <x:f>IF(K118=0,"",I118/K118)</x:f>
      </x:c>
      <x:c r="M118" s="44"/>
    </x:row>
    <x:row r="119">
      <x:c r="K119" t="n">
        <x:f>I119+J119</x:f>
        <x:v>0</x:v>
      </x:c>
      <x:c r="L119" s="19" t="str">
        <x:f>IF(K119=0,"",I119/K119)</x:f>
      </x:c>
      <x:c r="M119" s="44"/>
    </x:row>
    <x:row r="120">
      <x:c r="K120" t="n">
        <x:f>I120+J120</x:f>
        <x:v>0</x:v>
      </x:c>
      <x:c r="L120" s="19" t="str">
        <x:f>IF(K120=0,"",I120/K120)</x:f>
      </x:c>
      <x:c r="M120" s="44"/>
    </x:row>
    <x:row r="121">
      <x:c r="K121" t="n">
        <x:f>I121+J121</x:f>
        <x:v>0</x:v>
      </x:c>
      <x:c r="L121" s="19" t="str">
        <x:f>IF(K121=0,"",I121/K121)</x:f>
      </x:c>
      <x:c r="M121" s="44"/>
    </x:row>
    <x:row r="122">
      <x:c r="K122" t="n">
        <x:f>I122+J122</x:f>
        <x:v>0</x:v>
      </x:c>
      <x:c r="L122" s="19" t="str">
        <x:f>IF(K122=0,"",I122/K122)</x:f>
      </x:c>
      <x:c r="M122" s="44"/>
    </x:row>
    <x:row r="123">
      <x:c r="K123" t="n">
        <x:f>I123+J123</x:f>
        <x:v>0</x:v>
      </x:c>
      <x:c r="L123" s="19" t="str">
        <x:f>IF(K123=0,"",I123/K123)</x:f>
      </x:c>
      <x:c r="M123" s="44"/>
    </x:row>
    <x:row r="124">
      <x:c r="K124" t="n">
        <x:f>I124+J124</x:f>
        <x:v>0</x:v>
      </x:c>
      <x:c r="L124" s="19" t="str">
        <x:f>IF(K124=0,"",I124/K124)</x:f>
      </x:c>
      <x:c r="M124" s="44"/>
    </x:row>
    <x:row r="125">
      <x:c r="K125" t="n">
        <x:f>I125+J125</x:f>
        <x:v>0</x:v>
      </x:c>
      <x:c r="L125" s="19" t="str">
        <x:f>IF(K125=0,"",I125/K125)</x:f>
      </x:c>
      <x:c r="M125" s="44"/>
    </x:row>
    <x:row r="126">
      <x:c r="K126" t="n">
        <x:f>I126+J126</x:f>
        <x:v>0</x:v>
      </x:c>
      <x:c r="L126" s="19" t="str">
        <x:f>IF(K126=0,"",I126/K126)</x:f>
      </x:c>
      <x:c r="M126" s="44"/>
    </x:row>
    <x:row r="127">
      <x:c r="K127" t="n">
        <x:f>I127+J127</x:f>
        <x:v>0</x:v>
      </x:c>
      <x:c r="L127" s="19" t="str">
        <x:f>IF(K127=0,"",I127/K127)</x:f>
      </x:c>
      <x:c r="M127" s="44"/>
    </x:row>
    <x:row r="128">
      <x:c r="K128" t="n">
        <x:f>I128+J128</x:f>
        <x:v>0</x:v>
      </x:c>
      <x:c r="L128" s="19" t="str">
        <x:f>IF(K128=0,"",I128/K128)</x:f>
      </x:c>
      <x:c r="M128" s="44"/>
    </x:row>
    <x:row r="129">
      <x:c r="K129" t="n">
        <x:f>I129+J129</x:f>
        <x:v>0</x:v>
      </x:c>
      <x:c r="L129" s="19" t="str">
        <x:f>IF(K129=0,"",I129/K129)</x:f>
      </x:c>
      <x:c r="M129" s="44"/>
    </x:row>
    <x:row r="130">
      <x:c r="K130" t="n">
        <x:f>I130+J130</x:f>
        <x:v>0</x:v>
      </x:c>
      <x:c r="L130" s="19" t="str">
        <x:f>IF(K130=0,"",I130/K130)</x:f>
      </x:c>
      <x:c r="M130" s="44"/>
    </x:row>
    <x:row r="131">
      <x:c r="K131" t="n">
        <x:f>I131+J131</x:f>
        <x:v>0</x:v>
      </x:c>
      <x:c r="L131" s="19" t="str">
        <x:f>IF(K131=0,"",I131/K131)</x:f>
      </x:c>
      <x:c r="M131" s="44"/>
    </x:row>
    <x:row r="132">
      <x:c r="K132" t="n">
        <x:f>I132+J132</x:f>
        <x:v>0</x:v>
      </x:c>
      <x:c r="L132" s="19" t="str">
        <x:f>IF(K132=0,"",I132/K132)</x:f>
      </x:c>
      <x:c r="M132" s="44"/>
    </x:row>
    <x:row r="133">
      <x:c r="K133" t="n">
        <x:f>I133+J133</x:f>
        <x:v>0</x:v>
      </x:c>
      <x:c r="L133" s="19" t="str">
        <x:f>IF(K133=0,"",I133/K133)</x:f>
      </x:c>
      <x:c r="M133" s="44"/>
    </x:row>
    <x:row r="134">
      <x:c r="K134" t="n">
        <x:f>I134+J134</x:f>
        <x:v>0</x:v>
      </x:c>
      <x:c r="L134" s="19" t="str">
        <x:f>IF(K134=0,"",I134/K134)</x:f>
      </x:c>
      <x:c r="M134" s="44"/>
    </x:row>
    <x:row r="135">
      <x:c r="K135" t="n">
        <x:f>I135+J135</x:f>
        <x:v>0</x:v>
      </x:c>
      <x:c r="L135" s="19" t="str">
        <x:f>IF(K135=0,"",I135/K135)</x:f>
      </x:c>
      <x:c r="M135" s="44"/>
    </x:row>
    <x:row r="136">
      <x:c r="K136" t="n">
        <x:f>I136+J136</x:f>
        <x:v>0</x:v>
      </x:c>
      <x:c r="L136" s="19" t="str">
        <x:f>IF(K136=0,"",I136/K136)</x:f>
      </x:c>
      <x:c r="M136" s="44"/>
    </x:row>
    <x:row r="137">
      <x:c r="K137" t="n">
        <x:f>I137+J137</x:f>
        <x:v>0</x:v>
      </x:c>
      <x:c r="L137" s="19" t="str">
        <x:f>IF(K137=0,"",I137/K137)</x:f>
      </x:c>
      <x:c r="M137" s="44"/>
    </x:row>
    <x:row r="138">
      <x:c r="K138" t="n">
        <x:f>I138+J138</x:f>
        <x:v>0</x:v>
      </x:c>
      <x:c r="L138" s="19" t="str">
        <x:f>IF(K138=0,"",I138/K138)</x:f>
      </x:c>
      <x:c r="M138" s="44"/>
    </x:row>
    <x:row r="139">
      <x:c r="K139" t="n">
        <x:f>I139+J139</x:f>
        <x:v>0</x:v>
      </x:c>
      <x:c r="L139" s="19" t="str">
        <x:f>IF(K139=0,"",I139/K139)</x:f>
      </x:c>
      <x:c r="M139" s="44"/>
    </x:row>
    <x:row r="140">
      <x:c r="K140" t="n">
        <x:f>I140+J140</x:f>
        <x:v>0</x:v>
      </x:c>
      <x:c r="L140" s="19" t="str">
        <x:f>IF(K140=0,"",I140/K140)</x:f>
      </x:c>
      <x:c r="M140" s="44"/>
    </x:row>
    <x:row r="141">
      <x:c r="K141" t="n">
        <x:f>I141+J141</x:f>
        <x:v>0</x:v>
      </x:c>
      <x:c r="L141" s="19" t="str">
        <x:f>IF(K141=0,"",I141/K141)</x:f>
      </x:c>
      <x:c r="M141" s="44"/>
    </x:row>
    <x:row r="142">
      <x:c r="K142" t="n">
        <x:f>I142+J142</x:f>
        <x:v>0</x:v>
      </x:c>
      <x:c r="L142" s="19" t="str">
        <x:f>IF(K142=0,"",I142/K142)</x:f>
      </x:c>
      <x:c r="M142" s="44"/>
    </x:row>
    <x:row r="143">
      <x:c r="K143" t="n">
        <x:f>I143+J143</x:f>
        <x:v>0</x:v>
      </x:c>
      <x:c r="L143" s="19" t="str">
        <x:f>IF(K143=0,"",I143/K143)</x:f>
      </x:c>
      <x:c r="M143" s="44"/>
    </x:row>
    <x:row r="144">
      <x:c r="K144" t="n">
        <x:f>I144+J144</x:f>
        <x:v>0</x:v>
      </x:c>
      <x:c r="L144" s="19" t="str">
        <x:f>IF(K144=0,"",I144/K144)</x:f>
      </x:c>
      <x:c r="M144" s="44"/>
    </x:row>
    <x:row r="145">
      <x:c r="K145" t="n">
        <x:f>I145+J145</x:f>
        <x:v>0</x:v>
      </x:c>
      <x:c r="L145" s="19" t="str">
        <x:f>IF(K145=0,"",I145/K145)</x:f>
      </x:c>
      <x:c r="M145" s="44"/>
    </x:row>
    <x:row r="146">
      <x:c r="K146" t="n">
        <x:f>I146+J146</x:f>
        <x:v>0</x:v>
      </x:c>
      <x:c r="L146" s="19" t="str">
        <x:f>IF(K146=0,"",I146/K146)</x:f>
      </x:c>
      <x:c r="M146" s="44"/>
    </x:row>
    <x:row r="147">
      <x:c r="K147" t="n">
        <x:f>I147+J147</x:f>
        <x:v>0</x:v>
      </x:c>
      <x:c r="L147" s="19" t="str">
        <x:f>IF(K147=0,"",I147/K147)</x:f>
      </x:c>
      <x:c r="M147" s="44"/>
    </x:row>
    <x:row r="148">
      <x:c r="K148" t="n">
        <x:f>I148+J148</x:f>
        <x:v>0</x:v>
      </x:c>
      <x:c r="L148" s="19" t="str">
        <x:f>IF(K148=0,"",I148/K148)</x:f>
      </x:c>
      <x:c r="M148" s="44"/>
    </x:row>
    <x:row r="149">
      <x:c r="K149" t="n">
        <x:f>I149+J149</x:f>
        <x:v>0</x:v>
      </x:c>
      <x:c r="L149" s="19" t="str">
        <x:f>IF(K149=0,"",I149/K149)</x:f>
      </x:c>
      <x:c r="M149" s="44"/>
    </x:row>
    <x:row r="150">
      <x:c r="K150" t="n">
        <x:f>I150+J150</x:f>
        <x:v>0</x:v>
      </x:c>
      <x:c r="L150" s="19" t="str">
        <x:f>IF(K150=0,"",I150/K150)</x:f>
      </x:c>
      <x:c r="M150" s="44"/>
    </x:row>
    <x:row r="151">
      <x:c r="K151" t="n">
        <x:f>I151+J151</x:f>
        <x:v>0</x:v>
      </x:c>
      <x:c r="L151" s="19" t="str">
        <x:f>IF(K151=0,"",I151/K151)</x:f>
      </x:c>
      <x:c r="M151" s="44"/>
    </x:row>
    <x:row r="152">
      <x:c r="K152" t="n">
        <x:f>I152+J152</x:f>
        <x:v>0</x:v>
      </x:c>
      <x:c r="L152" s="19" t="str">
        <x:f>IF(K152=0,"",I152/K152)</x:f>
      </x:c>
      <x:c r="M152" s="44"/>
    </x:row>
    <x:row r="153">
      <x:c r="K153" t="n">
        <x:f>I153+J153</x:f>
        <x:v>0</x:v>
      </x:c>
      <x:c r="L153" s="19" t="str">
        <x:f>IF(K153=0,"",I153/K153)</x:f>
      </x:c>
      <x:c r="M153" s="44"/>
    </x:row>
    <x:row r="154">
      <x:c r="K154" t="n">
        <x:f>I154+J154</x:f>
        <x:v>0</x:v>
      </x:c>
      <x:c r="L154" s="19" t="str">
        <x:f>IF(K154=0,"",I154/K154)</x:f>
      </x:c>
      <x:c r="M154" s="44"/>
    </x:row>
    <x:row r="155">
      <x:c r="K155" t="n">
        <x:f>I155+J155</x:f>
        <x:v>0</x:v>
      </x:c>
      <x:c r="L155" s="19" t="str">
        <x:f>IF(K155=0,"",I155/K155)</x:f>
      </x:c>
      <x:c r="M155" s="44"/>
    </x:row>
    <x:row r="156">
      <x:c r="K156" t="n">
        <x:f>I156+J156</x:f>
        <x:v>0</x:v>
      </x:c>
      <x:c r="L156" s="19" t="str">
        <x:f>IF(K156=0,"",I156/K156)</x:f>
      </x:c>
      <x:c r="M156" s="44"/>
    </x:row>
    <x:row r="157">
      <x:c r="K157" t="n">
        <x:f>I157+J157</x:f>
        <x:v>0</x:v>
      </x:c>
      <x:c r="L157" s="19" t="str">
        <x:f>IF(K157=0,"",I157/K157)</x:f>
      </x:c>
      <x:c r="M157" s="44"/>
    </x:row>
    <x:row r="158">
      <x:c r="K158" t="n">
        <x:f>I158+J158</x:f>
        <x:v>0</x:v>
      </x:c>
      <x:c r="L158" s="19" t="str">
        <x:f>IF(K158=0,"",I158/K158)</x:f>
      </x:c>
      <x:c r="M158" s="44"/>
    </x:row>
    <x:row r="159">
      <x:c r="K159" t="n">
        <x:f>I159+J159</x:f>
        <x:v>0</x:v>
      </x:c>
      <x:c r="L159" s="19" t="str">
        <x:f>IF(K159=0,"",I159/K159)</x:f>
      </x:c>
      <x:c r="M159" s="44"/>
    </x:row>
    <x:row r="160">
      <x:c r="K160" t="n">
        <x:f>I160+J160</x:f>
        <x:v>0</x:v>
      </x:c>
      <x:c r="L160" s="19" t="str">
        <x:f>IF(K160=0,"",I160/K160)</x:f>
      </x:c>
      <x:c r="M160" s="44"/>
    </x:row>
    <x:row r="161">
      <x:c r="K161" t="n">
        <x:f>I161+J161</x:f>
        <x:v>0</x:v>
      </x:c>
      <x:c r="L161" s="19" t="str">
        <x:f>IF(K161=0,"",I161/K161)</x:f>
      </x:c>
      <x:c r="M161" s="44"/>
    </x:row>
    <x:row r="162">
      <x:c r="K162" t="n">
        <x:f>I162+J162</x:f>
        <x:v>0</x:v>
      </x:c>
      <x:c r="L162" s="19" t="str">
        <x:f>IF(K162=0,"",I162/K162)</x:f>
      </x:c>
      <x:c r="M162" s="44"/>
    </x:row>
    <x:row r="163">
      <x:c r="K163" t="n">
        <x:f>I163+J163</x:f>
        <x:v>0</x:v>
      </x:c>
      <x:c r="L163" s="19" t="str">
        <x:f>IF(K163=0,"",I163/K163)</x:f>
      </x:c>
      <x:c r="M163" s="44"/>
    </x:row>
    <x:row r="164">
      <x:c r="K164" t="n">
        <x:f>I164+J164</x:f>
        <x:v>0</x:v>
      </x:c>
      <x:c r="L164" s="19" t="str">
        <x:f>IF(K164=0,"",I164/K164)</x:f>
      </x:c>
      <x:c r="M164" s="44"/>
    </x:row>
    <x:row r="165">
      <x:c r="K165" t="n">
        <x:f>I165+J165</x:f>
        <x:v>0</x:v>
      </x:c>
      <x:c r="L165" s="19" t="str">
        <x:f>IF(K165=0,"",I165/K165)</x:f>
      </x:c>
      <x:c r="M165" s="44"/>
    </x:row>
    <x:row r="166">
      <x:c r="K166" t="n">
        <x:f>I166+J166</x:f>
        <x:v>0</x:v>
      </x:c>
      <x:c r="L166" s="19" t="str">
        <x:f>IF(K166=0,"",I166/K166)</x:f>
      </x:c>
      <x:c r="M166" s="44"/>
    </x:row>
    <x:row r="167">
      <x:c r="K167" t="n">
        <x:f>I167+J167</x:f>
        <x:v>0</x:v>
      </x:c>
      <x:c r="L167" s="19" t="str">
        <x:f>IF(K167=0,"",I167/K167)</x:f>
      </x:c>
      <x:c r="M167" s="44"/>
    </x:row>
    <x:row r="168">
      <x:c r="K168" t="n">
        <x:f>I168+J168</x:f>
        <x:v>0</x:v>
      </x:c>
      <x:c r="L168" s="19" t="str">
        <x:f>IF(K168=0,"",I168/K168)</x:f>
      </x:c>
      <x:c r="M168" s="44"/>
    </x:row>
    <x:row r="169">
      <x:c r="K169" t="n">
        <x:f>I169+J169</x:f>
        <x:v>0</x:v>
      </x:c>
      <x:c r="L169" s="19" t="str">
        <x:f>IF(K169=0,"",I169/K169)</x:f>
      </x:c>
      <x:c r="M169" s="44"/>
    </x:row>
    <x:row r="170">
      <x:c r="K170" t="n">
        <x:f>I170+J170</x:f>
        <x:v>0</x:v>
      </x:c>
      <x:c r="L170" s="19" t="str">
        <x:f>IF(K170=0,"",I170/K170)</x:f>
      </x:c>
      <x:c r="M170" s="44"/>
    </x:row>
    <x:row r="171">
      <x:c r="K171" t="n">
        <x:f>I171+J171</x:f>
        <x:v>0</x:v>
      </x:c>
      <x:c r="L171" s="19" t="str">
        <x:f>IF(K171=0,"",I171/K171)</x:f>
      </x:c>
      <x:c r="M171" s="44"/>
    </x:row>
    <x:row r="172">
      <x:c r="K172" t="n">
        <x:f>I172+J172</x:f>
        <x:v>0</x:v>
      </x:c>
      <x:c r="L172" s="19" t="str">
        <x:f>IF(K172=0,"",I172/K172)</x:f>
      </x:c>
      <x:c r="M172" s="44"/>
    </x:row>
    <x:row r="173">
      <x:c r="K173" t="n">
        <x:f>I173+J173</x:f>
        <x:v>0</x:v>
      </x:c>
      <x:c r="L173" s="19" t="str">
        <x:f>IF(K173=0,"",I173/K173)</x:f>
      </x:c>
      <x:c r="M173" s="44"/>
    </x:row>
    <x:row r="174">
      <x:c r="K174" t="n">
        <x:f>I174+J174</x:f>
        <x:v>0</x:v>
      </x:c>
      <x:c r="L174" s="19" t="str">
        <x:f>IF(K174=0,"",I174/K174)</x:f>
      </x:c>
      <x:c r="M174" s="44"/>
    </x:row>
    <x:row r="175">
      <x:c r="K175" t="n">
        <x:f>I175+J175</x:f>
        <x:v>0</x:v>
      </x:c>
      <x:c r="L175" s="19" t="str">
        <x:f>IF(K175=0,"",I175/K175)</x:f>
      </x:c>
      <x:c r="M175" s="44"/>
    </x:row>
    <x:row r="176">
      <x:c r="K176" t="n">
        <x:f>I176+J176</x:f>
        <x:v>0</x:v>
      </x:c>
      <x:c r="L176" s="19" t="str">
        <x:f>IF(K176=0,"",I176/K176)</x:f>
      </x:c>
      <x:c r="M176" s="44"/>
    </x:row>
    <x:row r="177">
      <x:c r="K177" t="n">
        <x:f>I177+J177</x:f>
        <x:v>0</x:v>
      </x:c>
      <x:c r="L177" s="19" t="str">
        <x:f>IF(K177=0,"",I177/K177)</x:f>
      </x:c>
      <x:c r="M177" s="44"/>
    </x:row>
    <x:row r="178">
      <x:c r="K178" t="n">
        <x:f>I178+J178</x:f>
        <x:v>0</x:v>
      </x:c>
      <x:c r="L178" s="19" t="str">
        <x:f>IF(K178=0,"",I178/K178)</x:f>
      </x:c>
      <x:c r="M178" s="44"/>
    </x:row>
    <x:row r="179">
      <x:c r="K179" t="n">
        <x:f>I179+J179</x:f>
        <x:v>0</x:v>
      </x:c>
      <x:c r="L179" s="19" t="str">
        <x:f>IF(K179=0,"",I179/K179)</x:f>
      </x:c>
      <x:c r="M179" s="44"/>
    </x:row>
    <x:row r="180">
      <x:c r="K180" t="n">
        <x:f>I180+J180</x:f>
        <x:v>0</x:v>
      </x:c>
      <x:c r="L180" s="19" t="str">
        <x:f>IF(K180=0,"",I180/K180)</x:f>
      </x:c>
      <x:c r="M180" s="44"/>
    </x:row>
    <x:row r="181">
      <x:c r="K181" t="n">
        <x:f>I181+J181</x:f>
        <x:v>0</x:v>
      </x:c>
      <x:c r="L181" s="19" t="str">
        <x:f>IF(K181=0,"",I181/K181)</x:f>
      </x:c>
      <x:c r="M181" s="44"/>
    </x:row>
    <x:row r="182">
      <x:c r="K182" t="n">
        <x:f>I182+J182</x:f>
        <x:v>0</x:v>
      </x:c>
      <x:c r="L182" s="19" t="str">
        <x:f>IF(K182=0,"",I182/K182)</x:f>
      </x:c>
      <x:c r="M182" s="44"/>
    </x:row>
    <x:row r="183">
      <x:c r="K183" t="n">
        <x:f>I183+J183</x:f>
        <x:v>0</x:v>
      </x:c>
      <x:c r="L183" s="19" t="str">
        <x:f>IF(K183=0,"",I183/K183)</x:f>
      </x:c>
      <x:c r="M183" s="44"/>
    </x:row>
    <x:row r="184">
      <x:c r="K184" t="n">
        <x:f>I184+J184</x:f>
        <x:v>0</x:v>
      </x:c>
      <x:c r="L184" s="19" t="str">
        <x:f>IF(K184=0,"",I184/K184)</x:f>
      </x:c>
      <x:c r="M184" s="44"/>
    </x:row>
    <x:row r="185">
      <x:c r="K185" t="n">
        <x:f>I185+J185</x:f>
        <x:v>0</x:v>
      </x:c>
      <x:c r="L185" s="19" t="str">
        <x:f>IF(K185=0,"",I185/K185)</x:f>
      </x:c>
      <x:c r="M185" s="44"/>
    </x:row>
    <x:row r="186">
      <x:c r="K186" t="n">
        <x:f>I186+J186</x:f>
        <x:v>0</x:v>
      </x:c>
      <x:c r="L186" s="19" t="str">
        <x:f>IF(K186=0,"",I186/K186)</x:f>
      </x:c>
      <x:c r="M186" s="44"/>
    </x:row>
    <x:row r="187">
      <x:c r="K187" t="n">
        <x:f>I187+J187</x:f>
        <x:v>0</x:v>
      </x:c>
      <x:c r="L187" s="19" t="str">
        <x:f>IF(K187=0,"",I187/K187)</x:f>
      </x:c>
      <x:c r="M187" s="44"/>
    </x:row>
    <x:row r="188">
      <x:c r="K188" t="n">
        <x:f>I188+J188</x:f>
        <x:v>0</x:v>
      </x:c>
      <x:c r="L188" s="19" t="str">
        <x:f>IF(K188=0,"",I188/K188)</x:f>
      </x:c>
      <x:c r="M188" s="44"/>
    </x:row>
    <x:row r="189">
      <x:c r="K189" t="n">
        <x:f>I189+J189</x:f>
        <x:v>0</x:v>
      </x:c>
      <x:c r="L189" s="19" t="str">
        <x:f>IF(K189=0,"",I189/K189)</x:f>
      </x:c>
      <x:c r="M189" s="44"/>
    </x:row>
    <x:row r="190">
      <x:c r="K190" t="n">
        <x:f>I190+J190</x:f>
        <x:v>0</x:v>
      </x:c>
      <x:c r="L190" s="19" t="str">
        <x:f>IF(K190=0,"",I190/K190)</x:f>
      </x:c>
      <x:c r="M190" s="44"/>
    </x:row>
    <x:row r="191">
      <x:c r="K191" t="n">
        <x:f>I191+J191</x:f>
        <x:v>0</x:v>
      </x:c>
      <x:c r="L191" s="19" t="str">
        <x:f>IF(K191=0,"",I191/K191)</x:f>
      </x:c>
      <x:c r="M191" s="44"/>
    </x:row>
    <x:row r="192">
      <x:c r="K192" t="n">
        <x:f>I192+J192</x:f>
        <x:v>0</x:v>
      </x:c>
      <x:c r="L192" s="19" t="str">
        <x:f>IF(K192=0,"",I192/K192)</x:f>
      </x:c>
      <x:c r="M192" s="44"/>
    </x:row>
    <x:row r="193">
      <x:c r="K193" t="n">
        <x:f>I193+J193</x:f>
        <x:v>0</x:v>
      </x:c>
      <x:c r="L193" s="19" t="str">
        <x:f>IF(K193=0,"",I193/K193)</x:f>
      </x:c>
      <x:c r="M193" s="44"/>
    </x:row>
    <x:row r="194">
      <x:c r="K194" t="n">
        <x:f>I194+J194</x:f>
        <x:v>0</x:v>
      </x:c>
      <x:c r="L194" s="19" t="str">
        <x:f>IF(K194=0,"",I194/K194)</x:f>
      </x:c>
      <x:c r="M194" s="44"/>
    </x:row>
    <x:row r="195">
      <x:c r="K195" t="n">
        <x:f>I195+J195</x:f>
        <x:v>0</x:v>
      </x:c>
      <x:c r="L195" s="19" t="str">
        <x:f>IF(K195=0,"",I195/K195)</x:f>
      </x:c>
      <x:c r="M195" s="44"/>
    </x:row>
    <x:row r="196">
      <x:c r="K196" t="n">
        <x:f>I196+J196</x:f>
        <x:v>0</x:v>
      </x:c>
      <x:c r="L196" s="19" t="str">
        <x:f>IF(K196=0,"",I196/K196)</x:f>
      </x:c>
      <x:c r="M196" s="44"/>
    </x:row>
    <x:row r="197">
      <x:c r="K197" t="n">
        <x:f>I197+J197</x:f>
        <x:v>0</x:v>
      </x:c>
      <x:c r="L197" s="19" t="str">
        <x:f>IF(K197=0,"",I197/K197)</x:f>
      </x:c>
      <x:c r="M197" s="44"/>
    </x:row>
    <x:row r="198">
      <x:c r="K198" t="n">
        <x:f>I198+J198</x:f>
        <x:v>0</x:v>
      </x:c>
      <x:c r="L198" s="19" t="str">
        <x:f>IF(K198=0,"",I198/K198)</x:f>
      </x:c>
      <x:c r="M198" s="44"/>
    </x:row>
    <x:row r="199">
      <x:c r="K199" t="n">
        <x:f>I199+J199</x:f>
        <x:v>0</x:v>
      </x:c>
      <x:c r="L199" s="19" t="str">
        <x:f>IF(K199=0,"",I199/K199)</x:f>
      </x:c>
      <x:c r="M199" s="44"/>
    </x:row>
    <x:row r="200">
      <x:c r="K200" t="n">
        <x:f>I200+J200</x:f>
        <x:v>0</x:v>
      </x:c>
      <x:c r="L200" s="19" t="str">
        <x:f>IF(K200=0,"",I200/K200)</x:f>
      </x:c>
      <x:c r="M200" s="44"/>
    </x:row>
    <x:row r="201">
      <x:c r="K201" t="n">
        <x:f>I201+J201</x:f>
        <x:v>0</x:v>
      </x:c>
      <x:c r="L201" s="19" t="str">
        <x:f>IF(K201=0,"",I201/K201)</x:f>
      </x:c>
      <x:c r="M201" s="44"/>
    </x:row>
    <x:row r="202">
      <x:c r="K202" t="n">
        <x:f>I202+J202</x:f>
        <x:v>0</x:v>
      </x:c>
      <x:c r="L202" s="19" t="str">
        <x:f>IF(K202=0,"",I202/K202)</x:f>
      </x:c>
      <x:c r="M202" s="44"/>
    </x:row>
    <x:row r="203">
      <x:c r="K203" t="n">
        <x:f>I203+J203</x:f>
        <x:v>0</x:v>
      </x:c>
      <x:c r="L203" s="19" t="str">
        <x:f>IF(K203=0,"",I203/K203)</x:f>
      </x:c>
      <x:c r="M203" s="44"/>
    </x:row>
    <x:row r="204">
      <x:c r="K204" t="n">
        <x:f>I204+J204</x:f>
        <x:v>0</x:v>
      </x:c>
      <x:c r="L204" s="19" t="str">
        <x:f>IF(K204=0,"",I204/K204)</x:f>
      </x:c>
      <x:c r="M204" s="44"/>
    </x:row>
    <x:row r="205">
      <x:c r="K205" t="n">
        <x:f>I205+J205</x:f>
        <x:v>0</x:v>
      </x:c>
      <x:c r="L205" s="19" t="str">
        <x:f>IF(K205=0,"",I205/K205)</x:f>
      </x:c>
      <x:c r="M205" s="44"/>
    </x:row>
  </x:sheetData>
  <x:mergeCells>
    <x:mergeCell ref="A2:M2"/>
  </x:mergeCells>
  <x:pageMargins left="0.7" right="0.7" top="0.75" bottom="0.75" header="0.3" footer="0.3"/>
  <x:tableParts count="1">
    <x:tablePart xmlns:r="http://schemas.openxmlformats.org/officeDocument/2006/relationships" r:id="R684913826f11491a"/>
  </x:tableParts>
</x:worksheet>
</file>

<file path=xl/worksheets/sheet5.xml><?xml version="1.0" encoding="utf-8"?>
<x:worksheet xmlns:x="http://schemas.openxmlformats.org/spreadsheetml/2006/main">
  <x:sheetPr>
    <x:tabColor rgb="FF6B7280"/>
  </x:sheetPr>
  <x:sheetViews>
    <x:sheetView showGridLines="0" workbookViewId="0">
      <x:pane ySplit="5" topLeftCell="A6" activePane="bottomLeft" state="frozen"/>
    </x:sheetView>
  </x:sheetViews>
  <x:sheetFormatPr defaultRowHeight="15"/>
  <x:cols>
    <x:col min="1" max="1" width="15" hidden="0" customWidth="1"/>
    <x:col min="2" max="2" width="15" hidden="0" customWidth="1"/>
    <x:col min="3" max="3" width="15" hidden="0" customWidth="1"/>
    <x:col min="4" max="4" width="15" hidden="0" customWidth="1"/>
    <x:col min="5" max="5" width="15" hidden="0" customWidth="1"/>
    <x:col min="6" max="6" width="15" hidden="0" customWidth="1"/>
    <x:col min="7" max="7" width="15" hidden="0" customWidth="1"/>
    <x:col min="8" max="8" width="15" hidden="0" customWidth="1"/>
    <x:col min="9" max="9" width="15" hidden="0" customWidth="1"/>
    <x:col min="10" max="10" width="15" hidden="0" customWidth="1"/>
    <x:col min="11" max="11" width="15" hidden="0" customWidth="1"/>
    <x:col min="12" max="12" width="15" hidden="0" customWidth="1"/>
    <x:col min="13" max="13" width="15" hidden="0" customWidth="1"/>
    <x:col min="14" max="14" width="15" hidden="0" customWidth="1"/>
    <x:col min="15" max="15" width="15" hidden="0" customWidth="1"/>
    <x:col min="16" max="16" width="15" hidden="0" customWidth="1"/>
    <x:col min="17" max="17" width="15" hidden="0" customWidth="1"/>
    <x:col min="18" max="18" width="60" hidden="0" customWidth="1"/>
  </x:cols>
  <x:sheetData>
    <x:row r="1">
      <x:c r="A1" s="1"/>
      <x:c r="B1" s="1"/>
      <x:c r="C1" s="1"/>
      <x:c r="D1" s="1"/>
      <x:c r="E1" s="1"/>
      <x:c r="F1" s="1"/>
      <x:c r="G1" s="1"/>
      <x:c r="H1" s="1"/>
      <x:c r="I1" s="1"/>
      <x:c r="J1" s="1"/>
      <x:c r="K1" s="1"/>
      <x:c r="L1" s="1"/>
      <x:c r="M1" s="1"/>
      <x:c r="N1" s="1"/>
      <x:c r="O1" s="1"/>
      <x:c r="P1" s="1"/>
      <x:c r="Q1" s="1"/>
      <x:c r="R1" s="1"/>
    </x:row>
    <x:row r="2">
      <x:c r="A2" s="2" t="str">
        <x:v>Paper Trades</x:v>
      </x:c>
      <x:c r="B2" s="1"/>
      <x:c r="C2" s="1"/>
      <x:c r="D2" s="1"/>
      <x:c r="E2" s="1"/>
      <x:c r="F2" s="1"/>
      <x:c r="G2" s="1"/>
      <x:c r="H2" s="1"/>
      <x:c r="I2" s="1"/>
      <x:c r="J2" s="1"/>
      <x:c r="K2" s="1"/>
      <x:c r="L2" s="1"/>
      <x:c r="M2" s="1"/>
      <x:c r="N2" s="1"/>
      <x:c r="O2" s="1"/>
      <x:c r="P2" s="1"/>
      <x:c r="Q2" s="1"/>
      <x:c r="R2" s="1"/>
    </x:row>
    <x:row r="3">
      <x:c r="A3" s="3"/>
      <x:c r="B3" s="3"/>
      <x:c r="C3" s="3"/>
      <x:c r="D3" s="3"/>
      <x:c r="E3" s="3"/>
      <x:c r="F3" s="3"/>
      <x:c r="G3" s="3"/>
      <x:c r="H3" s="3"/>
      <x:c r="I3" s="3"/>
      <x:c r="J3" s="3"/>
      <x:c r="K3" s="3"/>
      <x:c r="L3" s="3"/>
      <x:c r="M3" s="3"/>
      <x:c r="N3" s="3"/>
      <x:c r="O3" s="3"/>
      <x:c r="P3" s="3"/>
      <x:c r="Q3" s="3"/>
      <x:c r="R3" s="3"/>
    </x:row>
    <x:row r="4">
      <x:c r="A4" s="1"/>
      <x:c r="B4" s="1"/>
      <x:c r="C4" s="1"/>
      <x:c r="D4" s="1"/>
      <x:c r="E4" s="1"/>
      <x:c r="F4" s="1"/>
      <x:c r="G4" s="1"/>
      <x:c r="H4" s="1"/>
      <x:c r="I4" s="1"/>
      <x:c r="J4" s="1"/>
      <x:c r="K4" s="1"/>
      <x:c r="L4" s="1"/>
      <x:c r="M4" s="1"/>
      <x:c r="N4" s="1"/>
      <x:c r="O4" s="1"/>
      <x:c r="P4" s="1"/>
      <x:c r="Q4" s="1"/>
      <x:c r="R4" s="1"/>
    </x:row>
    <x:row r="5">
      <x:c r="A5" s="24" t="str">
        <x:v>Trade ID</x:v>
      </x:c>
      <x:c r="B5" s="25" t="str">
        <x:v>Thesis ID</x:v>
      </x:c>
      <x:c r="C5" s="25" t="str">
        <x:v>Instrument</x:v>
      </x:c>
      <x:c r="D5" s="25" t="str">
        <x:v>Exposure Type</x:v>
      </x:c>
      <x:c r="E5" s="25" t="str">
        <x:v>Entry Window</x:v>
      </x:c>
      <x:c r="F5" s="25" t="str">
        <x:v>Paper Entry Date</x:v>
      </x:c>
      <x:c r="G5" s="25" t="str">
        <x:v>Entry Price</x:v>
      </x:c>
      <x:c r="H5" s="25" t="str">
        <x:v>Starting Amount</x:v>
      </x:c>
      <x:c r="I5" s="25" t="str">
        <x:v>Units</x:v>
      </x:c>
      <x:c r="J5" s="25" t="str">
        <x:v>Current Price</x:v>
      </x:c>
      <x:c r="K5" s="25" t="str">
        <x:v>Current Value</x:v>
      </x:c>
      <x:c r="L5" s="25" t="str">
        <x:v>Dollar P and L</x:v>
      </x:c>
      <x:c r="M5" s="25" t="str">
        <x:v>Return</x:v>
      </x:c>
      <x:c r="N5" s="25" t="str">
        <x:v>Exit Date</x:v>
      </x:c>
      <x:c r="O5" s="25" t="str">
        <x:v>Exit Price</x:v>
      </x:c>
      <x:c r="P5" s="25" t="str">
        <x:v>Realized Value</x:v>
      </x:c>
      <x:c r="Q5" s="25" t="str">
        <x:v>Realized P and L</x:v>
      </x:c>
      <x:c r="R5" s="26" t="str">
        <x:v>Outcome Notes</x:v>
      </x:c>
    </x:row>
    <x:row r="6" ht="54" customHeight="1">
      <x:c r="A6" s="27" t="str">
        <x:v>PT-2026-001</x:v>
      </x:c>
      <x:c r="B6" s="27" t="str">
        <x:v>EEI-2026-001</x:v>
      </x:c>
      <x:c r="C6" s="27" t="str">
        <x:v>BNO</x:v>
      </x:c>
      <x:c r="D6" s="27" t="str">
        <x:v>Commodity-linked fund</x:v>
      </x:c>
      <x:c r="E6" s="27" t="str">
        <x:v>WAIT</x:v>
      </x:c>
      <x:c r="F6" s="30" t="n">
        <x:v>46273</x:v>
      </x:c>
      <x:c r="G6" s="46" t="n">
        <x:v>57.21</x:v>
      </x:c>
      <x:c r="H6" s="46" t="n">
        <x:v>1000</x:v>
      </x:c>
      <x:c r="I6" s="47" t="n">
        <x:f>H6/G6</x:f>
        <x:v>17.479461632581717</x:v>
      </x:c>
      <x:c r="J6" s="46" t="n">
        <x:v>58.85</x:v>
      </x:c>
      <x:c r="K6" s="46" t="n">
        <x:f>I6*J6</x:f>
        <x:v>1028.666317077434</x:v>
      </x:c>
      <x:c r="L6" s="46" t="n">
        <x:f>K6-H6</x:f>
        <x:v>28.666317077434087</x:v>
      </x:c>
      <x:c r="M6" s="48" t="n">
        <x:f>L6/H6</x:f>
        <x:v>0.028666317077434087</x:v>
      </x:c>
      <x:c r="N6" s="30"/>
      <x:c r="O6" s="32"/>
      <x:c r="P6" s="32" t="str">
        <x:f>IF(OR(I6="",O6=""),"",I6*O6)</x:f>
      </x:c>
      <x:c r="Q6" s="32" t="str">
        <x:f>IF(P6="","",P6-H6)</x:f>
      </x:c>
      <x:c r="R6" s="29" t="str">
        <x:v>09/21/26 close: $58.85; position value $1,028.67; +$28.67 (+2.87%). BNO remains profitable from the September 8 entry, but most of the peak gain has reversed as higher Saudi Gulf loadings and ship-to-ship transfers restored part of the effective supply. Historical Entry Window classification: WAIT.</x:v>
      </x:c>
    </x:row>
    <x:row r="7" ht="54" customHeight="1">
      <x:c r="A7" s="27" t="str">
        <x:v>PT-2026-002</x:v>
      </x:c>
      <x:c r="B7" s="27" t="str">
        <x:v>EEI-2026-001</x:v>
      </x:c>
      <x:c r="C7" s="27" t="str">
        <x:v>USO</x:v>
      </x:c>
      <x:c r="D7" s="27" t="str">
        <x:v>Commodity-linked fund</x:v>
      </x:c>
      <x:c r="E7" s="27" t="str">
        <x:v>WAIT</x:v>
      </x:c>
      <x:c r="F7" s="30" t="n">
        <x:v>46273</x:v>
      </x:c>
      <x:c r="G7" s="46" t="n">
        <x:v>144.6</x:v>
      </x:c>
      <x:c r="H7" s="46" t="n">
        <x:v>1000</x:v>
      </x:c>
      <x:c r="I7" s="47" t="n">
        <x:f>H7/G7</x:f>
        <x:v>6.915629322268327</x:v>
      </x:c>
      <x:c r="J7" s="46" t="n">
        <x:v>148.17</x:v>
      </x:c>
      <x:c r="K7" s="46" t="n">
        <x:f>I7*J7</x:f>
        <x:v>1024.688796680498</x:v>
      </x:c>
      <x:c r="L7" s="46" t="n">
        <x:f>K7-H7</x:f>
        <x:v>24.688796680497944</x:v>
      </x:c>
      <x:c r="M7" s="48" t="n">
        <x:f>L7/H7</x:f>
        <x:v>0.024688796680497945</x:v>
      </x:c>
      <x:c r="N7" s="30"/>
      <x:c r="O7" s="32"/>
      <x:c r="P7" s="32" t="str">
        <x:f>IF(OR(I7="",O7=""),"",I7*O7)</x:f>
      </x:c>
      <x:c r="Q7" s="32" t="str">
        <x:f>IF(P7="","",P7-H7)</x:f>
      </x:c>
      <x:c r="R7" s="29" t="str">
        <x:v>09/21/26 close: $148.17; position value $1,024.69; +$24.69 (+2.47%). USO remains modestly profitable and still confirms the original crude-price direction, but the shrinking gain shows the scarcity premium is being compressed by rerouting and higher export flows. Historical Entry Window classification: WAIT.</x:v>
      </x:c>
    </x:row>
    <x:row r="8" ht="54" customHeight="1">
      <x:c r="A8" s="27" t="str">
        <x:v>PT-2026-003</x:v>
      </x:c>
      <x:c r="B8" s="27" t="str">
        <x:v>EEI-2026-001</x:v>
      </x:c>
      <x:c r="C8" s="27" t="str">
        <x:v>XOP</x:v>
      </x:c>
      <x:c r="D8" s="27" t="str">
        <x:v>Energy equity fund</x:v>
      </x:c>
      <x:c r="E8" s="27" t="str">
        <x:v>WAIT</x:v>
      </x:c>
      <x:c r="F8" s="30" t="n">
        <x:v>46273</x:v>
      </x:c>
      <x:c r="G8" s="46" t="n">
        <x:v>193.84</x:v>
      </x:c>
      <x:c r="H8" s="46" t="n">
        <x:v>1000</x:v>
      </x:c>
      <x:c r="I8" s="47" t="n">
        <x:f>H8/G8</x:f>
        <x:v>5.158893933140734</x:v>
      </x:c>
      <x:c r="J8" s="46" t="n">
        <x:v>184.72</x:v>
      </x:c>
      <x:c r="K8" s="46" t="n">
        <x:f>I8*J8</x:f>
        <x:v>952.9508873297565</x:v>
      </x:c>
      <x:c r="L8" s="46" t="n">
        <x:f>K8-H8</x:f>
        <x:v>-47.04911267024352</x:v>
      </x:c>
      <x:c r="M8" s="48" t="n">
        <x:f>L8/H8</x:f>
        <x:v>-0.04704911267024352</x:v>
      </x:c>
      <x:c r="N8" s="30"/>
      <x:c r="O8" s="32"/>
      <x:c r="P8" s="32" t="str">
        <x:f>IF(OR(I8="",O8=""),"",I8*O8)</x:f>
      </x:c>
      <x:c r="Q8" s="32" t="str">
        <x:f>IF(P8="","",P8-H8)</x:f>
      </x:c>
      <x:c r="R8" s="29" t="str">
        <x:v>09/21/26 close: $184.72; position value $952.95; -$47.05 (-4.70%). XOP has materially failed as the indirect producer-equity expression even though the direct crude funds remain above entry, reinforcing the clean-expression rule. Historical Entry Window classification: WAIT.</x:v>
      </x:c>
    </x:row>
    <x:row r="9">
      <x:c r="A9" s="27"/>
      <x:c r="B9" s="27"/>
      <x:c r="C9" s="27"/>
      <x:c r="D9" s="27"/>
      <x:c r="E9" s="27"/>
      <x:c r="F9" s="30"/>
      <x:c r="G9" s="32"/>
      <x:c r="H9" s="32"/>
      <x:c r="I9" s="27" t="str">
        <x:f>IFERROR(H9/G9,"")</x:f>
      </x:c>
      <x:c r="J9" s="32"/>
      <x:c r="K9" s="32" t="str">
        <x:f>IF(OR(I9="",J9=""),"",I9*J9)</x:f>
      </x:c>
      <x:c r="L9" s="32" t="str">
        <x:f>IF(K9="","",K9-H9)</x:f>
      </x:c>
      <x:c r="M9" s="31" t="str">
        <x:f>IFERROR(L9/H9,"")</x:f>
      </x:c>
      <x:c r="N9" s="30"/>
      <x:c r="O9" s="32"/>
      <x:c r="P9" s="32" t="str">
        <x:f>IF(OR(I9="",O9=""),"",I9*O9)</x:f>
      </x:c>
      <x:c r="Q9" s="32" t="str">
        <x:f>IF(P9="","",P9-H9)</x:f>
      </x:c>
      <x:c r="R9" s="29"/>
    </x:row>
    <x:row r="10">
      <x:c r="A10" s="27"/>
      <x:c r="B10" s="27"/>
      <x:c r="C10" s="27"/>
      <x:c r="D10" s="27"/>
      <x:c r="E10" s="27"/>
      <x:c r="F10" s="30"/>
      <x:c r="G10" s="32"/>
      <x:c r="H10" s="32"/>
      <x:c r="I10" s="27" t="str">
        <x:f>IFERROR(H10/G10,"")</x:f>
      </x:c>
      <x:c r="J10" s="32"/>
      <x:c r="K10" s="32" t="str">
        <x:f>IF(OR(I10="",J10=""),"",I10*J10)</x:f>
      </x:c>
      <x:c r="L10" s="32" t="str">
        <x:f>IF(K10="","",K10-H10)</x:f>
      </x:c>
      <x:c r="M10" s="31" t="str">
        <x:f>IFERROR(L10/H10,"")</x:f>
      </x:c>
      <x:c r="N10" s="30"/>
      <x:c r="O10" s="32"/>
      <x:c r="P10" s="32" t="str">
        <x:f>IF(OR(I10="",O10=""),"",I10*O10)</x:f>
      </x:c>
      <x:c r="Q10" s="32" t="str">
        <x:f>IF(P10="","",P10-H10)</x:f>
      </x:c>
      <x:c r="R10" s="29"/>
    </x:row>
    <x:row r="11">
      <x:c r="A11" s="27"/>
      <x:c r="B11" s="27"/>
      <x:c r="C11" s="27"/>
      <x:c r="D11" s="27"/>
      <x:c r="E11" s="27"/>
      <x:c r="F11" s="30"/>
      <x:c r="G11" s="32"/>
      <x:c r="H11" s="32"/>
      <x:c r="I11" s="27" t="str">
        <x:f>IFERROR(H11/G11,"")</x:f>
      </x:c>
      <x:c r="J11" s="32"/>
      <x:c r="K11" s="32" t="str">
        <x:f>IF(OR(I11="",J11=""),"",I11*J11)</x:f>
      </x:c>
      <x:c r="L11" s="32" t="str">
        <x:f>IF(K11="","",K11-H11)</x:f>
      </x:c>
      <x:c r="M11" s="31" t="str">
        <x:f>IFERROR(L11/H11,"")</x:f>
      </x:c>
      <x:c r="N11" s="30"/>
      <x:c r="O11" s="32"/>
      <x:c r="P11" s="32" t="str">
        <x:f>IF(OR(I11="",O11=""),"",I11*O11)</x:f>
      </x:c>
      <x:c r="Q11" s="32" t="str">
        <x:f>IF(P11="","",P11-H11)</x:f>
      </x:c>
      <x:c r="R11" s="29"/>
    </x:row>
    <x:row r="12">
      <x:c r="A12" s="27"/>
      <x:c r="B12" s="27"/>
      <x:c r="C12" s="27"/>
      <x:c r="D12" s="27"/>
      <x:c r="E12" s="27"/>
      <x:c r="F12" s="30"/>
      <x:c r="G12" s="32"/>
      <x:c r="H12" s="32"/>
      <x:c r="I12" s="27" t="str">
        <x:f>IFERROR(H12/G12,"")</x:f>
      </x:c>
      <x:c r="J12" s="32"/>
      <x:c r="K12" s="32" t="str">
        <x:f>IF(OR(I12="",J12=""),"",I12*J12)</x:f>
      </x:c>
      <x:c r="L12" s="32" t="str">
        <x:f>IF(K12="","",K12-H12)</x:f>
      </x:c>
      <x:c r="M12" s="31" t="str">
        <x:f>IFERROR(L12/H12,"")</x:f>
      </x:c>
      <x:c r="N12" s="30"/>
      <x:c r="O12" s="32"/>
      <x:c r="P12" s="32" t="str">
        <x:f>IF(OR(I12="",O12=""),"",I12*O12)</x:f>
      </x:c>
      <x:c r="Q12" s="32" t="str">
        <x:f>IF(P12="","",P12-H12)</x:f>
      </x:c>
      <x:c r="R12" s="29"/>
    </x:row>
    <x:row r="13">
      <x:c r="A13" s="27"/>
      <x:c r="B13" s="27"/>
      <x:c r="C13" s="27"/>
      <x:c r="D13" s="27"/>
      <x:c r="E13" s="27"/>
      <x:c r="F13" s="30"/>
      <x:c r="G13" s="32"/>
      <x:c r="H13" s="32"/>
      <x:c r="I13" s="27" t="str">
        <x:f>IFERROR(H13/G13,"")</x:f>
      </x:c>
      <x:c r="J13" s="32"/>
      <x:c r="K13" s="32" t="str">
        <x:f>IF(OR(I13="",J13=""),"",I13*J13)</x:f>
      </x:c>
      <x:c r="L13" s="32" t="str">
        <x:f>IF(K13="","",K13-H13)</x:f>
      </x:c>
      <x:c r="M13" s="31" t="str">
        <x:f>IFERROR(L13/H13,"")</x:f>
      </x:c>
      <x:c r="N13" s="30"/>
      <x:c r="O13" s="32"/>
      <x:c r="P13" s="32" t="str">
        <x:f>IF(OR(I13="",O13=""),"",I13*O13)</x:f>
      </x:c>
      <x:c r="Q13" s="32" t="str">
        <x:f>IF(P13="","",P13-H13)</x:f>
      </x:c>
      <x:c r="R13" s="29"/>
    </x:row>
    <x:row r="14">
      <x:c r="A14" s="27"/>
      <x:c r="B14" s="27"/>
      <x:c r="C14" s="27"/>
      <x:c r="D14" s="27"/>
      <x:c r="E14" s="27"/>
      <x:c r="F14" s="30"/>
      <x:c r="G14" s="32"/>
      <x:c r="H14" s="32"/>
      <x:c r="I14" s="27" t="str">
        <x:f>IFERROR(H14/G14,"")</x:f>
      </x:c>
      <x:c r="J14" s="32"/>
      <x:c r="K14" s="32" t="str">
        <x:f>IF(OR(I14="",J14=""),"",I14*J14)</x:f>
      </x:c>
      <x:c r="L14" s="32" t="str">
        <x:f>IF(K14="","",K14-H14)</x:f>
      </x:c>
      <x:c r="M14" s="31" t="str">
        <x:f>IFERROR(L14/H14,"")</x:f>
      </x:c>
      <x:c r="N14" s="30"/>
      <x:c r="O14" s="32"/>
      <x:c r="P14" s="32" t="str">
        <x:f>IF(OR(I14="",O14=""),"",I14*O14)</x:f>
      </x:c>
      <x:c r="Q14" s="32" t="str">
        <x:f>IF(P14="","",P14-H14)</x:f>
      </x:c>
      <x:c r="R14" s="29"/>
    </x:row>
    <x:row r="15">
      <x:c r="A15" s="27"/>
      <x:c r="B15" s="27"/>
      <x:c r="C15" s="27"/>
      <x:c r="D15" s="27"/>
      <x:c r="E15" s="27"/>
      <x:c r="F15" s="30"/>
      <x:c r="G15" s="32"/>
      <x:c r="H15" s="32"/>
      <x:c r="I15" s="27" t="str">
        <x:f>IFERROR(H15/G15,"")</x:f>
      </x:c>
      <x:c r="J15" s="32"/>
      <x:c r="K15" s="32" t="str">
        <x:f>IF(OR(I15="",J15=""),"",I15*J15)</x:f>
      </x:c>
      <x:c r="L15" s="32" t="str">
        <x:f>IF(K15="","",K15-H15)</x:f>
      </x:c>
      <x:c r="M15" s="31" t="str">
        <x:f>IFERROR(L15/H15,"")</x:f>
      </x:c>
      <x:c r="N15" s="30"/>
      <x:c r="O15" s="32"/>
      <x:c r="P15" s="32" t="str">
        <x:f>IF(OR(I15="",O15=""),"",I15*O15)</x:f>
      </x:c>
      <x:c r="Q15" s="32" t="str">
        <x:f>IF(P15="","",P15-H15)</x:f>
      </x:c>
      <x:c r="R15" s="29"/>
    </x:row>
    <x:row r="16">
      <x:c r="A16" s="27"/>
      <x:c r="B16" s="27"/>
      <x:c r="C16" s="27"/>
      <x:c r="D16" s="27"/>
      <x:c r="E16" s="27"/>
      <x:c r="F16" s="30"/>
      <x:c r="G16" s="32"/>
      <x:c r="H16" s="32"/>
      <x:c r="I16" s="27" t="str">
        <x:f>IFERROR(H16/G16,"")</x:f>
      </x:c>
      <x:c r="J16" s="32"/>
      <x:c r="K16" s="32" t="str">
        <x:f>IF(OR(I16="",J16=""),"",I16*J16)</x:f>
      </x:c>
      <x:c r="L16" s="32" t="str">
        <x:f>IF(K16="","",K16-H16)</x:f>
      </x:c>
      <x:c r="M16" s="31" t="str">
        <x:f>IFERROR(L16/H16,"")</x:f>
      </x:c>
      <x:c r="N16" s="30"/>
      <x:c r="O16" s="32"/>
      <x:c r="P16" s="32" t="str">
        <x:f>IF(OR(I16="",O16=""),"",I16*O16)</x:f>
      </x:c>
      <x:c r="Q16" s="32" t="str">
        <x:f>IF(P16="","",P16-H16)</x:f>
      </x:c>
      <x:c r="R16" s="29"/>
    </x:row>
    <x:row r="17">
      <x:c r="A17" s="27"/>
      <x:c r="B17" s="27"/>
      <x:c r="C17" s="27"/>
      <x:c r="D17" s="27"/>
      <x:c r="E17" s="27"/>
      <x:c r="F17" s="30"/>
      <x:c r="G17" s="32"/>
      <x:c r="H17" s="32"/>
      <x:c r="I17" s="27" t="str">
        <x:f>IFERROR(H17/G17,"")</x:f>
      </x:c>
      <x:c r="J17" s="32"/>
      <x:c r="K17" s="32" t="str">
        <x:f>IF(OR(I17="",J17=""),"",I17*J17)</x:f>
      </x:c>
      <x:c r="L17" s="32" t="str">
        <x:f>IF(K17="","",K17-H17)</x:f>
      </x:c>
      <x:c r="M17" s="31" t="str">
        <x:f>IFERROR(L17/H17,"")</x:f>
      </x:c>
      <x:c r="N17" s="30"/>
      <x:c r="O17" s="32"/>
      <x:c r="P17" s="32" t="str">
        <x:f>IF(OR(I17="",O17=""),"",I17*O17)</x:f>
      </x:c>
      <x:c r="Q17" s="32" t="str">
        <x:f>IF(P17="","",P17-H17)</x:f>
      </x:c>
      <x:c r="R17" s="29"/>
    </x:row>
    <x:row r="18">
      <x:c r="A18" s="27"/>
      <x:c r="B18" s="27"/>
      <x:c r="C18" s="27"/>
      <x:c r="D18" s="27"/>
      <x:c r="E18" s="27"/>
      <x:c r="F18" s="30"/>
      <x:c r="G18" s="32"/>
      <x:c r="H18" s="32"/>
      <x:c r="I18" s="27" t="str">
        <x:f>IFERROR(H18/G18,"")</x:f>
      </x:c>
      <x:c r="J18" s="32"/>
      <x:c r="K18" s="32" t="str">
        <x:f>IF(OR(I18="",J18=""),"",I18*J18)</x:f>
      </x:c>
      <x:c r="L18" s="32" t="str">
        <x:f>IF(K18="","",K18-H18)</x:f>
      </x:c>
      <x:c r="M18" s="31" t="str">
        <x:f>IFERROR(L18/H18,"")</x:f>
      </x:c>
      <x:c r="N18" s="30"/>
      <x:c r="O18" s="32"/>
      <x:c r="P18" s="32" t="str">
        <x:f>IF(OR(I18="",O18=""),"",I18*O18)</x:f>
      </x:c>
      <x:c r="Q18" s="32" t="str">
        <x:f>IF(P18="","",P18-H18)</x:f>
      </x:c>
      <x:c r="R18" s="29"/>
    </x:row>
    <x:row r="19">
      <x:c r="A19" s="27"/>
      <x:c r="B19" s="27"/>
      <x:c r="C19" s="27"/>
      <x:c r="D19" s="27"/>
      <x:c r="E19" s="27"/>
      <x:c r="F19" s="30"/>
      <x:c r="G19" s="32"/>
      <x:c r="H19" s="32"/>
      <x:c r="I19" s="27" t="str">
        <x:f>IFERROR(H19/G19,"")</x:f>
      </x:c>
      <x:c r="J19" s="32"/>
      <x:c r="K19" s="32" t="str">
        <x:f>IF(OR(I19="",J19=""),"",I19*J19)</x:f>
      </x:c>
      <x:c r="L19" s="32" t="str">
        <x:f>IF(K19="","",K19-H19)</x:f>
      </x:c>
      <x:c r="M19" s="31" t="str">
        <x:f>IFERROR(L19/H19,"")</x:f>
      </x:c>
      <x:c r="N19" s="30"/>
      <x:c r="O19" s="32"/>
      <x:c r="P19" s="32" t="str">
        <x:f>IF(OR(I19="",O19=""),"",I19*O19)</x:f>
      </x:c>
      <x:c r="Q19" s="32" t="str">
        <x:f>IF(P19="","",P19-H19)</x:f>
      </x:c>
      <x:c r="R19" s="29"/>
    </x:row>
    <x:row r="20">
      <x:c r="A20" s="27"/>
      <x:c r="B20" s="27"/>
      <x:c r="C20" s="27"/>
      <x:c r="D20" s="27"/>
      <x:c r="E20" s="27"/>
      <x:c r="F20" s="30"/>
      <x:c r="G20" s="32"/>
      <x:c r="H20" s="32"/>
      <x:c r="I20" s="27" t="str">
        <x:f>IFERROR(H20/G20,"")</x:f>
      </x:c>
      <x:c r="J20" s="32"/>
      <x:c r="K20" s="32" t="str">
        <x:f>IF(OR(I20="",J20=""),"",I20*J20)</x:f>
      </x:c>
      <x:c r="L20" s="32" t="str">
        <x:f>IF(K20="","",K20-H20)</x:f>
      </x:c>
      <x:c r="M20" s="31" t="str">
        <x:f>IFERROR(L20/H20,"")</x:f>
      </x:c>
      <x:c r="N20" s="30"/>
      <x:c r="O20" s="32"/>
      <x:c r="P20" s="32" t="str">
        <x:f>IF(OR(I20="",O20=""),"",I20*O20)</x:f>
      </x:c>
      <x:c r="Q20" s="32" t="str">
        <x:f>IF(P20="","",P20-H20)</x:f>
      </x:c>
      <x:c r="R20" s="29"/>
    </x:row>
    <x:row r="21">
      <x:c r="A21" s="27"/>
      <x:c r="B21" s="27"/>
      <x:c r="C21" s="27"/>
      <x:c r="D21" s="27"/>
      <x:c r="E21" s="27"/>
      <x:c r="F21" s="30"/>
      <x:c r="G21" s="32"/>
      <x:c r="H21" s="32"/>
      <x:c r="I21" s="27" t="str">
        <x:f>IFERROR(H21/G21,"")</x:f>
      </x:c>
      <x:c r="J21" s="32"/>
      <x:c r="K21" s="32" t="str">
        <x:f>IF(OR(I21="",J21=""),"",I21*J21)</x:f>
      </x:c>
      <x:c r="L21" s="32" t="str">
        <x:f>IF(K21="","",K21-H21)</x:f>
      </x:c>
      <x:c r="M21" s="31" t="str">
        <x:f>IFERROR(L21/H21,"")</x:f>
      </x:c>
      <x:c r="N21" s="30"/>
      <x:c r="O21" s="32"/>
      <x:c r="P21" s="32" t="str">
        <x:f>IF(OR(I21="",O21=""),"",I21*O21)</x:f>
      </x:c>
      <x:c r="Q21" s="32" t="str">
        <x:f>IF(P21="","",P21-H21)</x:f>
      </x:c>
      <x:c r="R21" s="29"/>
    </x:row>
    <x:row r="22">
      <x:c r="A22" s="27"/>
      <x:c r="B22" s="27"/>
      <x:c r="C22" s="27"/>
      <x:c r="D22" s="27"/>
      <x:c r="E22" s="27"/>
      <x:c r="F22" s="30"/>
      <x:c r="G22" s="32"/>
      <x:c r="H22" s="32"/>
      <x:c r="I22" s="27" t="str">
        <x:f>IFERROR(H22/G22,"")</x:f>
      </x:c>
      <x:c r="J22" s="32"/>
      <x:c r="K22" s="32" t="str">
        <x:f>IF(OR(I22="",J22=""),"",I22*J22)</x:f>
      </x:c>
      <x:c r="L22" s="32" t="str">
        <x:f>IF(K22="","",K22-H22)</x:f>
      </x:c>
      <x:c r="M22" s="31" t="str">
        <x:f>IFERROR(L22/H22,"")</x:f>
      </x:c>
      <x:c r="N22" s="30"/>
      <x:c r="O22" s="32"/>
      <x:c r="P22" s="32" t="str">
        <x:f>IF(OR(I22="",O22=""),"",I22*O22)</x:f>
      </x:c>
      <x:c r="Q22" s="32" t="str">
        <x:f>IF(P22="","",P22-H22)</x:f>
      </x:c>
      <x:c r="R22" s="29"/>
    </x:row>
    <x:row r="23">
      <x:c r="A23" s="27"/>
      <x:c r="B23" s="27"/>
      <x:c r="C23" s="27"/>
      <x:c r="D23" s="27"/>
      <x:c r="E23" s="27"/>
      <x:c r="F23" s="30"/>
      <x:c r="G23" s="32"/>
      <x:c r="H23" s="32"/>
      <x:c r="I23" s="27" t="str">
        <x:f>IFERROR(H23/G23,"")</x:f>
      </x:c>
      <x:c r="J23" s="32"/>
      <x:c r="K23" s="32" t="str">
        <x:f>IF(OR(I23="",J23=""),"",I23*J23)</x:f>
      </x:c>
      <x:c r="L23" s="32" t="str">
        <x:f>IF(K23="","",K23-H23)</x:f>
      </x:c>
      <x:c r="M23" s="31" t="str">
        <x:f>IFERROR(L23/H23,"")</x:f>
      </x:c>
      <x:c r="N23" s="30"/>
      <x:c r="O23" s="32"/>
      <x:c r="P23" s="32" t="str">
        <x:f>IF(OR(I23="",O23=""),"",I23*O23)</x:f>
      </x:c>
      <x:c r="Q23" s="32" t="str">
        <x:f>IF(P23="","",P23-H23)</x:f>
      </x:c>
      <x:c r="R23" s="29"/>
    </x:row>
    <x:row r="24">
      <x:c r="A24" s="27"/>
      <x:c r="B24" s="27"/>
      <x:c r="C24" s="27"/>
      <x:c r="D24" s="27"/>
      <x:c r="E24" s="27"/>
      <x:c r="F24" s="30"/>
      <x:c r="G24" s="32"/>
      <x:c r="H24" s="32"/>
      <x:c r="I24" s="27" t="str">
        <x:f>IFERROR(H24/G24,"")</x:f>
      </x:c>
      <x:c r="J24" s="32"/>
      <x:c r="K24" s="32" t="str">
        <x:f>IF(OR(I24="",J24=""),"",I24*J24)</x:f>
      </x:c>
      <x:c r="L24" s="32" t="str">
        <x:f>IF(K24="","",K24-H24)</x:f>
      </x:c>
      <x:c r="M24" s="31" t="str">
        <x:f>IFERROR(L24/H24,"")</x:f>
      </x:c>
      <x:c r="N24" s="30"/>
      <x:c r="O24" s="32"/>
      <x:c r="P24" s="32" t="str">
        <x:f>IF(OR(I24="",O24=""),"",I24*O24)</x:f>
      </x:c>
      <x:c r="Q24" s="32" t="str">
        <x:f>IF(P24="","",P24-H24)</x:f>
      </x:c>
      <x:c r="R24" s="29"/>
    </x:row>
    <x:row r="25">
      <x:c r="A25" s="27"/>
      <x:c r="B25" s="27"/>
      <x:c r="C25" s="27"/>
      <x:c r="D25" s="27"/>
      <x:c r="E25" s="27"/>
      <x:c r="F25" s="30"/>
      <x:c r="G25" s="32"/>
      <x:c r="H25" s="32"/>
      <x:c r="I25" s="27" t="str">
        <x:f>IFERROR(H25/G25,"")</x:f>
      </x:c>
      <x:c r="J25" s="32"/>
      <x:c r="K25" s="32" t="str">
        <x:f>IF(OR(I25="",J25=""),"",I25*J25)</x:f>
      </x:c>
      <x:c r="L25" s="32" t="str">
        <x:f>IF(K25="","",K25-H25)</x:f>
      </x:c>
      <x:c r="M25" s="31" t="str">
        <x:f>IFERROR(L25/H25,"")</x:f>
      </x:c>
      <x:c r="N25" s="30"/>
      <x:c r="O25" s="32"/>
      <x:c r="P25" s="32" t="str">
        <x:f>IF(OR(I25="",O25=""),"",I25*O25)</x:f>
      </x:c>
      <x:c r="Q25" s="32" t="str">
        <x:f>IF(P25="","",P25-H25)</x:f>
      </x:c>
      <x:c r="R25" s="29"/>
    </x:row>
    <x:row r="26">
      <x:c r="A26" s="27"/>
      <x:c r="B26" s="27"/>
      <x:c r="C26" s="27"/>
      <x:c r="D26" s="27"/>
      <x:c r="E26" s="27"/>
      <x:c r="F26" s="30"/>
      <x:c r="G26" s="32"/>
      <x:c r="H26" s="32"/>
      <x:c r="I26" s="27" t="str">
        <x:f>IFERROR(H26/G26,"")</x:f>
      </x:c>
      <x:c r="J26" s="32"/>
      <x:c r="K26" s="32" t="str">
        <x:f>IF(OR(I26="",J26=""),"",I26*J26)</x:f>
      </x:c>
      <x:c r="L26" s="32" t="str">
        <x:f>IF(K26="","",K26-H26)</x:f>
      </x:c>
      <x:c r="M26" s="31" t="str">
        <x:f>IFERROR(L26/H26,"")</x:f>
      </x:c>
      <x:c r="N26" s="30"/>
      <x:c r="O26" s="32"/>
      <x:c r="P26" s="32" t="str">
        <x:f>IF(OR(I26="",O26=""),"",I26*O26)</x:f>
      </x:c>
      <x:c r="Q26" s="32" t="str">
        <x:f>IF(P26="","",P26-H26)</x:f>
      </x:c>
      <x:c r="R26" s="29"/>
    </x:row>
    <x:row r="27">
      <x:c r="A27" s="27"/>
      <x:c r="B27" s="27"/>
      <x:c r="C27" s="27"/>
      <x:c r="D27" s="27"/>
      <x:c r="E27" s="27"/>
      <x:c r="F27" s="30"/>
      <x:c r="G27" s="32"/>
      <x:c r="H27" s="32"/>
      <x:c r="I27" s="27" t="str">
        <x:f>IFERROR(H27/G27,"")</x:f>
      </x:c>
      <x:c r="J27" s="32"/>
      <x:c r="K27" s="32" t="str">
        <x:f>IF(OR(I27="",J27=""),"",I27*J27)</x:f>
      </x:c>
      <x:c r="L27" s="32" t="str">
        <x:f>IF(K27="","",K27-H27)</x:f>
      </x:c>
      <x:c r="M27" s="31" t="str">
        <x:f>IFERROR(L27/H27,"")</x:f>
      </x:c>
      <x:c r="N27" s="30"/>
      <x:c r="O27" s="32"/>
      <x:c r="P27" s="32" t="str">
        <x:f>IF(OR(I27="",O27=""),"",I27*O27)</x:f>
      </x:c>
      <x:c r="Q27" s="32" t="str">
        <x:f>IF(P27="","",P27-H27)</x:f>
      </x:c>
      <x:c r="R27" s="29"/>
    </x:row>
    <x:row r="28">
      <x:c r="A28" s="27"/>
      <x:c r="B28" s="27"/>
      <x:c r="C28" s="27"/>
      <x:c r="D28" s="27"/>
      <x:c r="E28" s="27"/>
      <x:c r="F28" s="30"/>
      <x:c r="G28" s="32"/>
      <x:c r="H28" s="32"/>
      <x:c r="I28" s="27" t="str">
        <x:f>IFERROR(H28/G28,"")</x:f>
      </x:c>
      <x:c r="J28" s="32"/>
      <x:c r="K28" s="32" t="str">
        <x:f>IF(OR(I28="",J28=""),"",I28*J28)</x:f>
      </x:c>
      <x:c r="L28" s="32" t="str">
        <x:f>IF(K28="","",K28-H28)</x:f>
      </x:c>
      <x:c r="M28" s="31" t="str">
        <x:f>IFERROR(L28/H28,"")</x:f>
      </x:c>
      <x:c r="N28" s="30"/>
      <x:c r="O28" s="32"/>
      <x:c r="P28" s="32" t="str">
        <x:f>IF(OR(I28="",O28=""),"",I28*O28)</x:f>
      </x:c>
      <x:c r="Q28" s="32" t="str">
        <x:f>IF(P28="","",P28-H28)</x:f>
      </x:c>
      <x:c r="R28" s="29"/>
    </x:row>
    <x:row r="29">
      <x:c r="A29" s="27"/>
      <x:c r="B29" s="27"/>
      <x:c r="C29" s="27"/>
      <x:c r="D29" s="27"/>
      <x:c r="E29" s="27"/>
      <x:c r="F29" s="30"/>
      <x:c r="G29" s="32"/>
      <x:c r="H29" s="32"/>
      <x:c r="I29" s="27" t="str">
        <x:f>IFERROR(H29/G29,"")</x:f>
      </x:c>
      <x:c r="J29" s="32"/>
      <x:c r="K29" s="32" t="str">
        <x:f>IF(OR(I29="",J29=""),"",I29*J29)</x:f>
      </x:c>
      <x:c r="L29" s="32" t="str">
        <x:f>IF(K29="","",K29-H29)</x:f>
      </x:c>
      <x:c r="M29" s="31" t="str">
        <x:f>IFERROR(L29/H29,"")</x:f>
      </x:c>
      <x:c r="N29" s="30"/>
      <x:c r="O29" s="32"/>
      <x:c r="P29" s="32" t="str">
        <x:f>IF(OR(I29="",O29=""),"",I29*O29)</x:f>
      </x:c>
      <x:c r="Q29" s="32" t="str">
        <x:f>IF(P29="","",P29-H29)</x:f>
      </x:c>
      <x:c r="R29" s="29"/>
    </x:row>
    <x:row r="30">
      <x:c r="A30" s="27"/>
      <x:c r="B30" s="27"/>
      <x:c r="C30" s="27"/>
      <x:c r="D30" s="27"/>
      <x:c r="E30" s="27"/>
      <x:c r="F30" s="30"/>
      <x:c r="G30" s="32"/>
      <x:c r="H30" s="32"/>
      <x:c r="I30" s="27" t="str">
        <x:f>IFERROR(H30/G30,"")</x:f>
      </x:c>
      <x:c r="J30" s="32"/>
      <x:c r="K30" s="32" t="str">
        <x:f>IF(OR(I30="",J30=""),"",I30*J30)</x:f>
      </x:c>
      <x:c r="L30" s="32" t="str">
        <x:f>IF(K30="","",K30-H30)</x:f>
      </x:c>
      <x:c r="M30" s="31" t="str">
        <x:f>IFERROR(L30/H30,"")</x:f>
      </x:c>
      <x:c r="N30" s="30"/>
      <x:c r="O30" s="32"/>
      <x:c r="P30" s="32" t="str">
        <x:f>IF(OR(I30="",O30=""),"",I30*O30)</x:f>
      </x:c>
      <x:c r="Q30" s="32" t="str">
        <x:f>IF(P30="","",P30-H30)</x:f>
      </x:c>
      <x:c r="R30" s="29"/>
    </x:row>
    <x:row r="31">
      <x:c r="A31" s="27"/>
      <x:c r="B31" s="27"/>
      <x:c r="C31" s="27"/>
      <x:c r="D31" s="27"/>
      <x:c r="E31" s="27"/>
      <x:c r="F31" s="30"/>
      <x:c r="G31" s="32"/>
      <x:c r="H31" s="32"/>
      <x:c r="I31" s="27" t="str">
        <x:f>IFERROR(H31/G31,"")</x:f>
      </x:c>
      <x:c r="J31" s="32"/>
      <x:c r="K31" s="32" t="str">
        <x:f>IF(OR(I31="",J31=""),"",I31*J31)</x:f>
      </x:c>
      <x:c r="L31" s="32" t="str">
        <x:f>IF(K31="","",K31-H31)</x:f>
      </x:c>
      <x:c r="M31" s="31" t="str">
        <x:f>IFERROR(L31/H31,"")</x:f>
      </x:c>
      <x:c r="N31" s="30"/>
      <x:c r="O31" s="32"/>
      <x:c r="P31" s="32" t="str">
        <x:f>IF(OR(I31="",O31=""),"",I31*O31)</x:f>
      </x:c>
      <x:c r="Q31" s="32" t="str">
        <x:f>IF(P31="","",P31-H31)</x:f>
      </x:c>
      <x:c r="R31" s="29"/>
    </x:row>
    <x:row r="32">
      <x:c r="A32" s="27"/>
      <x:c r="B32" s="27"/>
      <x:c r="C32" s="27"/>
      <x:c r="D32" s="27"/>
      <x:c r="E32" s="27"/>
      <x:c r="F32" s="30"/>
      <x:c r="G32" s="32"/>
      <x:c r="H32" s="32"/>
      <x:c r="I32" s="27" t="str">
        <x:f>IFERROR(H32/G32,"")</x:f>
      </x:c>
      <x:c r="J32" s="32"/>
      <x:c r="K32" s="32" t="str">
        <x:f>IF(OR(I32="",J32=""),"",I32*J32)</x:f>
      </x:c>
      <x:c r="L32" s="32" t="str">
        <x:f>IF(K32="","",K32-H32)</x:f>
      </x:c>
      <x:c r="M32" s="31" t="str">
        <x:f>IFERROR(L32/H32,"")</x:f>
      </x:c>
      <x:c r="N32" s="30"/>
      <x:c r="O32" s="32"/>
      <x:c r="P32" s="32" t="str">
        <x:f>IF(OR(I32="",O32=""),"",I32*O32)</x:f>
      </x:c>
      <x:c r="Q32" s="32" t="str">
        <x:f>IF(P32="","",P32-H32)</x:f>
      </x:c>
      <x:c r="R32" s="29"/>
    </x:row>
    <x:row r="33">
      <x:c r="A33" s="27"/>
      <x:c r="B33" s="27"/>
      <x:c r="C33" s="27"/>
      <x:c r="D33" s="27"/>
      <x:c r="E33" s="27"/>
      <x:c r="F33" s="30"/>
      <x:c r="G33" s="32"/>
      <x:c r="H33" s="32"/>
      <x:c r="I33" s="27" t="str">
        <x:f>IFERROR(H33/G33,"")</x:f>
      </x:c>
      <x:c r="J33" s="32"/>
      <x:c r="K33" s="32" t="str">
        <x:f>IF(OR(I33="",J33=""),"",I33*J33)</x:f>
      </x:c>
      <x:c r="L33" s="32" t="str">
        <x:f>IF(K33="","",K33-H33)</x:f>
      </x:c>
      <x:c r="M33" s="31" t="str">
        <x:f>IFERROR(L33/H33,"")</x:f>
      </x:c>
      <x:c r="N33" s="30"/>
      <x:c r="O33" s="32"/>
      <x:c r="P33" s="32" t="str">
        <x:f>IF(OR(I33="",O33=""),"",I33*O33)</x:f>
      </x:c>
      <x:c r="Q33" s="32" t="str">
        <x:f>IF(P33="","",P33-H33)</x:f>
      </x:c>
      <x:c r="R33" s="29"/>
    </x:row>
    <x:row r="34">
      <x:c r="A34" s="27"/>
      <x:c r="B34" s="27"/>
      <x:c r="C34" s="27"/>
      <x:c r="D34" s="27"/>
      <x:c r="E34" s="27"/>
      <x:c r="F34" s="30"/>
      <x:c r="G34" s="32"/>
      <x:c r="H34" s="32"/>
      <x:c r="I34" s="27" t="str">
        <x:f>IFERROR(H34/G34,"")</x:f>
      </x:c>
      <x:c r="J34" s="32"/>
      <x:c r="K34" s="32" t="str">
        <x:f>IF(OR(I34="",J34=""),"",I34*J34)</x:f>
      </x:c>
      <x:c r="L34" s="32" t="str">
        <x:f>IF(K34="","",K34-H34)</x:f>
      </x:c>
      <x:c r="M34" s="31" t="str">
        <x:f>IFERROR(L34/H34,"")</x:f>
      </x:c>
      <x:c r="N34" s="30"/>
      <x:c r="O34" s="32"/>
      <x:c r="P34" s="32" t="str">
        <x:f>IF(OR(I34="",O34=""),"",I34*O34)</x:f>
      </x:c>
      <x:c r="Q34" s="32" t="str">
        <x:f>IF(P34="","",P34-H34)</x:f>
      </x:c>
      <x:c r="R34" s="29"/>
    </x:row>
    <x:row r="35">
      <x:c r="A35" s="27"/>
      <x:c r="B35" s="27"/>
      <x:c r="C35" s="27"/>
      <x:c r="D35" s="27"/>
      <x:c r="E35" s="27"/>
      <x:c r="F35" s="30"/>
      <x:c r="G35" s="32"/>
      <x:c r="H35" s="32"/>
      <x:c r="I35" s="27" t="str">
        <x:f>IFERROR(H35/G35,"")</x:f>
      </x:c>
      <x:c r="J35" s="32"/>
      <x:c r="K35" s="32" t="str">
        <x:f>IF(OR(I35="",J35=""),"",I35*J35)</x:f>
      </x:c>
      <x:c r="L35" s="32" t="str">
        <x:f>IF(K35="","",K35-H35)</x:f>
      </x:c>
      <x:c r="M35" s="31" t="str">
        <x:f>IFERROR(L35/H35,"")</x:f>
      </x:c>
      <x:c r="N35" s="30"/>
      <x:c r="O35" s="32"/>
      <x:c r="P35" s="32" t="str">
        <x:f>IF(OR(I35="",O35=""),"",I35*O35)</x:f>
      </x:c>
      <x:c r="Q35" s="32" t="str">
        <x:f>IF(P35="","",P35-H35)</x:f>
      </x:c>
      <x:c r="R35" s="29"/>
    </x:row>
    <x:row r="36">
      <x:c r="A36" s="27"/>
      <x:c r="B36" s="27"/>
      <x:c r="C36" s="27"/>
      <x:c r="D36" s="27"/>
      <x:c r="E36" s="27"/>
      <x:c r="F36" s="30"/>
      <x:c r="G36" s="32"/>
      <x:c r="H36" s="32"/>
      <x:c r="I36" s="27" t="str">
        <x:f>IFERROR(H36/G36,"")</x:f>
      </x:c>
      <x:c r="J36" s="32"/>
      <x:c r="K36" s="32" t="str">
        <x:f>IF(OR(I36="",J36=""),"",I36*J36)</x:f>
      </x:c>
      <x:c r="L36" s="32" t="str">
        <x:f>IF(K36="","",K36-H36)</x:f>
      </x:c>
      <x:c r="M36" s="31" t="str">
        <x:f>IFERROR(L36/H36,"")</x:f>
      </x:c>
      <x:c r="N36" s="30"/>
      <x:c r="O36" s="32"/>
      <x:c r="P36" s="32" t="str">
        <x:f>IF(OR(I36="",O36=""),"",I36*O36)</x:f>
      </x:c>
      <x:c r="Q36" s="32" t="str">
        <x:f>IF(P36="","",P36-H36)</x:f>
      </x:c>
      <x:c r="R36" s="29"/>
    </x:row>
    <x:row r="37">
      <x:c r="A37" s="27"/>
      <x:c r="B37" s="27"/>
      <x:c r="C37" s="27"/>
      <x:c r="D37" s="27"/>
      <x:c r="E37" s="27"/>
      <x:c r="F37" s="30"/>
      <x:c r="G37" s="32"/>
      <x:c r="H37" s="32"/>
      <x:c r="I37" s="27" t="str">
        <x:f>IFERROR(H37/G37,"")</x:f>
      </x:c>
      <x:c r="J37" s="32"/>
      <x:c r="K37" s="32" t="str">
        <x:f>IF(OR(I37="",J37=""),"",I37*J37)</x:f>
      </x:c>
      <x:c r="L37" s="32" t="str">
        <x:f>IF(K37="","",K37-H37)</x:f>
      </x:c>
      <x:c r="M37" s="31" t="str">
        <x:f>IFERROR(L37/H37,"")</x:f>
      </x:c>
      <x:c r="N37" s="30"/>
      <x:c r="O37" s="32"/>
      <x:c r="P37" s="32" t="str">
        <x:f>IF(OR(I37="",O37=""),"",I37*O37)</x:f>
      </x:c>
      <x:c r="Q37" s="32" t="str">
        <x:f>IF(P37="","",P37-H37)</x:f>
      </x:c>
      <x:c r="R37" s="29"/>
    </x:row>
    <x:row r="38">
      <x:c r="A38" s="27"/>
      <x:c r="B38" s="27"/>
      <x:c r="C38" s="27"/>
      <x:c r="D38" s="27"/>
      <x:c r="E38" s="27"/>
      <x:c r="F38" s="30"/>
      <x:c r="G38" s="32"/>
      <x:c r="H38" s="32"/>
      <x:c r="I38" s="27" t="str">
        <x:f>IFERROR(H38/G38,"")</x:f>
      </x:c>
      <x:c r="J38" s="32"/>
      <x:c r="K38" s="32" t="str">
        <x:f>IF(OR(I38="",J38=""),"",I38*J38)</x:f>
      </x:c>
      <x:c r="L38" s="32" t="str">
        <x:f>IF(K38="","",K38-H38)</x:f>
      </x:c>
      <x:c r="M38" s="31" t="str">
        <x:f>IFERROR(L38/H38,"")</x:f>
      </x:c>
      <x:c r="N38" s="30"/>
      <x:c r="O38" s="32"/>
      <x:c r="P38" s="32" t="str">
        <x:f>IF(OR(I38="",O38=""),"",I38*O38)</x:f>
      </x:c>
      <x:c r="Q38" s="32" t="str">
        <x:f>IF(P38="","",P38-H38)</x:f>
      </x:c>
      <x:c r="R38" s="29"/>
    </x:row>
    <x:row r="39">
      <x:c r="A39" s="27"/>
      <x:c r="B39" s="27"/>
      <x:c r="C39" s="27"/>
      <x:c r="D39" s="27"/>
      <x:c r="E39" s="27"/>
      <x:c r="F39" s="30"/>
      <x:c r="G39" s="32"/>
      <x:c r="H39" s="32"/>
      <x:c r="I39" s="27" t="str">
        <x:f>IFERROR(H39/G39,"")</x:f>
      </x:c>
      <x:c r="J39" s="32"/>
      <x:c r="K39" s="32" t="str">
        <x:f>IF(OR(I39="",J39=""),"",I39*J39)</x:f>
      </x:c>
      <x:c r="L39" s="32" t="str">
        <x:f>IF(K39="","",K39-H39)</x:f>
      </x:c>
      <x:c r="M39" s="31" t="str">
        <x:f>IFERROR(L39/H39,"")</x:f>
      </x:c>
      <x:c r="N39" s="30"/>
      <x:c r="O39" s="32"/>
      <x:c r="P39" s="32" t="str">
        <x:f>IF(OR(I39="",O39=""),"",I39*O39)</x:f>
      </x:c>
      <x:c r="Q39" s="32" t="str">
        <x:f>IF(P39="","",P39-H39)</x:f>
      </x:c>
      <x:c r="R39" s="29"/>
    </x:row>
    <x:row r="40">
      <x:c r="A40" s="27"/>
      <x:c r="B40" s="27"/>
      <x:c r="C40" s="27"/>
      <x:c r="D40" s="27"/>
      <x:c r="E40" s="27"/>
      <x:c r="F40" s="30"/>
      <x:c r="G40" s="32"/>
      <x:c r="H40" s="32"/>
      <x:c r="I40" s="27" t="str">
        <x:f>IFERROR(H40/G40,"")</x:f>
      </x:c>
      <x:c r="J40" s="32"/>
      <x:c r="K40" s="32" t="str">
        <x:f>IF(OR(I40="",J40=""),"",I40*J40)</x:f>
      </x:c>
      <x:c r="L40" s="32" t="str">
        <x:f>IF(K40="","",K40-H40)</x:f>
      </x:c>
      <x:c r="M40" s="31" t="str">
        <x:f>IFERROR(L40/H40,"")</x:f>
      </x:c>
      <x:c r="N40" s="30"/>
      <x:c r="O40" s="32"/>
      <x:c r="P40" s="32" t="str">
        <x:f>IF(OR(I40="",O40=""),"",I40*O40)</x:f>
      </x:c>
      <x:c r="Q40" s="32" t="str">
        <x:f>IF(P40="","",P40-H40)</x:f>
      </x:c>
      <x:c r="R40" s="29"/>
    </x:row>
    <x:row r="41">
      <x:c r="A41" s="27"/>
      <x:c r="B41" s="27"/>
      <x:c r="C41" s="27"/>
      <x:c r="D41" s="27"/>
      <x:c r="E41" s="27"/>
      <x:c r="F41" s="30"/>
      <x:c r="G41" s="32"/>
      <x:c r="H41" s="32"/>
      <x:c r="I41" s="27" t="str">
        <x:f>IFERROR(H41/G41,"")</x:f>
      </x:c>
      <x:c r="J41" s="32"/>
      <x:c r="K41" s="32" t="str">
        <x:f>IF(OR(I41="",J41=""),"",I41*J41)</x:f>
      </x:c>
      <x:c r="L41" s="32" t="str">
        <x:f>IF(K41="","",K41-H41)</x:f>
      </x:c>
      <x:c r="M41" s="31" t="str">
        <x:f>IFERROR(L41/H41,"")</x:f>
      </x:c>
      <x:c r="N41" s="30"/>
      <x:c r="O41" s="32"/>
      <x:c r="P41" s="32" t="str">
        <x:f>IF(OR(I41="",O41=""),"",I41*O41)</x:f>
      </x:c>
      <x:c r="Q41" s="32" t="str">
        <x:f>IF(P41="","",P41-H41)</x:f>
      </x:c>
      <x:c r="R41" s="29"/>
    </x:row>
    <x:row r="42">
      <x:c r="A42" s="27"/>
      <x:c r="B42" s="27"/>
      <x:c r="C42" s="27"/>
      <x:c r="D42" s="27"/>
      <x:c r="E42" s="27"/>
      <x:c r="F42" s="30"/>
      <x:c r="G42" s="32"/>
      <x:c r="H42" s="32"/>
      <x:c r="I42" s="27" t="str">
        <x:f>IFERROR(H42/G42,"")</x:f>
      </x:c>
      <x:c r="J42" s="32"/>
      <x:c r="K42" s="32" t="str">
        <x:f>IF(OR(I42="",J42=""),"",I42*J42)</x:f>
      </x:c>
      <x:c r="L42" s="32" t="str">
        <x:f>IF(K42="","",K42-H42)</x:f>
      </x:c>
      <x:c r="M42" s="31" t="str">
        <x:f>IFERROR(L42/H42,"")</x:f>
      </x:c>
      <x:c r="N42" s="30"/>
      <x:c r="O42" s="32"/>
      <x:c r="P42" s="32" t="str">
        <x:f>IF(OR(I42="",O42=""),"",I42*O42)</x:f>
      </x:c>
      <x:c r="Q42" s="32" t="str">
        <x:f>IF(P42="","",P42-H42)</x:f>
      </x:c>
      <x:c r="R42" s="29"/>
    </x:row>
    <x:row r="43">
      <x:c r="A43" s="27"/>
      <x:c r="B43" s="27"/>
      <x:c r="C43" s="27"/>
      <x:c r="D43" s="27"/>
      <x:c r="E43" s="27"/>
      <x:c r="F43" s="30"/>
      <x:c r="G43" s="32"/>
      <x:c r="H43" s="32"/>
      <x:c r="I43" s="27" t="str">
        <x:f>IFERROR(H43/G43,"")</x:f>
      </x:c>
      <x:c r="J43" s="32"/>
      <x:c r="K43" s="32" t="str">
        <x:f>IF(OR(I43="",J43=""),"",I43*J43)</x:f>
      </x:c>
      <x:c r="L43" s="32" t="str">
        <x:f>IF(K43="","",K43-H43)</x:f>
      </x:c>
      <x:c r="M43" s="31" t="str">
        <x:f>IFERROR(L43/H43,"")</x:f>
      </x:c>
      <x:c r="N43" s="30"/>
      <x:c r="O43" s="32"/>
      <x:c r="P43" s="32" t="str">
        <x:f>IF(OR(I43="",O43=""),"",I43*O43)</x:f>
      </x:c>
      <x:c r="Q43" s="32" t="str">
        <x:f>IF(P43="","",P43-H43)</x:f>
      </x:c>
      <x:c r="R43" s="29"/>
    </x:row>
    <x:row r="44">
      <x:c r="A44" s="27"/>
      <x:c r="B44" s="27"/>
      <x:c r="C44" s="27"/>
      <x:c r="D44" s="27"/>
      <x:c r="E44" s="27"/>
      <x:c r="F44" s="30"/>
      <x:c r="G44" s="32"/>
      <x:c r="H44" s="32"/>
      <x:c r="I44" s="27" t="str">
        <x:f>IFERROR(H44/G44,"")</x:f>
      </x:c>
      <x:c r="J44" s="32"/>
      <x:c r="K44" s="32" t="str">
        <x:f>IF(OR(I44="",J44=""),"",I44*J44)</x:f>
      </x:c>
      <x:c r="L44" s="32" t="str">
        <x:f>IF(K44="","",K44-H44)</x:f>
      </x:c>
      <x:c r="M44" s="31" t="str">
        <x:f>IFERROR(L44/H44,"")</x:f>
      </x:c>
      <x:c r="N44" s="30"/>
      <x:c r="O44" s="32"/>
      <x:c r="P44" s="32" t="str">
        <x:f>IF(OR(I44="",O44=""),"",I44*O44)</x:f>
      </x:c>
      <x:c r="Q44" s="32" t="str">
        <x:f>IF(P44="","",P44-H44)</x:f>
      </x:c>
      <x:c r="R44" s="29"/>
    </x:row>
    <x:row r="45">
      <x:c r="A45" s="27"/>
      <x:c r="B45" s="27"/>
      <x:c r="C45" s="27"/>
      <x:c r="D45" s="27"/>
      <x:c r="E45" s="27"/>
      <x:c r="F45" s="30"/>
      <x:c r="G45" s="32"/>
      <x:c r="H45" s="32"/>
      <x:c r="I45" s="27" t="str">
        <x:f>IFERROR(H45/G45,"")</x:f>
      </x:c>
      <x:c r="J45" s="32"/>
      <x:c r="K45" s="32" t="str">
        <x:f>IF(OR(I45="",J45=""),"",I45*J45)</x:f>
      </x:c>
      <x:c r="L45" s="32" t="str">
        <x:f>IF(K45="","",K45-H45)</x:f>
      </x:c>
      <x:c r="M45" s="31" t="str">
        <x:f>IFERROR(L45/H45,"")</x:f>
      </x:c>
      <x:c r="N45" s="30"/>
      <x:c r="O45" s="32"/>
      <x:c r="P45" s="32" t="str">
        <x:f>IF(OR(I45="",O45=""),"",I45*O45)</x:f>
      </x:c>
      <x:c r="Q45" s="32" t="str">
        <x:f>IF(P45="","",P45-H45)</x:f>
      </x:c>
      <x:c r="R45" s="29"/>
    </x:row>
    <x:row r="46">
      <x:c r="A46" s="27"/>
      <x:c r="B46" s="27"/>
      <x:c r="C46" s="27"/>
      <x:c r="D46" s="27"/>
      <x:c r="E46" s="27"/>
      <x:c r="F46" s="30"/>
      <x:c r="G46" s="32"/>
      <x:c r="H46" s="32"/>
      <x:c r="I46" s="27" t="str">
        <x:f>IFERROR(H46/G46,"")</x:f>
      </x:c>
      <x:c r="J46" s="32"/>
      <x:c r="K46" s="32" t="str">
        <x:f>IF(OR(I46="",J46=""),"",I46*J46)</x:f>
      </x:c>
      <x:c r="L46" s="32" t="str">
        <x:f>IF(K46="","",K46-H46)</x:f>
      </x:c>
      <x:c r="M46" s="31" t="str">
        <x:f>IFERROR(L46/H46,"")</x:f>
      </x:c>
      <x:c r="N46" s="30"/>
      <x:c r="O46" s="32"/>
      <x:c r="P46" s="32" t="str">
        <x:f>IF(OR(I46="",O46=""),"",I46*O46)</x:f>
      </x:c>
      <x:c r="Q46" s="32" t="str">
        <x:f>IF(P46="","",P46-H46)</x:f>
      </x:c>
      <x:c r="R46" s="29"/>
    </x:row>
    <x:row r="47">
      <x:c r="A47" s="27"/>
      <x:c r="B47" s="27"/>
      <x:c r="C47" s="27"/>
      <x:c r="D47" s="27"/>
      <x:c r="E47" s="27"/>
      <x:c r="F47" s="30"/>
      <x:c r="G47" s="32"/>
      <x:c r="H47" s="32"/>
      <x:c r="I47" s="27" t="str">
        <x:f>IFERROR(H47/G47,"")</x:f>
      </x:c>
      <x:c r="J47" s="32"/>
      <x:c r="K47" s="32" t="str">
        <x:f>IF(OR(I47="",J47=""),"",I47*J47)</x:f>
      </x:c>
      <x:c r="L47" s="32" t="str">
        <x:f>IF(K47="","",K47-H47)</x:f>
      </x:c>
      <x:c r="M47" s="31" t="str">
        <x:f>IFERROR(L47/H47,"")</x:f>
      </x:c>
      <x:c r="N47" s="30"/>
      <x:c r="O47" s="32"/>
      <x:c r="P47" s="32" t="str">
        <x:f>IF(OR(I47="",O47=""),"",I47*O47)</x:f>
      </x:c>
      <x:c r="Q47" s="32" t="str">
        <x:f>IF(P47="","",P47-H47)</x:f>
      </x:c>
      <x:c r="R47" s="29"/>
    </x:row>
    <x:row r="48">
      <x:c r="A48" s="27"/>
      <x:c r="B48" s="27"/>
      <x:c r="C48" s="27"/>
      <x:c r="D48" s="27"/>
      <x:c r="E48" s="27"/>
      <x:c r="F48" s="30"/>
      <x:c r="G48" s="32"/>
      <x:c r="H48" s="32"/>
      <x:c r="I48" s="27" t="str">
        <x:f>IFERROR(H48/G48,"")</x:f>
      </x:c>
      <x:c r="J48" s="32"/>
      <x:c r="K48" s="32" t="str">
        <x:f>IF(OR(I48="",J48=""),"",I48*J48)</x:f>
      </x:c>
      <x:c r="L48" s="32" t="str">
        <x:f>IF(K48="","",K48-H48)</x:f>
      </x:c>
      <x:c r="M48" s="31" t="str">
        <x:f>IFERROR(L48/H48,"")</x:f>
      </x:c>
      <x:c r="N48" s="30"/>
      <x:c r="O48" s="32"/>
      <x:c r="P48" s="32" t="str">
        <x:f>IF(OR(I48="",O48=""),"",I48*O48)</x:f>
      </x:c>
      <x:c r="Q48" s="32" t="str">
        <x:f>IF(P48="","",P48-H48)</x:f>
      </x:c>
      <x:c r="R48" s="29"/>
    </x:row>
    <x:row r="49">
      <x:c r="A49" s="27"/>
      <x:c r="B49" s="27"/>
      <x:c r="C49" s="27"/>
      <x:c r="D49" s="27"/>
      <x:c r="E49" s="27"/>
      <x:c r="F49" s="30"/>
      <x:c r="G49" s="32"/>
      <x:c r="H49" s="32"/>
      <x:c r="I49" s="27" t="str">
        <x:f>IFERROR(H49/G49,"")</x:f>
      </x:c>
      <x:c r="J49" s="32"/>
      <x:c r="K49" s="32" t="str">
        <x:f>IF(OR(I49="",J49=""),"",I49*J49)</x:f>
      </x:c>
      <x:c r="L49" s="32" t="str">
        <x:f>IF(K49="","",K49-H49)</x:f>
      </x:c>
      <x:c r="M49" s="31" t="str">
        <x:f>IFERROR(L49/H49,"")</x:f>
      </x:c>
      <x:c r="N49" s="30"/>
      <x:c r="O49" s="32"/>
      <x:c r="P49" s="32" t="str">
        <x:f>IF(OR(I49="",O49=""),"",I49*O49)</x:f>
      </x:c>
      <x:c r="Q49" s="32" t="str">
        <x:f>IF(P49="","",P49-H49)</x:f>
      </x:c>
      <x:c r="R49" s="29"/>
    </x:row>
    <x:row r="50">
      <x:c r="A50" s="27"/>
      <x:c r="B50" s="27"/>
      <x:c r="C50" s="27"/>
      <x:c r="D50" s="27"/>
      <x:c r="E50" s="27"/>
      <x:c r="F50" s="30"/>
      <x:c r="G50" s="32"/>
      <x:c r="H50" s="32"/>
      <x:c r="I50" s="27" t="str">
        <x:f>IFERROR(H50/G50,"")</x:f>
      </x:c>
      <x:c r="J50" s="32"/>
      <x:c r="K50" s="32" t="str">
        <x:f>IF(OR(I50="",J50=""),"",I50*J50)</x:f>
      </x:c>
      <x:c r="L50" s="32" t="str">
        <x:f>IF(K50="","",K50-H50)</x:f>
      </x:c>
      <x:c r="M50" s="31" t="str">
        <x:f>IFERROR(L50/H50,"")</x:f>
      </x:c>
      <x:c r="N50" s="30"/>
      <x:c r="O50" s="32"/>
      <x:c r="P50" s="32" t="str">
        <x:f>IF(OR(I50="",O50=""),"",I50*O50)</x:f>
      </x:c>
      <x:c r="Q50" s="32" t="str">
        <x:f>IF(P50="","",P50-H50)</x:f>
      </x:c>
      <x:c r="R50" s="29"/>
    </x:row>
    <x:row r="51">
      <x:c r="F51" s="18"/>
      <x:c r="G51" s="23"/>
      <x:c r="H51" s="23"/>
      <x:c r="I51" t="str">
        <x:f>IFERROR(H51/G51,"")</x:f>
      </x:c>
      <x:c r="J51" s="23"/>
      <x:c r="K51" s="23" t="str">
        <x:f>IF(OR(I51="",J51=""),"",I51*J51)</x:f>
      </x:c>
      <x:c r="L51" s="23" t="str">
        <x:f>IF(K51="","",K51-H51)</x:f>
      </x:c>
      <x:c r="M51" s="19" t="str">
        <x:f>IFERROR(L51/H51,"")</x:f>
      </x:c>
      <x:c r="N51" s="18"/>
      <x:c r="O51" s="23"/>
      <x:c r="P51" s="23" t="str">
        <x:f>IF(OR(I51="",O51=""),"",I51*O51)</x:f>
      </x:c>
      <x:c r="Q51" s="23" t="str">
        <x:f>IF(P51="","",P51-H51)</x:f>
      </x:c>
      <x:c r="R51" s="44"/>
    </x:row>
    <x:row r="52">
      <x:c r="F52" s="18"/>
      <x:c r="G52" s="23"/>
      <x:c r="H52" s="23"/>
      <x:c r="I52" t="str">
        <x:f>IFERROR(H52/G52,"")</x:f>
      </x:c>
      <x:c r="J52" s="23"/>
      <x:c r="K52" s="23" t="str">
        <x:f>IF(OR(I52="",J52=""),"",I52*J52)</x:f>
      </x:c>
      <x:c r="L52" s="23" t="str">
        <x:f>IF(K52="","",K52-H52)</x:f>
      </x:c>
      <x:c r="M52" s="19" t="str">
        <x:f>IFERROR(L52/H52,"")</x:f>
      </x:c>
      <x:c r="N52" s="18"/>
      <x:c r="O52" s="23"/>
      <x:c r="P52" s="23" t="str">
        <x:f>IF(OR(I52="",O52=""),"",I52*O52)</x:f>
      </x:c>
      <x:c r="Q52" s="23" t="str">
        <x:f>IF(P52="","",P52-H52)</x:f>
      </x:c>
      <x:c r="R52" s="44"/>
    </x:row>
    <x:row r="53">
      <x:c r="F53" s="18"/>
      <x:c r="G53" s="23"/>
      <x:c r="H53" s="23"/>
      <x:c r="I53" t="str">
        <x:f>IFERROR(H53/G53,"")</x:f>
      </x:c>
      <x:c r="J53" s="23"/>
      <x:c r="K53" s="23" t="str">
        <x:f>IF(OR(I53="",J53=""),"",I53*J53)</x:f>
      </x:c>
      <x:c r="L53" s="23" t="str">
        <x:f>IF(K53="","",K53-H53)</x:f>
      </x:c>
      <x:c r="M53" s="19" t="str">
        <x:f>IFERROR(L53/H53,"")</x:f>
      </x:c>
      <x:c r="N53" s="18"/>
      <x:c r="O53" s="23"/>
      <x:c r="P53" s="23" t="str">
        <x:f>IF(OR(I53="",O53=""),"",I53*O53)</x:f>
      </x:c>
      <x:c r="Q53" s="23" t="str">
        <x:f>IF(P53="","",P53-H53)</x:f>
      </x:c>
      <x:c r="R53" s="44"/>
    </x:row>
    <x:row r="54">
      <x:c r="F54" s="18"/>
      <x:c r="G54" s="23"/>
      <x:c r="H54" s="23"/>
      <x:c r="I54" t="str">
        <x:f>IFERROR(H54/G54,"")</x:f>
      </x:c>
      <x:c r="J54" s="23"/>
      <x:c r="K54" s="23" t="str">
        <x:f>IF(OR(I54="",J54=""),"",I54*J54)</x:f>
      </x:c>
      <x:c r="L54" s="23" t="str">
        <x:f>IF(K54="","",K54-H54)</x:f>
      </x:c>
      <x:c r="M54" s="19" t="str">
        <x:f>IFERROR(L54/H54,"")</x:f>
      </x:c>
      <x:c r="N54" s="18"/>
      <x:c r="O54" s="23"/>
      <x:c r="P54" s="23" t="str">
        <x:f>IF(OR(I54="",O54=""),"",I54*O54)</x:f>
      </x:c>
      <x:c r="Q54" s="23" t="str">
        <x:f>IF(P54="","",P54-H54)</x:f>
      </x:c>
      <x:c r="R54" s="44"/>
    </x:row>
    <x:row r="55">
      <x:c r="F55" s="18"/>
      <x:c r="G55" s="23"/>
      <x:c r="H55" s="23"/>
      <x:c r="I55" t="str">
        <x:f>IFERROR(H55/G55,"")</x:f>
      </x:c>
      <x:c r="J55" s="23"/>
      <x:c r="K55" s="23" t="str">
        <x:f>IF(OR(I55="",J55=""),"",I55*J55)</x:f>
      </x:c>
      <x:c r="L55" s="23" t="str">
        <x:f>IF(K55="","",K55-H55)</x:f>
      </x:c>
      <x:c r="M55" s="19" t="str">
        <x:f>IFERROR(L55/H55,"")</x:f>
      </x:c>
      <x:c r="N55" s="18"/>
      <x:c r="O55" s="23"/>
      <x:c r="P55" s="23" t="str">
        <x:f>IF(OR(I55="",O55=""),"",I55*O55)</x:f>
      </x:c>
      <x:c r="Q55" s="23" t="str">
        <x:f>IF(P55="","",P55-H55)</x:f>
      </x:c>
      <x:c r="R55" s="44"/>
    </x:row>
    <x:row r="56">
      <x:c r="F56" s="18"/>
      <x:c r="G56" s="23"/>
      <x:c r="H56" s="23"/>
      <x:c r="I56" t="str">
        <x:f>IFERROR(H56/G56,"")</x:f>
      </x:c>
      <x:c r="J56" s="23"/>
      <x:c r="K56" s="23" t="str">
        <x:f>IF(OR(I56="",J56=""),"",I56*J56)</x:f>
      </x:c>
      <x:c r="L56" s="23" t="str">
        <x:f>IF(K56="","",K56-H56)</x:f>
      </x:c>
      <x:c r="M56" s="19" t="str">
        <x:f>IFERROR(L56/H56,"")</x:f>
      </x:c>
      <x:c r="N56" s="18"/>
      <x:c r="O56" s="23"/>
      <x:c r="P56" s="23" t="str">
        <x:f>IF(OR(I56="",O56=""),"",I56*O56)</x:f>
      </x:c>
      <x:c r="Q56" s="23" t="str">
        <x:f>IF(P56="","",P56-H56)</x:f>
      </x:c>
      <x:c r="R56" s="44"/>
    </x:row>
    <x:row r="57">
      <x:c r="F57" s="18"/>
      <x:c r="G57" s="23"/>
      <x:c r="H57" s="23"/>
      <x:c r="I57" t="str">
        <x:f>IFERROR(H57/G57,"")</x:f>
      </x:c>
      <x:c r="J57" s="23"/>
      <x:c r="K57" s="23" t="str">
        <x:f>IF(OR(I57="",J57=""),"",I57*J57)</x:f>
      </x:c>
      <x:c r="L57" s="23" t="str">
        <x:f>IF(K57="","",K57-H57)</x:f>
      </x:c>
      <x:c r="M57" s="19" t="str">
        <x:f>IFERROR(L57/H57,"")</x:f>
      </x:c>
      <x:c r="N57" s="18"/>
      <x:c r="O57" s="23"/>
      <x:c r="P57" s="23" t="str">
        <x:f>IF(OR(I57="",O57=""),"",I57*O57)</x:f>
      </x:c>
      <x:c r="Q57" s="23" t="str">
        <x:f>IF(P57="","",P57-H57)</x:f>
      </x:c>
      <x:c r="R57" s="44"/>
    </x:row>
    <x:row r="58">
      <x:c r="F58" s="18"/>
      <x:c r="G58" s="23"/>
      <x:c r="H58" s="23"/>
      <x:c r="I58" t="str">
        <x:f>IFERROR(H58/G58,"")</x:f>
      </x:c>
      <x:c r="J58" s="23"/>
      <x:c r="K58" s="23" t="str">
        <x:f>IF(OR(I58="",J58=""),"",I58*J58)</x:f>
      </x:c>
      <x:c r="L58" s="23" t="str">
        <x:f>IF(K58="","",K58-H58)</x:f>
      </x:c>
      <x:c r="M58" s="19" t="str">
        <x:f>IFERROR(L58/H58,"")</x:f>
      </x:c>
      <x:c r="N58" s="18"/>
      <x:c r="O58" s="23"/>
      <x:c r="P58" s="23" t="str">
        <x:f>IF(OR(I58="",O58=""),"",I58*O58)</x:f>
      </x:c>
      <x:c r="Q58" s="23" t="str">
        <x:f>IF(P58="","",P58-H58)</x:f>
      </x:c>
      <x:c r="R58" s="44"/>
    </x:row>
    <x:row r="59">
      <x:c r="F59" s="18"/>
      <x:c r="G59" s="23"/>
      <x:c r="H59" s="23"/>
      <x:c r="I59" t="str">
        <x:f>IFERROR(H59/G59,"")</x:f>
      </x:c>
      <x:c r="J59" s="23"/>
      <x:c r="K59" s="23" t="str">
        <x:f>IF(OR(I59="",J59=""),"",I59*J59)</x:f>
      </x:c>
      <x:c r="L59" s="23" t="str">
        <x:f>IF(K59="","",K59-H59)</x:f>
      </x:c>
      <x:c r="M59" s="19" t="str">
        <x:f>IFERROR(L59/H59,"")</x:f>
      </x:c>
      <x:c r="N59" s="18"/>
      <x:c r="O59" s="23"/>
      <x:c r="P59" s="23" t="str">
        <x:f>IF(OR(I59="",O59=""),"",I59*O59)</x:f>
      </x:c>
      <x:c r="Q59" s="23" t="str">
        <x:f>IF(P59="","",P59-H59)</x:f>
      </x:c>
      <x:c r="R59" s="44"/>
    </x:row>
    <x:row r="60">
      <x:c r="F60" s="18"/>
      <x:c r="G60" s="23"/>
      <x:c r="H60" s="23"/>
      <x:c r="I60" t="str">
        <x:f>IFERROR(H60/G60,"")</x:f>
      </x:c>
      <x:c r="J60" s="23"/>
      <x:c r="K60" s="23" t="str">
        <x:f>IF(OR(I60="",J60=""),"",I60*J60)</x:f>
      </x:c>
      <x:c r="L60" s="23" t="str">
        <x:f>IF(K60="","",K60-H60)</x:f>
      </x:c>
      <x:c r="M60" s="19" t="str">
        <x:f>IFERROR(L60/H60,"")</x:f>
      </x:c>
      <x:c r="N60" s="18"/>
      <x:c r="O60" s="23"/>
      <x:c r="P60" s="23" t="str">
        <x:f>IF(OR(I60="",O60=""),"",I60*O60)</x:f>
      </x:c>
      <x:c r="Q60" s="23" t="str">
        <x:f>IF(P60="","",P60-H60)</x:f>
      </x:c>
      <x:c r="R60" s="44"/>
    </x:row>
    <x:row r="61">
      <x:c r="F61" s="18"/>
      <x:c r="G61" s="23"/>
      <x:c r="H61" s="23"/>
      <x:c r="I61" t="str">
        <x:f>IFERROR(H61/G61,"")</x:f>
      </x:c>
      <x:c r="J61" s="23"/>
      <x:c r="K61" s="23" t="str">
        <x:f>IF(OR(I61="",J61=""),"",I61*J61)</x:f>
      </x:c>
      <x:c r="L61" s="23" t="str">
        <x:f>IF(K61="","",K61-H61)</x:f>
      </x:c>
      <x:c r="M61" s="19" t="str">
        <x:f>IFERROR(L61/H61,"")</x:f>
      </x:c>
      <x:c r="N61" s="18"/>
      <x:c r="O61" s="23"/>
      <x:c r="P61" s="23" t="str">
        <x:f>IF(OR(I61="",O61=""),"",I61*O61)</x:f>
      </x:c>
      <x:c r="Q61" s="23" t="str">
        <x:f>IF(P61="","",P61-H61)</x:f>
      </x:c>
      <x:c r="R61" s="44"/>
    </x:row>
    <x:row r="62">
      <x:c r="F62" s="18"/>
      <x:c r="G62" s="23"/>
      <x:c r="H62" s="23"/>
      <x:c r="I62" t="str">
        <x:f>IFERROR(H62/G62,"")</x:f>
      </x:c>
      <x:c r="J62" s="23"/>
      <x:c r="K62" s="23" t="str">
        <x:f>IF(OR(I62="",J62=""),"",I62*J62)</x:f>
      </x:c>
      <x:c r="L62" s="23" t="str">
        <x:f>IF(K62="","",K62-H62)</x:f>
      </x:c>
      <x:c r="M62" s="19" t="str">
        <x:f>IFERROR(L62/H62,"")</x:f>
      </x:c>
      <x:c r="N62" s="18"/>
      <x:c r="O62" s="23"/>
      <x:c r="P62" s="23" t="str">
        <x:f>IF(OR(I62="",O62=""),"",I62*O62)</x:f>
      </x:c>
      <x:c r="Q62" s="23" t="str">
        <x:f>IF(P62="","",P62-H62)</x:f>
      </x:c>
      <x:c r="R62" s="44"/>
    </x:row>
    <x:row r="63">
      <x:c r="F63" s="18"/>
      <x:c r="G63" s="23"/>
      <x:c r="H63" s="23"/>
      <x:c r="I63" t="str">
        <x:f>IFERROR(H63/G63,"")</x:f>
      </x:c>
      <x:c r="J63" s="23"/>
      <x:c r="K63" s="23" t="str">
        <x:f>IF(OR(I63="",J63=""),"",I63*J63)</x:f>
      </x:c>
      <x:c r="L63" s="23" t="str">
        <x:f>IF(K63="","",K63-H63)</x:f>
      </x:c>
      <x:c r="M63" s="19" t="str">
        <x:f>IFERROR(L63/H63,"")</x:f>
      </x:c>
      <x:c r="N63" s="18"/>
      <x:c r="O63" s="23"/>
      <x:c r="P63" s="23" t="str">
        <x:f>IF(OR(I63="",O63=""),"",I63*O63)</x:f>
      </x:c>
      <x:c r="Q63" s="23" t="str">
        <x:f>IF(P63="","",P63-H63)</x:f>
      </x:c>
      <x:c r="R63" s="44"/>
    </x:row>
    <x:row r="64">
      <x:c r="F64" s="18"/>
      <x:c r="G64" s="23"/>
      <x:c r="H64" s="23"/>
      <x:c r="I64" t="str">
        <x:f>IFERROR(H64/G64,"")</x:f>
      </x:c>
      <x:c r="J64" s="23"/>
      <x:c r="K64" s="23" t="str">
        <x:f>IF(OR(I64="",J64=""),"",I64*J64)</x:f>
      </x:c>
      <x:c r="L64" s="23" t="str">
        <x:f>IF(K64="","",K64-H64)</x:f>
      </x:c>
      <x:c r="M64" s="19" t="str">
        <x:f>IFERROR(L64/H64,"")</x:f>
      </x:c>
      <x:c r="N64" s="18"/>
      <x:c r="O64" s="23"/>
      <x:c r="P64" s="23" t="str">
        <x:f>IF(OR(I64="",O64=""),"",I64*O64)</x:f>
      </x:c>
      <x:c r="Q64" s="23" t="str">
        <x:f>IF(P64="","",P64-H64)</x:f>
      </x:c>
      <x:c r="R64" s="44"/>
    </x:row>
    <x:row r="65">
      <x:c r="F65" s="18"/>
      <x:c r="G65" s="23"/>
      <x:c r="H65" s="23"/>
      <x:c r="I65" t="str">
        <x:f>IFERROR(H65/G65,"")</x:f>
      </x:c>
      <x:c r="J65" s="23"/>
      <x:c r="K65" s="23" t="str">
        <x:f>IF(OR(I65="",J65=""),"",I65*J65)</x:f>
      </x:c>
      <x:c r="L65" s="23" t="str">
        <x:f>IF(K65="","",K65-H65)</x:f>
      </x:c>
      <x:c r="M65" s="19" t="str">
        <x:f>IFERROR(L65/H65,"")</x:f>
      </x:c>
      <x:c r="N65" s="18"/>
      <x:c r="O65" s="23"/>
      <x:c r="P65" s="23" t="str">
        <x:f>IF(OR(I65="",O65=""),"",I65*O65)</x:f>
      </x:c>
      <x:c r="Q65" s="23" t="str">
        <x:f>IF(P65="","",P65-H65)</x:f>
      </x:c>
      <x:c r="R65" s="44"/>
    </x:row>
    <x:row r="66">
      <x:c r="F66" s="18"/>
      <x:c r="G66" s="23"/>
      <x:c r="H66" s="23"/>
      <x:c r="I66" t="str">
        <x:f>IFERROR(H66/G66,"")</x:f>
      </x:c>
      <x:c r="J66" s="23"/>
      <x:c r="K66" s="23" t="str">
        <x:f>IF(OR(I66="",J66=""),"",I66*J66)</x:f>
      </x:c>
      <x:c r="L66" s="23" t="str">
        <x:f>IF(K66="","",K66-H66)</x:f>
      </x:c>
      <x:c r="M66" s="19" t="str">
        <x:f>IFERROR(L66/H66,"")</x:f>
      </x:c>
      <x:c r="N66" s="18"/>
      <x:c r="O66" s="23"/>
      <x:c r="P66" s="23" t="str">
        <x:f>IF(OR(I66="",O66=""),"",I66*O66)</x:f>
      </x:c>
      <x:c r="Q66" s="23" t="str">
        <x:f>IF(P66="","",P66-H66)</x:f>
      </x:c>
      <x:c r="R66" s="44"/>
    </x:row>
    <x:row r="67">
      <x:c r="F67" s="18"/>
      <x:c r="G67" s="23"/>
      <x:c r="H67" s="23"/>
      <x:c r="I67" t="str">
        <x:f>IFERROR(H67/G67,"")</x:f>
      </x:c>
      <x:c r="J67" s="23"/>
      <x:c r="K67" s="23" t="str">
        <x:f>IF(OR(I67="",J67=""),"",I67*J67)</x:f>
      </x:c>
      <x:c r="L67" s="23" t="str">
        <x:f>IF(K67="","",K67-H67)</x:f>
      </x:c>
      <x:c r="M67" s="19" t="str">
        <x:f>IFERROR(L67/H67,"")</x:f>
      </x:c>
      <x:c r="N67" s="18"/>
      <x:c r="O67" s="23"/>
      <x:c r="P67" s="23" t="str">
        <x:f>IF(OR(I67="",O67=""),"",I67*O67)</x:f>
      </x:c>
      <x:c r="Q67" s="23" t="str">
        <x:f>IF(P67="","",P67-H67)</x:f>
      </x:c>
      <x:c r="R67" s="44"/>
    </x:row>
    <x:row r="68">
      <x:c r="F68" s="18"/>
      <x:c r="G68" s="23"/>
      <x:c r="H68" s="23"/>
      <x:c r="I68" t="str">
        <x:f>IFERROR(H68/G68,"")</x:f>
      </x:c>
      <x:c r="J68" s="23"/>
      <x:c r="K68" s="23" t="str">
        <x:f>IF(OR(I68="",J68=""),"",I68*J68)</x:f>
      </x:c>
      <x:c r="L68" s="23" t="str">
        <x:f>IF(K68="","",K68-H68)</x:f>
      </x:c>
      <x:c r="M68" s="19" t="str">
        <x:f>IFERROR(L68/H68,"")</x:f>
      </x:c>
      <x:c r="N68" s="18"/>
      <x:c r="O68" s="23"/>
      <x:c r="P68" s="23" t="str">
        <x:f>IF(OR(I68="",O68=""),"",I68*O68)</x:f>
      </x:c>
      <x:c r="Q68" s="23" t="str">
        <x:f>IF(P68="","",P68-H68)</x:f>
      </x:c>
      <x:c r="R68" s="44"/>
    </x:row>
    <x:row r="69">
      <x:c r="F69" s="18"/>
      <x:c r="G69" s="23"/>
      <x:c r="H69" s="23"/>
      <x:c r="I69" t="str">
        <x:f>IFERROR(H69/G69,"")</x:f>
      </x:c>
      <x:c r="J69" s="23"/>
      <x:c r="K69" s="23" t="str">
        <x:f>IF(OR(I69="",J69=""),"",I69*J69)</x:f>
      </x:c>
      <x:c r="L69" s="23" t="str">
        <x:f>IF(K69="","",K69-H69)</x:f>
      </x:c>
      <x:c r="M69" s="19" t="str">
        <x:f>IFERROR(L69/H69,"")</x:f>
      </x:c>
      <x:c r="N69" s="18"/>
      <x:c r="O69" s="23"/>
      <x:c r="P69" s="23" t="str">
        <x:f>IF(OR(I69="",O69=""),"",I69*O69)</x:f>
      </x:c>
      <x:c r="Q69" s="23" t="str">
        <x:f>IF(P69="","",P69-H69)</x:f>
      </x:c>
      <x:c r="R69" s="44"/>
    </x:row>
    <x:row r="70">
      <x:c r="F70" s="18"/>
      <x:c r="G70" s="23"/>
      <x:c r="H70" s="23"/>
      <x:c r="I70" t="str">
        <x:f>IFERROR(H70/G70,"")</x:f>
      </x:c>
      <x:c r="J70" s="23"/>
      <x:c r="K70" s="23" t="str">
        <x:f>IF(OR(I70="",J70=""),"",I70*J70)</x:f>
      </x:c>
      <x:c r="L70" s="23" t="str">
        <x:f>IF(K70="","",K70-H70)</x:f>
      </x:c>
      <x:c r="M70" s="19" t="str">
        <x:f>IFERROR(L70/H70,"")</x:f>
      </x:c>
      <x:c r="N70" s="18"/>
      <x:c r="O70" s="23"/>
      <x:c r="P70" s="23" t="str">
        <x:f>IF(OR(I70="",O70=""),"",I70*O70)</x:f>
      </x:c>
      <x:c r="Q70" s="23" t="str">
        <x:f>IF(P70="","",P70-H70)</x:f>
      </x:c>
      <x:c r="R70" s="44"/>
    </x:row>
    <x:row r="71">
      <x:c r="F71" s="18"/>
      <x:c r="G71" s="23"/>
      <x:c r="H71" s="23"/>
      <x:c r="I71" t="str">
        <x:f>IFERROR(H71/G71,"")</x:f>
      </x:c>
      <x:c r="J71" s="23"/>
      <x:c r="K71" s="23" t="str">
        <x:f>IF(OR(I71="",J71=""),"",I71*J71)</x:f>
      </x:c>
      <x:c r="L71" s="23" t="str">
        <x:f>IF(K71="","",K71-H71)</x:f>
      </x:c>
      <x:c r="M71" s="19" t="str">
        <x:f>IFERROR(L71/H71,"")</x:f>
      </x:c>
      <x:c r="N71" s="18"/>
      <x:c r="O71" s="23"/>
      <x:c r="P71" s="23" t="str">
        <x:f>IF(OR(I71="",O71=""),"",I71*O71)</x:f>
      </x:c>
      <x:c r="Q71" s="23" t="str">
        <x:f>IF(P71="","",P71-H71)</x:f>
      </x:c>
      <x:c r="R71" s="44"/>
    </x:row>
    <x:row r="72">
      <x:c r="F72" s="18"/>
      <x:c r="G72" s="23"/>
      <x:c r="H72" s="23"/>
      <x:c r="I72" t="str">
        <x:f>IFERROR(H72/G72,"")</x:f>
      </x:c>
      <x:c r="J72" s="23"/>
      <x:c r="K72" s="23" t="str">
        <x:f>IF(OR(I72="",J72=""),"",I72*J72)</x:f>
      </x:c>
      <x:c r="L72" s="23" t="str">
        <x:f>IF(K72="","",K72-H72)</x:f>
      </x:c>
      <x:c r="M72" s="19" t="str">
        <x:f>IFERROR(L72/H72,"")</x:f>
      </x:c>
      <x:c r="N72" s="18"/>
      <x:c r="O72" s="23"/>
      <x:c r="P72" s="23" t="str">
        <x:f>IF(OR(I72="",O72=""),"",I72*O72)</x:f>
      </x:c>
      <x:c r="Q72" s="23" t="str">
        <x:f>IF(P72="","",P72-H72)</x:f>
      </x:c>
      <x:c r="R72" s="44"/>
    </x:row>
    <x:row r="73">
      <x:c r="F73" s="18"/>
      <x:c r="G73" s="23"/>
      <x:c r="H73" s="23"/>
      <x:c r="I73" t="str">
        <x:f>IFERROR(H73/G73,"")</x:f>
      </x:c>
      <x:c r="J73" s="23"/>
      <x:c r="K73" s="23" t="str">
        <x:f>IF(OR(I73="",J73=""),"",I73*J73)</x:f>
      </x:c>
      <x:c r="L73" s="23" t="str">
        <x:f>IF(K73="","",K73-H73)</x:f>
      </x:c>
      <x:c r="M73" s="19" t="str">
        <x:f>IFERROR(L73/H73,"")</x:f>
      </x:c>
      <x:c r="N73" s="18"/>
      <x:c r="O73" s="23"/>
      <x:c r="P73" s="23" t="str">
        <x:f>IF(OR(I73="",O73=""),"",I73*O73)</x:f>
      </x:c>
      <x:c r="Q73" s="23" t="str">
        <x:f>IF(P73="","",P73-H73)</x:f>
      </x:c>
      <x:c r="R73" s="44"/>
    </x:row>
    <x:row r="74">
      <x:c r="F74" s="18"/>
      <x:c r="G74" s="23"/>
      <x:c r="H74" s="23"/>
      <x:c r="I74" t="str">
        <x:f>IFERROR(H74/G74,"")</x:f>
      </x:c>
      <x:c r="J74" s="23"/>
      <x:c r="K74" s="23" t="str">
        <x:f>IF(OR(I74="",J74=""),"",I74*J74)</x:f>
      </x:c>
      <x:c r="L74" s="23" t="str">
        <x:f>IF(K74="","",K74-H74)</x:f>
      </x:c>
      <x:c r="M74" s="19" t="str">
        <x:f>IFERROR(L74/H74,"")</x:f>
      </x:c>
      <x:c r="N74" s="18"/>
      <x:c r="O74" s="23"/>
      <x:c r="P74" s="23" t="str">
        <x:f>IF(OR(I74="",O74=""),"",I74*O74)</x:f>
      </x:c>
      <x:c r="Q74" s="23" t="str">
        <x:f>IF(P74="","",P74-H74)</x:f>
      </x:c>
      <x:c r="R74" s="44"/>
    </x:row>
    <x:row r="75">
      <x:c r="F75" s="18"/>
      <x:c r="G75" s="23"/>
      <x:c r="H75" s="23"/>
      <x:c r="I75" t="str">
        <x:f>IFERROR(H75/G75,"")</x:f>
      </x:c>
      <x:c r="J75" s="23"/>
      <x:c r="K75" s="23" t="str">
        <x:f>IF(OR(I75="",J75=""),"",I75*J75)</x:f>
      </x:c>
      <x:c r="L75" s="23" t="str">
        <x:f>IF(K75="","",K75-H75)</x:f>
      </x:c>
      <x:c r="M75" s="19" t="str">
        <x:f>IFERROR(L75/H75,"")</x:f>
      </x:c>
      <x:c r="N75" s="18"/>
      <x:c r="O75" s="23"/>
      <x:c r="P75" s="23" t="str">
        <x:f>IF(OR(I75="",O75=""),"",I75*O75)</x:f>
      </x:c>
      <x:c r="Q75" s="23" t="str">
        <x:f>IF(P75="","",P75-H75)</x:f>
      </x:c>
      <x:c r="R75" s="44"/>
    </x:row>
    <x:row r="76">
      <x:c r="F76" s="18"/>
      <x:c r="G76" s="23"/>
      <x:c r="H76" s="23"/>
      <x:c r="I76" t="str">
        <x:f>IFERROR(H76/G76,"")</x:f>
      </x:c>
      <x:c r="J76" s="23"/>
      <x:c r="K76" s="23" t="str">
        <x:f>IF(OR(I76="",J76=""),"",I76*J76)</x:f>
      </x:c>
      <x:c r="L76" s="23" t="str">
        <x:f>IF(K76="","",K76-H76)</x:f>
      </x:c>
      <x:c r="M76" s="19" t="str">
        <x:f>IFERROR(L76/H76,"")</x:f>
      </x:c>
      <x:c r="N76" s="18"/>
      <x:c r="O76" s="23"/>
      <x:c r="P76" s="23" t="str">
        <x:f>IF(OR(I76="",O76=""),"",I76*O76)</x:f>
      </x:c>
      <x:c r="Q76" s="23" t="str">
        <x:f>IF(P76="","",P76-H76)</x:f>
      </x:c>
      <x:c r="R76" s="44"/>
    </x:row>
    <x:row r="77">
      <x:c r="F77" s="18"/>
      <x:c r="G77" s="23"/>
      <x:c r="H77" s="23"/>
      <x:c r="I77" t="str">
        <x:f>IFERROR(H77/G77,"")</x:f>
      </x:c>
      <x:c r="J77" s="23"/>
      <x:c r="K77" s="23" t="str">
        <x:f>IF(OR(I77="",J77=""),"",I77*J77)</x:f>
      </x:c>
      <x:c r="L77" s="23" t="str">
        <x:f>IF(K77="","",K77-H77)</x:f>
      </x:c>
      <x:c r="M77" s="19" t="str">
        <x:f>IFERROR(L77/H77,"")</x:f>
      </x:c>
      <x:c r="N77" s="18"/>
      <x:c r="O77" s="23"/>
      <x:c r="P77" s="23" t="str">
        <x:f>IF(OR(I77="",O77=""),"",I77*O77)</x:f>
      </x:c>
      <x:c r="Q77" s="23" t="str">
        <x:f>IF(P77="","",P77-H77)</x:f>
      </x:c>
      <x:c r="R77" s="44"/>
    </x:row>
    <x:row r="78">
      <x:c r="F78" s="18"/>
      <x:c r="G78" s="23"/>
      <x:c r="H78" s="23"/>
      <x:c r="I78" t="str">
        <x:f>IFERROR(H78/G78,"")</x:f>
      </x:c>
      <x:c r="J78" s="23"/>
      <x:c r="K78" s="23" t="str">
        <x:f>IF(OR(I78="",J78=""),"",I78*J78)</x:f>
      </x:c>
      <x:c r="L78" s="23" t="str">
        <x:f>IF(K78="","",K78-H78)</x:f>
      </x:c>
      <x:c r="M78" s="19" t="str">
        <x:f>IFERROR(L78/H78,"")</x:f>
      </x:c>
      <x:c r="N78" s="18"/>
      <x:c r="O78" s="23"/>
      <x:c r="P78" s="23" t="str">
        <x:f>IF(OR(I78="",O78=""),"",I78*O78)</x:f>
      </x:c>
      <x:c r="Q78" s="23" t="str">
        <x:f>IF(P78="","",P78-H78)</x:f>
      </x:c>
      <x:c r="R78" s="44"/>
    </x:row>
    <x:row r="79">
      <x:c r="F79" s="18"/>
      <x:c r="G79" s="23"/>
      <x:c r="H79" s="23"/>
      <x:c r="I79" t="str">
        <x:f>IFERROR(H79/G79,"")</x:f>
      </x:c>
      <x:c r="J79" s="23"/>
      <x:c r="K79" s="23" t="str">
        <x:f>IF(OR(I79="",J79=""),"",I79*J79)</x:f>
      </x:c>
      <x:c r="L79" s="23" t="str">
        <x:f>IF(K79="","",K79-H79)</x:f>
      </x:c>
      <x:c r="M79" s="19" t="str">
        <x:f>IFERROR(L79/H79,"")</x:f>
      </x:c>
      <x:c r="N79" s="18"/>
      <x:c r="O79" s="23"/>
      <x:c r="P79" s="23" t="str">
        <x:f>IF(OR(I79="",O79=""),"",I79*O79)</x:f>
      </x:c>
      <x:c r="Q79" s="23" t="str">
        <x:f>IF(P79="","",P79-H79)</x:f>
      </x:c>
      <x:c r="R79" s="44"/>
    </x:row>
    <x:row r="80">
      <x:c r="F80" s="18"/>
      <x:c r="G80" s="23"/>
      <x:c r="H80" s="23"/>
      <x:c r="I80" t="str">
        <x:f>IFERROR(H80/G80,"")</x:f>
      </x:c>
      <x:c r="J80" s="23"/>
      <x:c r="K80" s="23" t="str">
        <x:f>IF(OR(I80="",J80=""),"",I80*J80)</x:f>
      </x:c>
      <x:c r="L80" s="23" t="str">
        <x:f>IF(K80="","",K80-H80)</x:f>
      </x:c>
      <x:c r="M80" s="19" t="str">
        <x:f>IFERROR(L80/H80,"")</x:f>
      </x:c>
      <x:c r="N80" s="18"/>
      <x:c r="O80" s="23"/>
      <x:c r="P80" s="23" t="str">
        <x:f>IF(OR(I80="",O80=""),"",I80*O80)</x:f>
      </x:c>
      <x:c r="Q80" s="23" t="str">
        <x:f>IF(P80="","",P80-H80)</x:f>
      </x:c>
      <x:c r="R80" s="44"/>
    </x:row>
    <x:row r="81">
      <x:c r="F81" s="18"/>
      <x:c r="G81" s="23"/>
      <x:c r="H81" s="23"/>
      <x:c r="I81" t="str">
        <x:f>IFERROR(H81/G81,"")</x:f>
      </x:c>
      <x:c r="J81" s="23"/>
      <x:c r="K81" s="23" t="str">
        <x:f>IF(OR(I81="",J81=""),"",I81*J81)</x:f>
      </x:c>
      <x:c r="L81" s="23" t="str">
        <x:f>IF(K81="","",K81-H81)</x:f>
      </x:c>
      <x:c r="M81" s="19" t="str">
        <x:f>IFERROR(L81/H81,"")</x:f>
      </x:c>
      <x:c r="N81" s="18"/>
      <x:c r="O81" s="23"/>
      <x:c r="P81" s="23" t="str">
        <x:f>IF(OR(I81="",O81=""),"",I81*O81)</x:f>
      </x:c>
      <x:c r="Q81" s="23" t="str">
        <x:f>IF(P81="","",P81-H81)</x:f>
      </x:c>
      <x:c r="R81" s="44"/>
    </x:row>
    <x:row r="82">
      <x:c r="F82" s="18"/>
      <x:c r="G82" s="23"/>
      <x:c r="H82" s="23"/>
      <x:c r="I82" t="str">
        <x:f>IFERROR(H82/G82,"")</x:f>
      </x:c>
      <x:c r="J82" s="23"/>
      <x:c r="K82" s="23" t="str">
        <x:f>IF(OR(I82="",J82=""),"",I82*J82)</x:f>
      </x:c>
      <x:c r="L82" s="23" t="str">
        <x:f>IF(K82="","",K82-H82)</x:f>
      </x:c>
      <x:c r="M82" s="19" t="str">
        <x:f>IFERROR(L82/H82,"")</x:f>
      </x:c>
      <x:c r="N82" s="18"/>
      <x:c r="O82" s="23"/>
      <x:c r="P82" s="23" t="str">
        <x:f>IF(OR(I82="",O82=""),"",I82*O82)</x:f>
      </x:c>
      <x:c r="Q82" s="23" t="str">
        <x:f>IF(P82="","",P82-H82)</x:f>
      </x:c>
      <x:c r="R82" s="44"/>
    </x:row>
    <x:row r="83">
      <x:c r="F83" s="18"/>
      <x:c r="G83" s="23"/>
      <x:c r="H83" s="23"/>
      <x:c r="I83" t="str">
        <x:f>IFERROR(H83/G83,"")</x:f>
      </x:c>
      <x:c r="J83" s="23"/>
      <x:c r="K83" s="23" t="str">
        <x:f>IF(OR(I83="",J83=""),"",I83*J83)</x:f>
      </x:c>
      <x:c r="L83" s="23" t="str">
        <x:f>IF(K83="","",K83-H83)</x:f>
      </x:c>
      <x:c r="M83" s="19" t="str">
        <x:f>IFERROR(L83/H83,"")</x:f>
      </x:c>
      <x:c r="N83" s="18"/>
      <x:c r="O83" s="23"/>
      <x:c r="P83" s="23" t="str">
        <x:f>IF(OR(I83="",O83=""),"",I83*O83)</x:f>
      </x:c>
      <x:c r="Q83" s="23" t="str">
        <x:f>IF(P83="","",P83-H83)</x:f>
      </x:c>
      <x:c r="R83" s="44"/>
    </x:row>
    <x:row r="84">
      <x:c r="F84" s="18"/>
      <x:c r="G84" s="23"/>
      <x:c r="H84" s="23"/>
      <x:c r="I84" t="str">
        <x:f>IFERROR(H84/G84,"")</x:f>
      </x:c>
      <x:c r="J84" s="23"/>
      <x:c r="K84" s="23" t="str">
        <x:f>IF(OR(I84="",J84=""),"",I84*J84)</x:f>
      </x:c>
      <x:c r="L84" s="23" t="str">
        <x:f>IF(K84="","",K84-H84)</x:f>
      </x:c>
      <x:c r="M84" s="19" t="str">
        <x:f>IFERROR(L84/H84,"")</x:f>
      </x:c>
      <x:c r="N84" s="18"/>
      <x:c r="O84" s="23"/>
      <x:c r="P84" s="23" t="str">
        <x:f>IF(OR(I84="",O84=""),"",I84*O84)</x:f>
      </x:c>
      <x:c r="Q84" s="23" t="str">
        <x:f>IF(P84="","",P84-H84)</x:f>
      </x:c>
      <x:c r="R84" s="44"/>
    </x:row>
    <x:row r="85">
      <x:c r="F85" s="18"/>
      <x:c r="G85" s="23"/>
      <x:c r="H85" s="23"/>
      <x:c r="I85" t="str">
        <x:f>IFERROR(H85/G85,"")</x:f>
      </x:c>
      <x:c r="J85" s="23"/>
      <x:c r="K85" s="23" t="str">
        <x:f>IF(OR(I85="",J85=""),"",I85*J85)</x:f>
      </x:c>
      <x:c r="L85" s="23" t="str">
        <x:f>IF(K85="","",K85-H85)</x:f>
      </x:c>
      <x:c r="M85" s="19" t="str">
        <x:f>IFERROR(L85/H85,"")</x:f>
      </x:c>
      <x:c r="N85" s="18"/>
      <x:c r="O85" s="23"/>
      <x:c r="P85" s="23" t="str">
        <x:f>IF(OR(I85="",O85=""),"",I85*O85)</x:f>
      </x:c>
      <x:c r="Q85" s="23" t="str">
        <x:f>IF(P85="","",P85-H85)</x:f>
      </x:c>
      <x:c r="R85" s="44"/>
    </x:row>
    <x:row r="86">
      <x:c r="F86" s="18"/>
      <x:c r="G86" s="23"/>
      <x:c r="H86" s="23"/>
      <x:c r="I86" t="str">
        <x:f>IFERROR(H86/G86,"")</x:f>
      </x:c>
      <x:c r="J86" s="23"/>
      <x:c r="K86" s="23" t="str">
        <x:f>IF(OR(I86="",J86=""),"",I86*J86)</x:f>
      </x:c>
      <x:c r="L86" s="23" t="str">
        <x:f>IF(K86="","",K86-H86)</x:f>
      </x:c>
      <x:c r="M86" s="19" t="str">
        <x:f>IFERROR(L86/H86,"")</x:f>
      </x:c>
      <x:c r="N86" s="18"/>
      <x:c r="O86" s="23"/>
      <x:c r="P86" s="23" t="str">
        <x:f>IF(OR(I86="",O86=""),"",I86*O86)</x:f>
      </x:c>
      <x:c r="Q86" s="23" t="str">
        <x:f>IF(P86="","",P86-H86)</x:f>
      </x:c>
      <x:c r="R86" s="44"/>
    </x:row>
    <x:row r="87">
      <x:c r="F87" s="18"/>
      <x:c r="G87" s="23"/>
      <x:c r="H87" s="23"/>
      <x:c r="I87" t="str">
        <x:f>IFERROR(H87/G87,"")</x:f>
      </x:c>
      <x:c r="J87" s="23"/>
      <x:c r="K87" s="23" t="str">
        <x:f>IF(OR(I87="",J87=""),"",I87*J87)</x:f>
      </x:c>
      <x:c r="L87" s="23" t="str">
        <x:f>IF(K87="","",K87-H87)</x:f>
      </x:c>
      <x:c r="M87" s="19" t="str">
        <x:f>IFERROR(L87/H87,"")</x:f>
      </x:c>
      <x:c r="N87" s="18"/>
      <x:c r="O87" s="23"/>
      <x:c r="P87" s="23" t="str">
        <x:f>IF(OR(I87="",O87=""),"",I87*O87)</x:f>
      </x:c>
      <x:c r="Q87" s="23" t="str">
        <x:f>IF(P87="","",P87-H87)</x:f>
      </x:c>
      <x:c r="R87" s="44"/>
    </x:row>
    <x:row r="88">
      <x:c r="F88" s="18"/>
      <x:c r="G88" s="23"/>
      <x:c r="H88" s="23"/>
      <x:c r="I88" t="str">
        <x:f>IFERROR(H88/G88,"")</x:f>
      </x:c>
      <x:c r="J88" s="23"/>
      <x:c r="K88" s="23" t="str">
        <x:f>IF(OR(I88="",J88=""),"",I88*J88)</x:f>
      </x:c>
      <x:c r="L88" s="23" t="str">
        <x:f>IF(K88="","",K88-H88)</x:f>
      </x:c>
      <x:c r="M88" s="19" t="str">
        <x:f>IFERROR(L88/H88,"")</x:f>
      </x:c>
      <x:c r="N88" s="18"/>
      <x:c r="O88" s="23"/>
      <x:c r="P88" s="23" t="str">
        <x:f>IF(OR(I88="",O88=""),"",I88*O88)</x:f>
      </x:c>
      <x:c r="Q88" s="23" t="str">
        <x:f>IF(P88="","",P88-H88)</x:f>
      </x:c>
      <x:c r="R88" s="44"/>
    </x:row>
    <x:row r="89">
      <x:c r="F89" s="18"/>
      <x:c r="G89" s="23"/>
      <x:c r="H89" s="23"/>
      <x:c r="I89" t="str">
        <x:f>IFERROR(H89/G89,"")</x:f>
      </x:c>
      <x:c r="J89" s="23"/>
      <x:c r="K89" s="23" t="str">
        <x:f>IF(OR(I89="",J89=""),"",I89*J89)</x:f>
      </x:c>
      <x:c r="L89" s="23" t="str">
        <x:f>IF(K89="","",K89-H89)</x:f>
      </x:c>
      <x:c r="M89" s="19" t="str">
        <x:f>IFERROR(L89/H89,"")</x:f>
      </x:c>
      <x:c r="N89" s="18"/>
      <x:c r="O89" s="23"/>
      <x:c r="P89" s="23" t="str">
        <x:f>IF(OR(I89="",O89=""),"",I89*O89)</x:f>
      </x:c>
      <x:c r="Q89" s="23" t="str">
        <x:f>IF(P89="","",P89-H89)</x:f>
      </x:c>
      <x:c r="R89" s="44"/>
    </x:row>
    <x:row r="90">
      <x:c r="F90" s="18"/>
      <x:c r="G90" s="23"/>
      <x:c r="H90" s="23"/>
      <x:c r="I90" t="str">
        <x:f>IFERROR(H90/G90,"")</x:f>
      </x:c>
      <x:c r="J90" s="23"/>
      <x:c r="K90" s="23" t="str">
        <x:f>IF(OR(I90="",J90=""),"",I90*J90)</x:f>
      </x:c>
      <x:c r="L90" s="23" t="str">
        <x:f>IF(K90="","",K90-H90)</x:f>
      </x:c>
      <x:c r="M90" s="19" t="str">
        <x:f>IFERROR(L90/H90,"")</x:f>
      </x:c>
      <x:c r="N90" s="18"/>
      <x:c r="O90" s="23"/>
      <x:c r="P90" s="23" t="str">
        <x:f>IF(OR(I90="",O90=""),"",I90*O90)</x:f>
      </x:c>
      <x:c r="Q90" s="23" t="str">
        <x:f>IF(P90="","",P90-H90)</x:f>
      </x:c>
      <x:c r="R90" s="44"/>
    </x:row>
    <x:row r="91">
      <x:c r="F91" s="18"/>
      <x:c r="G91" s="23"/>
      <x:c r="H91" s="23"/>
      <x:c r="I91" t="str">
        <x:f>IFERROR(H91/G91,"")</x:f>
      </x:c>
      <x:c r="J91" s="23"/>
      <x:c r="K91" s="23" t="str">
        <x:f>IF(OR(I91="",J91=""),"",I91*J91)</x:f>
      </x:c>
      <x:c r="L91" s="23" t="str">
        <x:f>IF(K91="","",K91-H91)</x:f>
      </x:c>
      <x:c r="M91" s="19" t="str">
        <x:f>IFERROR(L91/H91,"")</x:f>
      </x:c>
      <x:c r="N91" s="18"/>
      <x:c r="O91" s="23"/>
      <x:c r="P91" s="23" t="str">
        <x:f>IF(OR(I91="",O91=""),"",I91*O91)</x:f>
      </x:c>
      <x:c r="Q91" s="23" t="str">
        <x:f>IF(P91="","",P91-H91)</x:f>
      </x:c>
      <x:c r="R91" s="44"/>
    </x:row>
    <x:row r="92">
      <x:c r="F92" s="18"/>
      <x:c r="G92" s="23"/>
      <x:c r="H92" s="23"/>
      <x:c r="I92" t="str">
        <x:f>IFERROR(H92/G92,"")</x:f>
      </x:c>
      <x:c r="J92" s="23"/>
      <x:c r="K92" s="23" t="str">
        <x:f>IF(OR(I92="",J92=""),"",I92*J92)</x:f>
      </x:c>
      <x:c r="L92" s="23" t="str">
        <x:f>IF(K92="","",K92-H92)</x:f>
      </x:c>
      <x:c r="M92" s="19" t="str">
        <x:f>IFERROR(L92/H92,"")</x:f>
      </x:c>
      <x:c r="N92" s="18"/>
      <x:c r="O92" s="23"/>
      <x:c r="P92" s="23" t="str">
        <x:f>IF(OR(I92="",O92=""),"",I92*O92)</x:f>
      </x:c>
      <x:c r="Q92" s="23" t="str">
        <x:f>IF(P92="","",P92-H92)</x:f>
      </x:c>
      <x:c r="R92" s="44"/>
    </x:row>
    <x:row r="93">
      <x:c r="F93" s="18"/>
      <x:c r="G93" s="23"/>
      <x:c r="H93" s="23"/>
      <x:c r="I93" t="str">
        <x:f>IFERROR(H93/G93,"")</x:f>
      </x:c>
      <x:c r="J93" s="23"/>
      <x:c r="K93" s="23" t="str">
        <x:f>IF(OR(I93="",J93=""),"",I93*J93)</x:f>
      </x:c>
      <x:c r="L93" s="23" t="str">
        <x:f>IF(K93="","",K93-H93)</x:f>
      </x:c>
      <x:c r="M93" s="19" t="str">
        <x:f>IFERROR(L93/H93,"")</x:f>
      </x:c>
      <x:c r="N93" s="18"/>
      <x:c r="O93" s="23"/>
      <x:c r="P93" s="23" t="str">
        <x:f>IF(OR(I93="",O93=""),"",I93*O93)</x:f>
      </x:c>
      <x:c r="Q93" s="23" t="str">
        <x:f>IF(P93="","",P93-H93)</x:f>
      </x:c>
      <x:c r="R93" s="44"/>
    </x:row>
    <x:row r="94">
      <x:c r="F94" s="18"/>
      <x:c r="G94" s="23"/>
      <x:c r="H94" s="23"/>
      <x:c r="I94" t="str">
        <x:f>IFERROR(H94/G94,"")</x:f>
      </x:c>
      <x:c r="J94" s="23"/>
      <x:c r="K94" s="23" t="str">
        <x:f>IF(OR(I94="",J94=""),"",I94*J94)</x:f>
      </x:c>
      <x:c r="L94" s="23" t="str">
        <x:f>IF(K94="","",K94-H94)</x:f>
      </x:c>
      <x:c r="M94" s="19" t="str">
        <x:f>IFERROR(L94/H94,"")</x:f>
      </x:c>
      <x:c r="N94" s="18"/>
      <x:c r="O94" s="23"/>
      <x:c r="P94" s="23" t="str">
        <x:f>IF(OR(I94="",O94=""),"",I94*O94)</x:f>
      </x:c>
      <x:c r="Q94" s="23" t="str">
        <x:f>IF(P94="","",P94-H94)</x:f>
      </x:c>
      <x:c r="R94" s="44"/>
    </x:row>
    <x:row r="95">
      <x:c r="F95" s="18"/>
      <x:c r="G95" s="23"/>
      <x:c r="H95" s="23"/>
      <x:c r="I95" t="str">
        <x:f>IFERROR(H95/G95,"")</x:f>
      </x:c>
      <x:c r="J95" s="23"/>
      <x:c r="K95" s="23" t="str">
        <x:f>IF(OR(I95="",J95=""),"",I95*J95)</x:f>
      </x:c>
      <x:c r="L95" s="23" t="str">
        <x:f>IF(K95="","",K95-H95)</x:f>
      </x:c>
      <x:c r="M95" s="19" t="str">
        <x:f>IFERROR(L95/H95,"")</x:f>
      </x:c>
      <x:c r="N95" s="18"/>
      <x:c r="O95" s="23"/>
      <x:c r="P95" s="23" t="str">
        <x:f>IF(OR(I95="",O95=""),"",I95*O95)</x:f>
      </x:c>
      <x:c r="Q95" s="23" t="str">
        <x:f>IF(P95="","",P95-H95)</x:f>
      </x:c>
      <x:c r="R95" s="44"/>
    </x:row>
    <x:row r="96">
      <x:c r="F96" s="18"/>
      <x:c r="G96" s="23"/>
      <x:c r="H96" s="23"/>
      <x:c r="I96" t="str">
        <x:f>IFERROR(H96/G96,"")</x:f>
      </x:c>
      <x:c r="J96" s="23"/>
      <x:c r="K96" s="23" t="str">
        <x:f>IF(OR(I96="",J96=""),"",I96*J96)</x:f>
      </x:c>
      <x:c r="L96" s="23" t="str">
        <x:f>IF(K96="","",K96-H96)</x:f>
      </x:c>
      <x:c r="M96" s="19" t="str">
        <x:f>IFERROR(L96/H96,"")</x:f>
      </x:c>
      <x:c r="N96" s="18"/>
      <x:c r="O96" s="23"/>
      <x:c r="P96" s="23" t="str">
        <x:f>IF(OR(I96="",O96=""),"",I96*O96)</x:f>
      </x:c>
      <x:c r="Q96" s="23" t="str">
        <x:f>IF(P96="","",P96-H96)</x:f>
      </x:c>
      <x:c r="R96" s="44"/>
    </x:row>
    <x:row r="97">
      <x:c r="F97" s="18"/>
      <x:c r="G97" s="23"/>
      <x:c r="H97" s="23"/>
      <x:c r="I97" t="str">
        <x:f>IFERROR(H97/G97,"")</x:f>
      </x:c>
      <x:c r="J97" s="23"/>
      <x:c r="K97" s="23" t="str">
        <x:f>IF(OR(I97="",J97=""),"",I97*J97)</x:f>
      </x:c>
      <x:c r="L97" s="23" t="str">
        <x:f>IF(K97="","",K97-H97)</x:f>
      </x:c>
      <x:c r="M97" s="19" t="str">
        <x:f>IFERROR(L97/H97,"")</x:f>
      </x:c>
      <x:c r="N97" s="18"/>
      <x:c r="O97" s="23"/>
      <x:c r="P97" s="23" t="str">
        <x:f>IF(OR(I97="",O97=""),"",I97*O97)</x:f>
      </x:c>
      <x:c r="Q97" s="23" t="str">
        <x:f>IF(P97="","",P97-H97)</x:f>
      </x:c>
      <x:c r="R97" s="44"/>
    </x:row>
    <x:row r="98">
      <x:c r="F98" s="18"/>
      <x:c r="G98" s="23"/>
      <x:c r="H98" s="23"/>
      <x:c r="I98" t="str">
        <x:f>IFERROR(H98/G98,"")</x:f>
      </x:c>
      <x:c r="J98" s="23"/>
      <x:c r="K98" s="23" t="str">
        <x:f>IF(OR(I98="",J98=""),"",I98*J98)</x:f>
      </x:c>
      <x:c r="L98" s="23" t="str">
        <x:f>IF(K98="","",K98-H98)</x:f>
      </x:c>
      <x:c r="M98" s="19" t="str">
        <x:f>IFERROR(L98/H98,"")</x:f>
      </x:c>
      <x:c r="N98" s="18"/>
      <x:c r="O98" s="23"/>
      <x:c r="P98" s="23" t="str">
        <x:f>IF(OR(I98="",O98=""),"",I98*O98)</x:f>
      </x:c>
      <x:c r="Q98" s="23" t="str">
        <x:f>IF(P98="","",P98-H98)</x:f>
      </x:c>
      <x:c r="R98" s="44"/>
    </x:row>
    <x:row r="99">
      <x:c r="F99" s="18"/>
      <x:c r="G99" s="23"/>
      <x:c r="H99" s="23"/>
      <x:c r="I99" t="str">
        <x:f>IFERROR(H99/G99,"")</x:f>
      </x:c>
      <x:c r="J99" s="23"/>
      <x:c r="K99" s="23" t="str">
        <x:f>IF(OR(I99="",J99=""),"",I99*J99)</x:f>
      </x:c>
      <x:c r="L99" s="23" t="str">
        <x:f>IF(K99="","",K99-H99)</x:f>
      </x:c>
      <x:c r="M99" s="19" t="str">
        <x:f>IFERROR(L99/H99,"")</x:f>
      </x:c>
      <x:c r="N99" s="18"/>
      <x:c r="O99" s="23"/>
      <x:c r="P99" s="23" t="str">
        <x:f>IF(OR(I99="",O99=""),"",I99*O99)</x:f>
      </x:c>
      <x:c r="Q99" s="23" t="str">
        <x:f>IF(P99="","",P99-H99)</x:f>
      </x:c>
      <x:c r="R99" s="44"/>
    </x:row>
    <x:row r="100">
      <x:c r="F100" s="18"/>
      <x:c r="G100" s="23"/>
      <x:c r="H100" s="23"/>
      <x:c r="I100" t="str">
        <x:f>IFERROR(H100/G100,"")</x:f>
      </x:c>
      <x:c r="J100" s="23"/>
      <x:c r="K100" s="23" t="str">
        <x:f>IF(OR(I100="",J100=""),"",I100*J100)</x:f>
      </x:c>
      <x:c r="L100" s="23" t="str">
        <x:f>IF(K100="","",K100-H100)</x:f>
      </x:c>
      <x:c r="M100" s="19" t="str">
        <x:f>IFERROR(L100/H100,"")</x:f>
      </x:c>
      <x:c r="N100" s="18"/>
      <x:c r="O100" s="23"/>
      <x:c r="P100" s="23" t="str">
        <x:f>IF(OR(I100="",O100=""),"",I100*O100)</x:f>
      </x:c>
      <x:c r="Q100" s="23" t="str">
        <x:f>IF(P100="","",P100-H100)</x:f>
      </x:c>
      <x:c r="R100" s="44"/>
    </x:row>
    <x:row r="101">
      <x:c r="F101" s="18"/>
      <x:c r="G101" s="23"/>
      <x:c r="H101" s="23"/>
      <x:c r="I101" t="str">
        <x:f>IFERROR(H101/G101,"")</x:f>
      </x:c>
      <x:c r="J101" s="23"/>
      <x:c r="K101" s="23" t="str">
        <x:f>IF(OR(I101="",J101=""),"",I101*J101)</x:f>
      </x:c>
      <x:c r="L101" s="23" t="str">
        <x:f>IF(K101="","",K101-H101)</x:f>
      </x:c>
      <x:c r="M101" s="19" t="str">
        <x:f>IFERROR(L101/H101,"")</x:f>
      </x:c>
      <x:c r="N101" s="18"/>
      <x:c r="O101" s="23"/>
      <x:c r="P101" s="23" t="str">
        <x:f>IF(OR(I101="",O101=""),"",I101*O101)</x:f>
      </x:c>
      <x:c r="Q101" s="23" t="str">
        <x:f>IF(P101="","",P101-H101)</x:f>
      </x:c>
      <x:c r="R101" s="44"/>
    </x:row>
    <x:row r="102">
      <x:c r="F102" s="18"/>
      <x:c r="G102" s="23"/>
      <x:c r="H102" s="23"/>
      <x:c r="I102" t="str">
        <x:f>IFERROR(H102/G102,"")</x:f>
      </x:c>
      <x:c r="J102" s="23"/>
      <x:c r="K102" s="23" t="str">
        <x:f>IF(OR(I102="",J102=""),"",I102*J102)</x:f>
      </x:c>
      <x:c r="L102" s="23" t="str">
        <x:f>IF(K102="","",K102-H102)</x:f>
      </x:c>
      <x:c r="M102" s="19" t="str">
        <x:f>IFERROR(L102/H102,"")</x:f>
      </x:c>
      <x:c r="N102" s="18"/>
      <x:c r="O102" s="23"/>
      <x:c r="P102" s="23" t="str">
        <x:f>IF(OR(I102="",O102=""),"",I102*O102)</x:f>
      </x:c>
      <x:c r="Q102" s="23" t="str">
        <x:f>IF(P102="","",P102-H102)</x:f>
      </x:c>
      <x:c r="R102" s="44"/>
    </x:row>
    <x:row r="103">
      <x:c r="F103" s="18"/>
      <x:c r="G103" s="23"/>
      <x:c r="H103" s="23"/>
      <x:c r="I103" t="str">
        <x:f>IFERROR(H103/G103,"")</x:f>
      </x:c>
      <x:c r="J103" s="23"/>
      <x:c r="K103" s="23" t="str">
        <x:f>IF(OR(I103="",J103=""),"",I103*J103)</x:f>
      </x:c>
      <x:c r="L103" s="23" t="str">
        <x:f>IF(K103="","",K103-H103)</x:f>
      </x:c>
      <x:c r="M103" s="19" t="str">
        <x:f>IFERROR(L103/H103,"")</x:f>
      </x:c>
      <x:c r="N103" s="18"/>
      <x:c r="O103" s="23"/>
      <x:c r="P103" s="23" t="str">
        <x:f>IF(OR(I103="",O103=""),"",I103*O103)</x:f>
      </x:c>
      <x:c r="Q103" s="23" t="str">
        <x:f>IF(P103="","",P103-H103)</x:f>
      </x:c>
      <x:c r="R103" s="44"/>
    </x:row>
    <x:row r="104">
      <x:c r="F104" s="18"/>
      <x:c r="G104" s="23"/>
      <x:c r="H104" s="23"/>
      <x:c r="I104" t="str">
        <x:f>IFERROR(H104/G104,"")</x:f>
      </x:c>
      <x:c r="J104" s="23"/>
      <x:c r="K104" s="23" t="str">
        <x:f>IF(OR(I104="",J104=""),"",I104*J104)</x:f>
      </x:c>
      <x:c r="L104" s="23" t="str">
        <x:f>IF(K104="","",K104-H104)</x:f>
      </x:c>
      <x:c r="M104" s="19" t="str">
        <x:f>IFERROR(L104/H104,"")</x:f>
      </x:c>
      <x:c r="N104" s="18"/>
      <x:c r="O104" s="23"/>
      <x:c r="P104" s="23" t="str">
        <x:f>IF(OR(I104="",O104=""),"",I104*O104)</x:f>
      </x:c>
      <x:c r="Q104" s="23" t="str">
        <x:f>IF(P104="","",P104-H104)</x:f>
      </x:c>
      <x:c r="R104" s="44"/>
    </x:row>
    <x:row r="105">
      <x:c r="F105" s="18"/>
      <x:c r="G105" s="23"/>
      <x:c r="H105" s="23"/>
      <x:c r="I105" t="str">
        <x:f>IFERROR(H105/G105,"")</x:f>
      </x:c>
      <x:c r="J105" s="23"/>
      <x:c r="K105" s="23" t="str">
        <x:f>IF(OR(I105="",J105=""),"",I105*J105)</x:f>
      </x:c>
      <x:c r="L105" s="23" t="str">
        <x:f>IF(K105="","",K105-H105)</x:f>
      </x:c>
      <x:c r="M105" s="19" t="str">
        <x:f>IFERROR(L105/H105,"")</x:f>
      </x:c>
      <x:c r="N105" s="18"/>
      <x:c r="O105" s="23"/>
      <x:c r="P105" s="23" t="str">
        <x:f>IF(OR(I105="",O105=""),"",I105*O105)</x:f>
      </x:c>
      <x:c r="Q105" s="23" t="str">
        <x:f>IF(P105="","",P105-H105)</x:f>
      </x:c>
      <x:c r="R105" s="44"/>
    </x:row>
    <x:row r="106">
      <x:c r="F106" s="18"/>
      <x:c r="G106" s="23"/>
      <x:c r="H106" s="23"/>
      <x:c r="I106" t="str">
        <x:f>IFERROR(H106/G106,"")</x:f>
      </x:c>
      <x:c r="J106" s="23"/>
      <x:c r="K106" s="23" t="str">
        <x:f>IF(OR(I106="",J106=""),"",I106*J106)</x:f>
      </x:c>
      <x:c r="L106" s="23" t="str">
        <x:f>IF(K106="","",K106-H106)</x:f>
      </x:c>
      <x:c r="M106" s="19" t="str">
        <x:f>IFERROR(L106/H106,"")</x:f>
      </x:c>
      <x:c r="N106" s="18"/>
      <x:c r="O106" s="23"/>
      <x:c r="P106" s="23" t="str">
        <x:f>IF(OR(I106="",O106=""),"",I106*O106)</x:f>
      </x:c>
      <x:c r="Q106" s="23" t="str">
        <x:f>IF(P106="","",P106-H106)</x:f>
      </x:c>
      <x:c r="R106" s="44"/>
    </x:row>
    <x:row r="107">
      <x:c r="F107" s="18"/>
      <x:c r="G107" s="23"/>
      <x:c r="H107" s="23"/>
      <x:c r="I107" t="str">
        <x:f>IFERROR(H107/G107,"")</x:f>
      </x:c>
      <x:c r="J107" s="23"/>
      <x:c r="K107" s="23" t="str">
        <x:f>IF(OR(I107="",J107=""),"",I107*J107)</x:f>
      </x:c>
      <x:c r="L107" s="23" t="str">
        <x:f>IF(K107="","",K107-H107)</x:f>
      </x:c>
      <x:c r="M107" s="19" t="str">
        <x:f>IFERROR(L107/H107,"")</x:f>
      </x:c>
      <x:c r="N107" s="18"/>
      <x:c r="O107" s="23"/>
      <x:c r="P107" s="23" t="str">
        <x:f>IF(OR(I107="",O107=""),"",I107*O107)</x:f>
      </x:c>
      <x:c r="Q107" s="23" t="str">
        <x:f>IF(P107="","",P107-H107)</x:f>
      </x:c>
      <x:c r="R107" s="44"/>
    </x:row>
    <x:row r="108">
      <x:c r="F108" s="18"/>
      <x:c r="G108" s="23"/>
      <x:c r="H108" s="23"/>
      <x:c r="I108" t="str">
        <x:f>IFERROR(H108/G108,"")</x:f>
      </x:c>
      <x:c r="J108" s="23"/>
      <x:c r="K108" s="23" t="str">
        <x:f>IF(OR(I108="",J108=""),"",I108*J108)</x:f>
      </x:c>
      <x:c r="L108" s="23" t="str">
        <x:f>IF(K108="","",K108-H108)</x:f>
      </x:c>
      <x:c r="M108" s="19" t="str">
        <x:f>IFERROR(L108/H108,"")</x:f>
      </x:c>
      <x:c r="N108" s="18"/>
      <x:c r="O108" s="23"/>
      <x:c r="P108" s="23" t="str">
        <x:f>IF(OR(I108="",O108=""),"",I108*O108)</x:f>
      </x:c>
      <x:c r="Q108" s="23" t="str">
        <x:f>IF(P108="","",P108-H108)</x:f>
      </x:c>
      <x:c r="R108" s="44"/>
    </x:row>
    <x:row r="109">
      <x:c r="F109" s="18"/>
      <x:c r="G109" s="23"/>
      <x:c r="H109" s="23"/>
      <x:c r="I109" t="str">
        <x:f>IFERROR(H109/G109,"")</x:f>
      </x:c>
      <x:c r="J109" s="23"/>
      <x:c r="K109" s="23" t="str">
        <x:f>IF(OR(I109="",J109=""),"",I109*J109)</x:f>
      </x:c>
      <x:c r="L109" s="23" t="str">
        <x:f>IF(K109="","",K109-H109)</x:f>
      </x:c>
      <x:c r="M109" s="19" t="str">
        <x:f>IFERROR(L109/H109,"")</x:f>
      </x:c>
      <x:c r="N109" s="18"/>
      <x:c r="O109" s="23"/>
      <x:c r="P109" s="23" t="str">
        <x:f>IF(OR(I109="",O109=""),"",I109*O109)</x:f>
      </x:c>
      <x:c r="Q109" s="23" t="str">
        <x:f>IF(P109="","",P109-H109)</x:f>
      </x:c>
      <x:c r="R109" s="44"/>
    </x:row>
    <x:row r="110">
      <x:c r="F110" s="18"/>
      <x:c r="G110" s="23"/>
      <x:c r="H110" s="23"/>
      <x:c r="I110" t="str">
        <x:f>IFERROR(H110/G110,"")</x:f>
      </x:c>
      <x:c r="J110" s="23"/>
      <x:c r="K110" s="23" t="str">
        <x:f>IF(OR(I110="",J110=""),"",I110*J110)</x:f>
      </x:c>
      <x:c r="L110" s="23" t="str">
        <x:f>IF(K110="","",K110-H110)</x:f>
      </x:c>
      <x:c r="M110" s="19" t="str">
        <x:f>IFERROR(L110/H110,"")</x:f>
      </x:c>
      <x:c r="N110" s="18"/>
      <x:c r="O110" s="23"/>
      <x:c r="P110" s="23" t="str">
        <x:f>IF(OR(I110="",O110=""),"",I110*O110)</x:f>
      </x:c>
      <x:c r="Q110" s="23" t="str">
        <x:f>IF(P110="","",P110-H110)</x:f>
      </x:c>
      <x:c r="R110" s="44"/>
    </x:row>
    <x:row r="111">
      <x:c r="F111" s="18"/>
      <x:c r="G111" s="23"/>
      <x:c r="H111" s="23"/>
      <x:c r="I111" t="str">
        <x:f>IFERROR(H111/G111,"")</x:f>
      </x:c>
      <x:c r="J111" s="23"/>
      <x:c r="K111" s="23" t="str">
        <x:f>IF(OR(I111="",J111=""),"",I111*J111)</x:f>
      </x:c>
      <x:c r="L111" s="23" t="str">
        <x:f>IF(K111="","",K111-H111)</x:f>
      </x:c>
      <x:c r="M111" s="19" t="str">
        <x:f>IFERROR(L111/H111,"")</x:f>
      </x:c>
      <x:c r="N111" s="18"/>
      <x:c r="O111" s="23"/>
      <x:c r="P111" s="23" t="str">
        <x:f>IF(OR(I111="",O111=""),"",I111*O111)</x:f>
      </x:c>
      <x:c r="Q111" s="23" t="str">
        <x:f>IF(P111="","",P111-H111)</x:f>
      </x:c>
      <x:c r="R111" s="44"/>
    </x:row>
    <x:row r="112">
      <x:c r="F112" s="18"/>
      <x:c r="G112" s="23"/>
      <x:c r="H112" s="23"/>
      <x:c r="I112" t="str">
        <x:f>IFERROR(H112/G112,"")</x:f>
      </x:c>
      <x:c r="J112" s="23"/>
      <x:c r="K112" s="23" t="str">
        <x:f>IF(OR(I112="",J112=""),"",I112*J112)</x:f>
      </x:c>
      <x:c r="L112" s="23" t="str">
        <x:f>IF(K112="","",K112-H112)</x:f>
      </x:c>
      <x:c r="M112" s="19" t="str">
        <x:f>IFERROR(L112/H112,"")</x:f>
      </x:c>
      <x:c r="N112" s="18"/>
      <x:c r="O112" s="23"/>
      <x:c r="P112" s="23" t="str">
        <x:f>IF(OR(I112="",O112=""),"",I112*O112)</x:f>
      </x:c>
      <x:c r="Q112" s="23" t="str">
        <x:f>IF(P112="","",P112-H112)</x:f>
      </x:c>
      <x:c r="R112" s="44"/>
    </x:row>
    <x:row r="113">
      <x:c r="F113" s="18"/>
      <x:c r="G113" s="23"/>
      <x:c r="H113" s="23"/>
      <x:c r="I113" t="str">
        <x:f>IFERROR(H113/G113,"")</x:f>
      </x:c>
      <x:c r="J113" s="23"/>
      <x:c r="K113" s="23" t="str">
        <x:f>IF(OR(I113="",J113=""),"",I113*J113)</x:f>
      </x:c>
      <x:c r="L113" s="23" t="str">
        <x:f>IF(K113="","",K113-H113)</x:f>
      </x:c>
      <x:c r="M113" s="19" t="str">
        <x:f>IFERROR(L113/H113,"")</x:f>
      </x:c>
      <x:c r="N113" s="18"/>
      <x:c r="O113" s="23"/>
      <x:c r="P113" s="23" t="str">
        <x:f>IF(OR(I113="",O113=""),"",I113*O113)</x:f>
      </x:c>
      <x:c r="Q113" s="23" t="str">
        <x:f>IF(P113="","",P113-H113)</x:f>
      </x:c>
      <x:c r="R113" s="44"/>
    </x:row>
    <x:row r="114">
      <x:c r="F114" s="18"/>
      <x:c r="G114" s="23"/>
      <x:c r="H114" s="23"/>
      <x:c r="I114" t="str">
        <x:f>IFERROR(H114/G114,"")</x:f>
      </x:c>
      <x:c r="J114" s="23"/>
      <x:c r="K114" s="23" t="str">
        <x:f>IF(OR(I114="",J114=""),"",I114*J114)</x:f>
      </x:c>
      <x:c r="L114" s="23" t="str">
        <x:f>IF(K114="","",K114-H114)</x:f>
      </x:c>
      <x:c r="M114" s="19" t="str">
        <x:f>IFERROR(L114/H114,"")</x:f>
      </x:c>
      <x:c r="N114" s="18"/>
      <x:c r="O114" s="23"/>
      <x:c r="P114" s="23" t="str">
        <x:f>IF(OR(I114="",O114=""),"",I114*O114)</x:f>
      </x:c>
      <x:c r="Q114" s="23" t="str">
        <x:f>IF(P114="","",P114-H114)</x:f>
      </x:c>
      <x:c r="R114" s="44"/>
    </x:row>
    <x:row r="115">
      <x:c r="F115" s="18"/>
      <x:c r="G115" s="23"/>
      <x:c r="H115" s="23"/>
      <x:c r="I115" t="str">
        <x:f>IFERROR(H115/G115,"")</x:f>
      </x:c>
      <x:c r="J115" s="23"/>
      <x:c r="K115" s="23" t="str">
        <x:f>IF(OR(I115="",J115=""),"",I115*J115)</x:f>
      </x:c>
      <x:c r="L115" s="23" t="str">
        <x:f>IF(K115="","",K115-H115)</x:f>
      </x:c>
      <x:c r="M115" s="19" t="str">
        <x:f>IFERROR(L115/H115,"")</x:f>
      </x:c>
      <x:c r="N115" s="18"/>
      <x:c r="O115" s="23"/>
      <x:c r="P115" s="23" t="str">
        <x:f>IF(OR(I115="",O115=""),"",I115*O115)</x:f>
      </x:c>
      <x:c r="Q115" s="23" t="str">
        <x:f>IF(P115="","",P115-H115)</x:f>
      </x:c>
      <x:c r="R115" s="44"/>
    </x:row>
    <x:row r="116">
      <x:c r="F116" s="18"/>
      <x:c r="G116" s="23"/>
      <x:c r="H116" s="23"/>
      <x:c r="I116" t="str">
        <x:f>IFERROR(H116/G116,"")</x:f>
      </x:c>
      <x:c r="J116" s="23"/>
      <x:c r="K116" s="23" t="str">
        <x:f>IF(OR(I116="",J116=""),"",I116*J116)</x:f>
      </x:c>
      <x:c r="L116" s="23" t="str">
        <x:f>IF(K116="","",K116-H116)</x:f>
      </x:c>
      <x:c r="M116" s="19" t="str">
        <x:f>IFERROR(L116/H116,"")</x:f>
      </x:c>
      <x:c r="N116" s="18"/>
      <x:c r="O116" s="23"/>
      <x:c r="P116" s="23" t="str">
        <x:f>IF(OR(I116="",O116=""),"",I116*O116)</x:f>
      </x:c>
      <x:c r="Q116" s="23" t="str">
        <x:f>IF(P116="","",P116-H116)</x:f>
      </x:c>
      <x:c r="R116" s="44"/>
    </x:row>
    <x:row r="117">
      <x:c r="F117" s="18"/>
      <x:c r="G117" s="23"/>
      <x:c r="H117" s="23"/>
      <x:c r="I117" t="str">
        <x:f>IFERROR(H117/G117,"")</x:f>
      </x:c>
      <x:c r="J117" s="23"/>
      <x:c r="K117" s="23" t="str">
        <x:f>IF(OR(I117="",J117=""),"",I117*J117)</x:f>
      </x:c>
      <x:c r="L117" s="23" t="str">
        <x:f>IF(K117="","",K117-H117)</x:f>
      </x:c>
      <x:c r="M117" s="19" t="str">
        <x:f>IFERROR(L117/H117,"")</x:f>
      </x:c>
      <x:c r="N117" s="18"/>
      <x:c r="O117" s="23"/>
      <x:c r="P117" s="23" t="str">
        <x:f>IF(OR(I117="",O117=""),"",I117*O117)</x:f>
      </x:c>
      <x:c r="Q117" s="23" t="str">
        <x:f>IF(P117="","",P117-H117)</x:f>
      </x:c>
      <x:c r="R117" s="44"/>
    </x:row>
    <x:row r="118">
      <x:c r="F118" s="18"/>
      <x:c r="G118" s="23"/>
      <x:c r="H118" s="23"/>
      <x:c r="I118" t="str">
        <x:f>IFERROR(H118/G118,"")</x:f>
      </x:c>
      <x:c r="J118" s="23"/>
      <x:c r="K118" s="23" t="str">
        <x:f>IF(OR(I118="",J118=""),"",I118*J118)</x:f>
      </x:c>
      <x:c r="L118" s="23" t="str">
        <x:f>IF(K118="","",K118-H118)</x:f>
      </x:c>
      <x:c r="M118" s="19" t="str">
        <x:f>IFERROR(L118/H118,"")</x:f>
      </x:c>
      <x:c r="N118" s="18"/>
      <x:c r="O118" s="23"/>
      <x:c r="P118" s="23" t="str">
        <x:f>IF(OR(I118="",O118=""),"",I118*O118)</x:f>
      </x:c>
      <x:c r="Q118" s="23" t="str">
        <x:f>IF(P118="","",P118-H118)</x:f>
      </x:c>
      <x:c r="R118" s="44"/>
    </x:row>
    <x:row r="119">
      <x:c r="F119" s="18"/>
      <x:c r="G119" s="23"/>
      <x:c r="H119" s="23"/>
      <x:c r="I119" t="str">
        <x:f>IFERROR(H119/G119,"")</x:f>
      </x:c>
      <x:c r="J119" s="23"/>
      <x:c r="K119" s="23" t="str">
        <x:f>IF(OR(I119="",J119=""),"",I119*J119)</x:f>
      </x:c>
      <x:c r="L119" s="23" t="str">
        <x:f>IF(K119="","",K119-H119)</x:f>
      </x:c>
      <x:c r="M119" s="19" t="str">
        <x:f>IFERROR(L119/H119,"")</x:f>
      </x:c>
      <x:c r="N119" s="18"/>
      <x:c r="O119" s="23"/>
      <x:c r="P119" s="23" t="str">
        <x:f>IF(OR(I119="",O119=""),"",I119*O119)</x:f>
      </x:c>
      <x:c r="Q119" s="23" t="str">
        <x:f>IF(P119="","",P119-H119)</x:f>
      </x:c>
      <x:c r="R119" s="44"/>
    </x:row>
    <x:row r="120">
      <x:c r="F120" s="18"/>
      <x:c r="G120" s="23"/>
      <x:c r="H120" s="23"/>
      <x:c r="I120" t="str">
        <x:f>IFERROR(H120/G120,"")</x:f>
      </x:c>
      <x:c r="J120" s="23"/>
      <x:c r="K120" s="23" t="str">
        <x:f>IF(OR(I120="",J120=""),"",I120*J120)</x:f>
      </x:c>
      <x:c r="L120" s="23" t="str">
        <x:f>IF(K120="","",K120-H120)</x:f>
      </x:c>
      <x:c r="M120" s="19" t="str">
        <x:f>IFERROR(L120/H120,"")</x:f>
      </x:c>
      <x:c r="N120" s="18"/>
      <x:c r="O120" s="23"/>
      <x:c r="P120" s="23" t="str">
        <x:f>IF(OR(I120="",O120=""),"",I120*O120)</x:f>
      </x:c>
      <x:c r="Q120" s="23" t="str">
        <x:f>IF(P120="","",P120-H120)</x:f>
      </x:c>
      <x:c r="R120" s="44"/>
    </x:row>
    <x:row r="121">
      <x:c r="F121" s="18"/>
      <x:c r="G121" s="23"/>
      <x:c r="H121" s="23"/>
      <x:c r="I121" t="str">
        <x:f>IFERROR(H121/G121,"")</x:f>
      </x:c>
      <x:c r="J121" s="23"/>
      <x:c r="K121" s="23" t="str">
        <x:f>IF(OR(I121="",J121=""),"",I121*J121)</x:f>
      </x:c>
      <x:c r="L121" s="23" t="str">
        <x:f>IF(K121="","",K121-H121)</x:f>
      </x:c>
      <x:c r="M121" s="19" t="str">
        <x:f>IFERROR(L121/H121,"")</x:f>
      </x:c>
      <x:c r="N121" s="18"/>
      <x:c r="O121" s="23"/>
      <x:c r="P121" s="23" t="str">
        <x:f>IF(OR(I121="",O121=""),"",I121*O121)</x:f>
      </x:c>
      <x:c r="Q121" s="23" t="str">
        <x:f>IF(P121="","",P121-H121)</x:f>
      </x:c>
      <x:c r="R121" s="44"/>
    </x:row>
    <x:row r="122">
      <x:c r="F122" s="18"/>
      <x:c r="G122" s="23"/>
      <x:c r="H122" s="23"/>
      <x:c r="I122" t="str">
        <x:f>IFERROR(H122/G122,"")</x:f>
      </x:c>
      <x:c r="J122" s="23"/>
      <x:c r="K122" s="23" t="str">
        <x:f>IF(OR(I122="",J122=""),"",I122*J122)</x:f>
      </x:c>
      <x:c r="L122" s="23" t="str">
        <x:f>IF(K122="","",K122-H122)</x:f>
      </x:c>
      <x:c r="M122" s="19" t="str">
        <x:f>IFERROR(L122/H122,"")</x:f>
      </x:c>
      <x:c r="N122" s="18"/>
      <x:c r="O122" s="23"/>
      <x:c r="P122" s="23" t="str">
        <x:f>IF(OR(I122="",O122=""),"",I122*O122)</x:f>
      </x:c>
      <x:c r="Q122" s="23" t="str">
        <x:f>IF(P122="","",P122-H122)</x:f>
      </x:c>
      <x:c r="R122" s="44"/>
    </x:row>
    <x:row r="123">
      <x:c r="F123" s="18"/>
      <x:c r="G123" s="23"/>
      <x:c r="H123" s="23"/>
      <x:c r="I123" t="str">
        <x:f>IFERROR(H123/G123,"")</x:f>
      </x:c>
      <x:c r="J123" s="23"/>
      <x:c r="K123" s="23" t="str">
        <x:f>IF(OR(I123="",J123=""),"",I123*J123)</x:f>
      </x:c>
      <x:c r="L123" s="23" t="str">
        <x:f>IF(K123="","",K123-H123)</x:f>
      </x:c>
      <x:c r="M123" s="19" t="str">
        <x:f>IFERROR(L123/H123,"")</x:f>
      </x:c>
      <x:c r="N123" s="18"/>
      <x:c r="O123" s="23"/>
      <x:c r="P123" s="23" t="str">
        <x:f>IF(OR(I123="",O123=""),"",I123*O123)</x:f>
      </x:c>
      <x:c r="Q123" s="23" t="str">
        <x:f>IF(P123="","",P123-H123)</x:f>
      </x:c>
      <x:c r="R123" s="44"/>
    </x:row>
    <x:row r="124">
      <x:c r="F124" s="18"/>
      <x:c r="G124" s="23"/>
      <x:c r="H124" s="23"/>
      <x:c r="I124" t="str">
        <x:f>IFERROR(H124/G124,"")</x:f>
      </x:c>
      <x:c r="J124" s="23"/>
      <x:c r="K124" s="23" t="str">
        <x:f>IF(OR(I124="",J124=""),"",I124*J124)</x:f>
      </x:c>
      <x:c r="L124" s="23" t="str">
        <x:f>IF(K124="","",K124-H124)</x:f>
      </x:c>
      <x:c r="M124" s="19" t="str">
        <x:f>IFERROR(L124/H124,"")</x:f>
      </x:c>
      <x:c r="N124" s="18"/>
      <x:c r="O124" s="23"/>
      <x:c r="P124" s="23" t="str">
        <x:f>IF(OR(I124="",O124=""),"",I124*O124)</x:f>
      </x:c>
      <x:c r="Q124" s="23" t="str">
        <x:f>IF(P124="","",P124-H124)</x:f>
      </x:c>
      <x:c r="R124" s="44"/>
    </x:row>
    <x:row r="125">
      <x:c r="F125" s="18"/>
      <x:c r="G125" s="23"/>
      <x:c r="H125" s="23"/>
      <x:c r="I125" t="str">
        <x:f>IFERROR(H125/G125,"")</x:f>
      </x:c>
      <x:c r="J125" s="23"/>
      <x:c r="K125" s="23" t="str">
        <x:f>IF(OR(I125="",J125=""),"",I125*J125)</x:f>
      </x:c>
      <x:c r="L125" s="23" t="str">
        <x:f>IF(K125="","",K125-H125)</x:f>
      </x:c>
      <x:c r="M125" s="19" t="str">
        <x:f>IFERROR(L125/H125,"")</x:f>
      </x:c>
      <x:c r="N125" s="18"/>
      <x:c r="O125" s="23"/>
      <x:c r="P125" s="23" t="str">
        <x:f>IF(OR(I125="",O125=""),"",I125*O125)</x:f>
      </x:c>
      <x:c r="Q125" s="23" t="str">
        <x:f>IF(P125="","",P125-H125)</x:f>
      </x:c>
      <x:c r="R125" s="44"/>
    </x:row>
    <x:row r="126">
      <x:c r="F126" s="18"/>
      <x:c r="G126" s="23"/>
      <x:c r="H126" s="23"/>
      <x:c r="I126" t="str">
        <x:f>IFERROR(H126/G126,"")</x:f>
      </x:c>
      <x:c r="J126" s="23"/>
      <x:c r="K126" s="23" t="str">
        <x:f>IF(OR(I126="",J126=""),"",I126*J126)</x:f>
      </x:c>
      <x:c r="L126" s="23" t="str">
        <x:f>IF(K126="","",K126-H126)</x:f>
      </x:c>
      <x:c r="M126" s="19" t="str">
        <x:f>IFERROR(L126/H126,"")</x:f>
      </x:c>
      <x:c r="N126" s="18"/>
      <x:c r="O126" s="23"/>
      <x:c r="P126" s="23" t="str">
        <x:f>IF(OR(I126="",O126=""),"",I126*O126)</x:f>
      </x:c>
      <x:c r="Q126" s="23" t="str">
        <x:f>IF(P126="","",P126-H126)</x:f>
      </x:c>
      <x:c r="R126" s="44"/>
    </x:row>
    <x:row r="127">
      <x:c r="F127" s="18"/>
      <x:c r="G127" s="23"/>
      <x:c r="H127" s="23"/>
      <x:c r="I127" t="str">
        <x:f>IFERROR(H127/G127,"")</x:f>
      </x:c>
      <x:c r="J127" s="23"/>
      <x:c r="K127" s="23" t="str">
        <x:f>IF(OR(I127="",J127=""),"",I127*J127)</x:f>
      </x:c>
      <x:c r="L127" s="23" t="str">
        <x:f>IF(K127="","",K127-H127)</x:f>
      </x:c>
      <x:c r="M127" s="19" t="str">
        <x:f>IFERROR(L127/H127,"")</x:f>
      </x:c>
      <x:c r="N127" s="18"/>
      <x:c r="O127" s="23"/>
      <x:c r="P127" s="23" t="str">
        <x:f>IF(OR(I127="",O127=""),"",I127*O127)</x:f>
      </x:c>
      <x:c r="Q127" s="23" t="str">
        <x:f>IF(P127="","",P127-H127)</x:f>
      </x:c>
      <x:c r="R127" s="44"/>
    </x:row>
    <x:row r="128">
      <x:c r="F128" s="18"/>
      <x:c r="G128" s="23"/>
      <x:c r="H128" s="23"/>
      <x:c r="I128" t="str">
        <x:f>IFERROR(H128/G128,"")</x:f>
      </x:c>
      <x:c r="J128" s="23"/>
      <x:c r="K128" s="23" t="str">
        <x:f>IF(OR(I128="",J128=""),"",I128*J128)</x:f>
      </x:c>
      <x:c r="L128" s="23" t="str">
        <x:f>IF(K128="","",K128-H128)</x:f>
      </x:c>
      <x:c r="M128" s="19" t="str">
        <x:f>IFERROR(L128/H128,"")</x:f>
      </x:c>
      <x:c r="N128" s="18"/>
      <x:c r="O128" s="23"/>
      <x:c r="P128" s="23" t="str">
        <x:f>IF(OR(I128="",O128=""),"",I128*O128)</x:f>
      </x:c>
      <x:c r="Q128" s="23" t="str">
        <x:f>IF(P128="","",P128-H128)</x:f>
      </x:c>
      <x:c r="R128" s="44"/>
    </x:row>
    <x:row r="129">
      <x:c r="F129" s="18"/>
      <x:c r="G129" s="23"/>
      <x:c r="H129" s="23"/>
      <x:c r="I129" t="str">
        <x:f>IFERROR(H129/G129,"")</x:f>
      </x:c>
      <x:c r="J129" s="23"/>
      <x:c r="K129" s="23" t="str">
        <x:f>IF(OR(I129="",J129=""),"",I129*J129)</x:f>
      </x:c>
      <x:c r="L129" s="23" t="str">
        <x:f>IF(K129="","",K129-H129)</x:f>
      </x:c>
      <x:c r="M129" s="19" t="str">
        <x:f>IFERROR(L129/H129,"")</x:f>
      </x:c>
      <x:c r="N129" s="18"/>
      <x:c r="O129" s="23"/>
      <x:c r="P129" s="23" t="str">
        <x:f>IF(OR(I129="",O129=""),"",I129*O129)</x:f>
      </x:c>
      <x:c r="Q129" s="23" t="str">
        <x:f>IF(P129="","",P129-H129)</x:f>
      </x:c>
      <x:c r="R129" s="44"/>
    </x:row>
    <x:row r="130">
      <x:c r="F130" s="18"/>
      <x:c r="G130" s="23"/>
      <x:c r="H130" s="23"/>
      <x:c r="I130" t="str">
        <x:f>IFERROR(H130/G130,"")</x:f>
      </x:c>
      <x:c r="J130" s="23"/>
      <x:c r="K130" s="23" t="str">
        <x:f>IF(OR(I130="",J130=""),"",I130*J130)</x:f>
      </x:c>
      <x:c r="L130" s="23" t="str">
        <x:f>IF(K130="","",K130-H130)</x:f>
      </x:c>
      <x:c r="M130" s="19" t="str">
        <x:f>IFERROR(L130/H130,"")</x:f>
      </x:c>
      <x:c r="N130" s="18"/>
      <x:c r="O130" s="23"/>
      <x:c r="P130" s="23" t="str">
        <x:f>IF(OR(I130="",O130=""),"",I130*O130)</x:f>
      </x:c>
      <x:c r="Q130" s="23" t="str">
        <x:f>IF(P130="","",P130-H130)</x:f>
      </x:c>
      <x:c r="R130" s="44"/>
    </x:row>
    <x:row r="131">
      <x:c r="F131" s="18"/>
      <x:c r="G131" s="23"/>
      <x:c r="H131" s="23"/>
      <x:c r="I131" t="str">
        <x:f>IFERROR(H131/G131,"")</x:f>
      </x:c>
      <x:c r="J131" s="23"/>
      <x:c r="K131" s="23" t="str">
        <x:f>IF(OR(I131="",J131=""),"",I131*J131)</x:f>
      </x:c>
      <x:c r="L131" s="23" t="str">
        <x:f>IF(K131="","",K131-H131)</x:f>
      </x:c>
      <x:c r="M131" s="19" t="str">
        <x:f>IFERROR(L131/H131,"")</x:f>
      </x:c>
      <x:c r="N131" s="18"/>
      <x:c r="O131" s="23"/>
      <x:c r="P131" s="23" t="str">
        <x:f>IF(OR(I131="",O131=""),"",I131*O131)</x:f>
      </x:c>
      <x:c r="Q131" s="23" t="str">
        <x:f>IF(P131="","",P131-H131)</x:f>
      </x:c>
      <x:c r="R131" s="44"/>
    </x:row>
    <x:row r="132">
      <x:c r="F132" s="18"/>
      <x:c r="G132" s="23"/>
      <x:c r="H132" s="23"/>
      <x:c r="I132" t="str">
        <x:f>IFERROR(H132/G132,"")</x:f>
      </x:c>
      <x:c r="J132" s="23"/>
      <x:c r="K132" s="23" t="str">
        <x:f>IF(OR(I132="",J132=""),"",I132*J132)</x:f>
      </x:c>
      <x:c r="L132" s="23" t="str">
        <x:f>IF(K132="","",K132-H132)</x:f>
      </x:c>
      <x:c r="M132" s="19" t="str">
        <x:f>IFERROR(L132/H132,"")</x:f>
      </x:c>
      <x:c r="N132" s="18"/>
      <x:c r="O132" s="23"/>
      <x:c r="P132" s="23" t="str">
        <x:f>IF(OR(I132="",O132=""),"",I132*O132)</x:f>
      </x:c>
      <x:c r="Q132" s="23" t="str">
        <x:f>IF(P132="","",P132-H132)</x:f>
      </x:c>
      <x:c r="R132" s="44"/>
    </x:row>
    <x:row r="133">
      <x:c r="F133" s="18"/>
      <x:c r="G133" s="23"/>
      <x:c r="H133" s="23"/>
      <x:c r="I133" t="str">
        <x:f>IFERROR(H133/G133,"")</x:f>
      </x:c>
      <x:c r="J133" s="23"/>
      <x:c r="K133" s="23" t="str">
        <x:f>IF(OR(I133="",J133=""),"",I133*J133)</x:f>
      </x:c>
      <x:c r="L133" s="23" t="str">
        <x:f>IF(K133="","",K133-H133)</x:f>
      </x:c>
      <x:c r="M133" s="19" t="str">
        <x:f>IFERROR(L133/H133,"")</x:f>
      </x:c>
      <x:c r="N133" s="18"/>
      <x:c r="O133" s="23"/>
      <x:c r="P133" s="23" t="str">
        <x:f>IF(OR(I133="",O133=""),"",I133*O133)</x:f>
      </x:c>
      <x:c r="Q133" s="23" t="str">
        <x:f>IF(P133="","",P133-H133)</x:f>
      </x:c>
      <x:c r="R133" s="44"/>
    </x:row>
    <x:row r="134">
      <x:c r="F134" s="18"/>
      <x:c r="G134" s="23"/>
      <x:c r="H134" s="23"/>
      <x:c r="I134" t="str">
        <x:f>IFERROR(H134/G134,"")</x:f>
      </x:c>
      <x:c r="J134" s="23"/>
      <x:c r="K134" s="23" t="str">
        <x:f>IF(OR(I134="",J134=""),"",I134*J134)</x:f>
      </x:c>
      <x:c r="L134" s="23" t="str">
        <x:f>IF(K134="","",K134-H134)</x:f>
      </x:c>
      <x:c r="M134" s="19" t="str">
        <x:f>IFERROR(L134/H134,"")</x:f>
      </x:c>
      <x:c r="N134" s="18"/>
      <x:c r="O134" s="23"/>
      <x:c r="P134" s="23" t="str">
        <x:f>IF(OR(I134="",O134=""),"",I134*O134)</x:f>
      </x:c>
      <x:c r="Q134" s="23" t="str">
        <x:f>IF(P134="","",P134-H134)</x:f>
      </x:c>
      <x:c r="R134" s="44"/>
    </x:row>
    <x:row r="135">
      <x:c r="F135" s="18"/>
      <x:c r="G135" s="23"/>
      <x:c r="H135" s="23"/>
      <x:c r="I135" t="str">
        <x:f>IFERROR(H135/G135,"")</x:f>
      </x:c>
      <x:c r="J135" s="23"/>
      <x:c r="K135" s="23" t="str">
        <x:f>IF(OR(I135="",J135=""),"",I135*J135)</x:f>
      </x:c>
      <x:c r="L135" s="23" t="str">
        <x:f>IF(K135="","",K135-H135)</x:f>
      </x:c>
      <x:c r="M135" s="19" t="str">
        <x:f>IFERROR(L135/H135,"")</x:f>
      </x:c>
      <x:c r="N135" s="18"/>
      <x:c r="O135" s="23"/>
      <x:c r="P135" s="23" t="str">
        <x:f>IF(OR(I135="",O135=""),"",I135*O135)</x:f>
      </x:c>
      <x:c r="Q135" s="23" t="str">
        <x:f>IF(P135="","",P135-H135)</x:f>
      </x:c>
      <x:c r="R135" s="44"/>
    </x:row>
    <x:row r="136">
      <x:c r="F136" s="18"/>
      <x:c r="G136" s="23"/>
      <x:c r="H136" s="23"/>
      <x:c r="I136" t="str">
        <x:f>IFERROR(H136/G136,"")</x:f>
      </x:c>
      <x:c r="J136" s="23"/>
      <x:c r="K136" s="23" t="str">
        <x:f>IF(OR(I136="",J136=""),"",I136*J136)</x:f>
      </x:c>
      <x:c r="L136" s="23" t="str">
        <x:f>IF(K136="","",K136-H136)</x:f>
      </x:c>
      <x:c r="M136" s="19" t="str">
        <x:f>IFERROR(L136/H136,"")</x:f>
      </x:c>
      <x:c r="N136" s="18"/>
      <x:c r="O136" s="23"/>
      <x:c r="P136" s="23" t="str">
        <x:f>IF(OR(I136="",O136=""),"",I136*O136)</x:f>
      </x:c>
      <x:c r="Q136" s="23" t="str">
        <x:f>IF(P136="","",P136-H136)</x:f>
      </x:c>
      <x:c r="R136" s="44"/>
    </x:row>
    <x:row r="137">
      <x:c r="F137" s="18"/>
      <x:c r="G137" s="23"/>
      <x:c r="H137" s="23"/>
      <x:c r="I137" t="str">
        <x:f>IFERROR(H137/G137,"")</x:f>
      </x:c>
      <x:c r="J137" s="23"/>
      <x:c r="K137" s="23" t="str">
        <x:f>IF(OR(I137="",J137=""),"",I137*J137)</x:f>
      </x:c>
      <x:c r="L137" s="23" t="str">
        <x:f>IF(K137="","",K137-H137)</x:f>
      </x:c>
      <x:c r="M137" s="19" t="str">
        <x:f>IFERROR(L137/H137,"")</x:f>
      </x:c>
      <x:c r="N137" s="18"/>
      <x:c r="O137" s="23"/>
      <x:c r="P137" s="23" t="str">
        <x:f>IF(OR(I137="",O137=""),"",I137*O137)</x:f>
      </x:c>
      <x:c r="Q137" s="23" t="str">
        <x:f>IF(P137="","",P137-H137)</x:f>
      </x:c>
      <x:c r="R137" s="44"/>
    </x:row>
    <x:row r="138">
      <x:c r="F138" s="18"/>
      <x:c r="G138" s="23"/>
      <x:c r="H138" s="23"/>
      <x:c r="I138" t="str">
        <x:f>IFERROR(H138/G138,"")</x:f>
      </x:c>
      <x:c r="J138" s="23"/>
      <x:c r="K138" s="23" t="str">
        <x:f>IF(OR(I138="",J138=""),"",I138*J138)</x:f>
      </x:c>
      <x:c r="L138" s="23" t="str">
        <x:f>IF(K138="","",K138-H138)</x:f>
      </x:c>
      <x:c r="M138" s="19" t="str">
        <x:f>IFERROR(L138/H138,"")</x:f>
      </x:c>
      <x:c r="N138" s="18"/>
      <x:c r="O138" s="23"/>
      <x:c r="P138" s="23" t="str">
        <x:f>IF(OR(I138="",O138=""),"",I138*O138)</x:f>
      </x:c>
      <x:c r="Q138" s="23" t="str">
        <x:f>IF(P138="","",P138-H138)</x:f>
      </x:c>
      <x:c r="R138" s="44"/>
    </x:row>
    <x:row r="139">
      <x:c r="F139" s="18"/>
      <x:c r="G139" s="23"/>
      <x:c r="H139" s="23"/>
      <x:c r="I139" t="str">
        <x:f>IFERROR(H139/G139,"")</x:f>
      </x:c>
      <x:c r="J139" s="23"/>
      <x:c r="K139" s="23" t="str">
        <x:f>IF(OR(I139="",J139=""),"",I139*J139)</x:f>
      </x:c>
      <x:c r="L139" s="23" t="str">
        <x:f>IF(K139="","",K139-H139)</x:f>
      </x:c>
      <x:c r="M139" s="19" t="str">
        <x:f>IFERROR(L139/H139,"")</x:f>
      </x:c>
      <x:c r="N139" s="18"/>
      <x:c r="O139" s="23"/>
      <x:c r="P139" s="23" t="str">
        <x:f>IF(OR(I139="",O139=""),"",I139*O139)</x:f>
      </x:c>
      <x:c r="Q139" s="23" t="str">
        <x:f>IF(P139="","",P139-H139)</x:f>
      </x:c>
      <x:c r="R139" s="44"/>
    </x:row>
    <x:row r="140">
      <x:c r="F140" s="18"/>
      <x:c r="G140" s="23"/>
      <x:c r="H140" s="23"/>
      <x:c r="I140" t="str">
        <x:f>IFERROR(H140/G140,"")</x:f>
      </x:c>
      <x:c r="J140" s="23"/>
      <x:c r="K140" s="23" t="str">
        <x:f>IF(OR(I140="",J140=""),"",I140*J140)</x:f>
      </x:c>
      <x:c r="L140" s="23" t="str">
        <x:f>IF(K140="","",K140-H140)</x:f>
      </x:c>
      <x:c r="M140" s="19" t="str">
        <x:f>IFERROR(L140/H140,"")</x:f>
      </x:c>
      <x:c r="N140" s="18"/>
      <x:c r="O140" s="23"/>
      <x:c r="P140" s="23" t="str">
        <x:f>IF(OR(I140="",O140=""),"",I140*O140)</x:f>
      </x:c>
      <x:c r="Q140" s="23" t="str">
        <x:f>IF(P140="","",P140-H140)</x:f>
      </x:c>
      <x:c r="R140" s="44"/>
    </x:row>
    <x:row r="141">
      <x:c r="F141" s="18"/>
      <x:c r="G141" s="23"/>
      <x:c r="H141" s="23"/>
      <x:c r="I141" t="str">
        <x:f>IFERROR(H141/G141,"")</x:f>
      </x:c>
      <x:c r="J141" s="23"/>
      <x:c r="K141" s="23" t="str">
        <x:f>IF(OR(I141="",J141=""),"",I141*J141)</x:f>
      </x:c>
      <x:c r="L141" s="23" t="str">
        <x:f>IF(K141="","",K141-H141)</x:f>
      </x:c>
      <x:c r="M141" s="19" t="str">
        <x:f>IFERROR(L141/H141,"")</x:f>
      </x:c>
      <x:c r="N141" s="18"/>
      <x:c r="O141" s="23"/>
      <x:c r="P141" s="23" t="str">
        <x:f>IF(OR(I141="",O141=""),"",I141*O141)</x:f>
      </x:c>
      <x:c r="Q141" s="23" t="str">
        <x:f>IF(P141="","",P141-H141)</x:f>
      </x:c>
      <x:c r="R141" s="44"/>
    </x:row>
    <x:row r="142">
      <x:c r="F142" s="18"/>
      <x:c r="G142" s="23"/>
      <x:c r="H142" s="23"/>
      <x:c r="I142" t="str">
        <x:f>IFERROR(H142/G142,"")</x:f>
      </x:c>
      <x:c r="J142" s="23"/>
      <x:c r="K142" s="23" t="str">
        <x:f>IF(OR(I142="",J142=""),"",I142*J142)</x:f>
      </x:c>
      <x:c r="L142" s="23" t="str">
        <x:f>IF(K142="","",K142-H142)</x:f>
      </x:c>
      <x:c r="M142" s="19" t="str">
        <x:f>IFERROR(L142/H142,"")</x:f>
      </x:c>
      <x:c r="N142" s="18"/>
      <x:c r="O142" s="23"/>
      <x:c r="P142" s="23" t="str">
        <x:f>IF(OR(I142="",O142=""),"",I142*O142)</x:f>
      </x:c>
      <x:c r="Q142" s="23" t="str">
        <x:f>IF(P142="","",P142-H142)</x:f>
      </x:c>
      <x:c r="R142" s="44"/>
    </x:row>
    <x:row r="143">
      <x:c r="F143" s="18"/>
      <x:c r="G143" s="23"/>
      <x:c r="H143" s="23"/>
      <x:c r="I143" t="str">
        <x:f>IFERROR(H143/G143,"")</x:f>
      </x:c>
      <x:c r="J143" s="23"/>
      <x:c r="K143" s="23" t="str">
        <x:f>IF(OR(I143="",J143=""),"",I143*J143)</x:f>
      </x:c>
      <x:c r="L143" s="23" t="str">
        <x:f>IF(K143="","",K143-H143)</x:f>
      </x:c>
      <x:c r="M143" s="19" t="str">
        <x:f>IFERROR(L143/H143,"")</x:f>
      </x:c>
      <x:c r="N143" s="18"/>
      <x:c r="O143" s="23"/>
      <x:c r="P143" s="23" t="str">
        <x:f>IF(OR(I143="",O143=""),"",I143*O143)</x:f>
      </x:c>
      <x:c r="Q143" s="23" t="str">
        <x:f>IF(P143="","",P143-H143)</x:f>
      </x:c>
      <x:c r="R143" s="44"/>
    </x:row>
    <x:row r="144">
      <x:c r="F144" s="18"/>
      <x:c r="G144" s="23"/>
      <x:c r="H144" s="23"/>
      <x:c r="I144" t="str">
        <x:f>IFERROR(H144/G144,"")</x:f>
      </x:c>
      <x:c r="J144" s="23"/>
      <x:c r="K144" s="23" t="str">
        <x:f>IF(OR(I144="",J144=""),"",I144*J144)</x:f>
      </x:c>
      <x:c r="L144" s="23" t="str">
        <x:f>IF(K144="","",K144-H144)</x:f>
      </x:c>
      <x:c r="M144" s="19" t="str">
        <x:f>IFERROR(L144/H144,"")</x:f>
      </x:c>
      <x:c r="N144" s="18"/>
      <x:c r="O144" s="23"/>
      <x:c r="P144" s="23" t="str">
        <x:f>IF(OR(I144="",O144=""),"",I144*O144)</x:f>
      </x:c>
      <x:c r="Q144" s="23" t="str">
        <x:f>IF(P144="","",P144-H144)</x:f>
      </x:c>
      <x:c r="R144" s="44"/>
    </x:row>
    <x:row r="145">
      <x:c r="F145" s="18"/>
      <x:c r="G145" s="23"/>
      <x:c r="H145" s="23"/>
      <x:c r="I145" t="str">
        <x:f>IFERROR(H145/G145,"")</x:f>
      </x:c>
      <x:c r="J145" s="23"/>
      <x:c r="K145" s="23" t="str">
        <x:f>IF(OR(I145="",J145=""),"",I145*J145)</x:f>
      </x:c>
      <x:c r="L145" s="23" t="str">
        <x:f>IF(K145="","",K145-H145)</x:f>
      </x:c>
      <x:c r="M145" s="19" t="str">
        <x:f>IFERROR(L145/H145,"")</x:f>
      </x:c>
      <x:c r="N145" s="18"/>
      <x:c r="O145" s="23"/>
      <x:c r="P145" s="23" t="str">
        <x:f>IF(OR(I145="",O145=""),"",I145*O145)</x:f>
      </x:c>
      <x:c r="Q145" s="23" t="str">
        <x:f>IF(P145="","",P145-H145)</x:f>
      </x:c>
      <x:c r="R145" s="44"/>
    </x:row>
    <x:row r="146">
      <x:c r="F146" s="18"/>
      <x:c r="G146" s="23"/>
      <x:c r="H146" s="23"/>
      <x:c r="I146" t="str">
        <x:f>IFERROR(H146/G146,"")</x:f>
      </x:c>
      <x:c r="J146" s="23"/>
      <x:c r="K146" s="23" t="str">
        <x:f>IF(OR(I146="",J146=""),"",I146*J146)</x:f>
      </x:c>
      <x:c r="L146" s="23" t="str">
        <x:f>IF(K146="","",K146-H146)</x:f>
      </x:c>
      <x:c r="M146" s="19" t="str">
        <x:f>IFERROR(L146/H146,"")</x:f>
      </x:c>
      <x:c r="N146" s="18"/>
      <x:c r="O146" s="23"/>
      <x:c r="P146" s="23" t="str">
        <x:f>IF(OR(I146="",O146=""),"",I146*O146)</x:f>
      </x:c>
      <x:c r="Q146" s="23" t="str">
        <x:f>IF(P146="","",P146-H146)</x:f>
      </x:c>
      <x:c r="R146" s="44"/>
    </x:row>
    <x:row r="147">
      <x:c r="F147" s="18"/>
      <x:c r="G147" s="23"/>
      <x:c r="H147" s="23"/>
      <x:c r="I147" t="str">
        <x:f>IFERROR(H147/G147,"")</x:f>
      </x:c>
      <x:c r="J147" s="23"/>
      <x:c r="K147" s="23" t="str">
        <x:f>IF(OR(I147="",J147=""),"",I147*J147)</x:f>
      </x:c>
      <x:c r="L147" s="23" t="str">
        <x:f>IF(K147="","",K147-H147)</x:f>
      </x:c>
      <x:c r="M147" s="19" t="str">
        <x:f>IFERROR(L147/H147,"")</x:f>
      </x:c>
      <x:c r="N147" s="18"/>
      <x:c r="O147" s="23"/>
      <x:c r="P147" s="23" t="str">
        <x:f>IF(OR(I147="",O147=""),"",I147*O147)</x:f>
      </x:c>
      <x:c r="Q147" s="23" t="str">
        <x:f>IF(P147="","",P147-H147)</x:f>
      </x:c>
      <x:c r="R147" s="44"/>
    </x:row>
    <x:row r="148">
      <x:c r="F148" s="18"/>
      <x:c r="G148" s="23"/>
      <x:c r="H148" s="23"/>
      <x:c r="I148" t="str">
        <x:f>IFERROR(H148/G148,"")</x:f>
      </x:c>
      <x:c r="J148" s="23"/>
      <x:c r="K148" s="23" t="str">
        <x:f>IF(OR(I148="",J148=""),"",I148*J148)</x:f>
      </x:c>
      <x:c r="L148" s="23" t="str">
        <x:f>IF(K148="","",K148-H148)</x:f>
      </x:c>
      <x:c r="M148" s="19" t="str">
        <x:f>IFERROR(L148/H148,"")</x:f>
      </x:c>
      <x:c r="N148" s="18"/>
      <x:c r="O148" s="23"/>
      <x:c r="P148" s="23" t="str">
        <x:f>IF(OR(I148="",O148=""),"",I148*O148)</x:f>
      </x:c>
      <x:c r="Q148" s="23" t="str">
        <x:f>IF(P148="","",P148-H148)</x:f>
      </x:c>
      <x:c r="R148" s="44"/>
    </x:row>
    <x:row r="149">
      <x:c r="F149" s="18"/>
      <x:c r="G149" s="23"/>
      <x:c r="H149" s="23"/>
      <x:c r="I149" t="str">
        <x:f>IFERROR(H149/G149,"")</x:f>
      </x:c>
      <x:c r="J149" s="23"/>
      <x:c r="K149" s="23" t="str">
        <x:f>IF(OR(I149="",J149=""),"",I149*J149)</x:f>
      </x:c>
      <x:c r="L149" s="23" t="str">
        <x:f>IF(K149="","",K149-H149)</x:f>
      </x:c>
      <x:c r="M149" s="19" t="str">
        <x:f>IFERROR(L149/H149,"")</x:f>
      </x:c>
      <x:c r="N149" s="18"/>
      <x:c r="O149" s="23"/>
      <x:c r="P149" s="23" t="str">
        <x:f>IF(OR(I149="",O149=""),"",I149*O149)</x:f>
      </x:c>
      <x:c r="Q149" s="23" t="str">
        <x:f>IF(P149="","",P149-H149)</x:f>
      </x:c>
      <x:c r="R149" s="44"/>
    </x:row>
    <x:row r="150">
      <x:c r="F150" s="18"/>
      <x:c r="G150" s="23"/>
      <x:c r="H150" s="23"/>
      <x:c r="I150" t="str">
        <x:f>IFERROR(H150/G150,"")</x:f>
      </x:c>
      <x:c r="J150" s="23"/>
      <x:c r="K150" s="23" t="str">
        <x:f>IF(OR(I150="",J150=""),"",I150*J150)</x:f>
      </x:c>
      <x:c r="L150" s="23" t="str">
        <x:f>IF(K150="","",K150-H150)</x:f>
      </x:c>
      <x:c r="M150" s="19" t="str">
        <x:f>IFERROR(L150/H150,"")</x:f>
      </x:c>
      <x:c r="N150" s="18"/>
      <x:c r="O150" s="23"/>
      <x:c r="P150" s="23" t="str">
        <x:f>IF(OR(I150="",O150=""),"",I150*O150)</x:f>
      </x:c>
      <x:c r="Q150" s="23" t="str">
        <x:f>IF(P150="","",P150-H150)</x:f>
      </x:c>
      <x:c r="R150" s="44"/>
    </x:row>
    <x:row r="151">
      <x:c r="F151" s="18"/>
      <x:c r="G151" s="23"/>
      <x:c r="H151" s="23"/>
      <x:c r="I151" t="str">
        <x:f>IFERROR(H151/G151,"")</x:f>
      </x:c>
      <x:c r="J151" s="23"/>
      <x:c r="K151" s="23" t="str">
        <x:f>IF(OR(I151="",J151=""),"",I151*J151)</x:f>
      </x:c>
      <x:c r="L151" s="23" t="str">
        <x:f>IF(K151="","",K151-H151)</x:f>
      </x:c>
      <x:c r="M151" s="19" t="str">
        <x:f>IFERROR(L151/H151,"")</x:f>
      </x:c>
      <x:c r="N151" s="18"/>
      <x:c r="O151" s="23"/>
      <x:c r="P151" s="23" t="str">
        <x:f>IF(OR(I151="",O151=""),"",I151*O151)</x:f>
      </x:c>
      <x:c r="Q151" s="23" t="str">
        <x:f>IF(P151="","",P151-H151)</x:f>
      </x:c>
      <x:c r="R151" s="44"/>
    </x:row>
    <x:row r="152">
      <x:c r="F152" s="18"/>
      <x:c r="G152" s="23"/>
      <x:c r="H152" s="23"/>
      <x:c r="I152" t="str">
        <x:f>IFERROR(H152/G152,"")</x:f>
      </x:c>
      <x:c r="J152" s="23"/>
      <x:c r="K152" s="23" t="str">
        <x:f>IF(OR(I152="",J152=""),"",I152*J152)</x:f>
      </x:c>
      <x:c r="L152" s="23" t="str">
        <x:f>IF(K152="","",K152-H152)</x:f>
      </x:c>
      <x:c r="M152" s="19" t="str">
        <x:f>IFERROR(L152/H152,"")</x:f>
      </x:c>
      <x:c r="N152" s="18"/>
      <x:c r="O152" s="23"/>
      <x:c r="P152" s="23" t="str">
        <x:f>IF(OR(I152="",O152=""),"",I152*O152)</x:f>
      </x:c>
      <x:c r="Q152" s="23" t="str">
        <x:f>IF(P152="","",P152-H152)</x:f>
      </x:c>
      <x:c r="R152" s="44"/>
    </x:row>
    <x:row r="153">
      <x:c r="F153" s="18"/>
      <x:c r="G153" s="23"/>
      <x:c r="H153" s="23"/>
      <x:c r="I153" t="str">
        <x:f>IFERROR(H153/G153,"")</x:f>
      </x:c>
      <x:c r="J153" s="23"/>
      <x:c r="K153" s="23" t="str">
        <x:f>IF(OR(I153="",J153=""),"",I153*J153)</x:f>
      </x:c>
      <x:c r="L153" s="23" t="str">
        <x:f>IF(K153="","",K153-H153)</x:f>
      </x:c>
      <x:c r="M153" s="19" t="str">
        <x:f>IFERROR(L153/H153,"")</x:f>
      </x:c>
      <x:c r="N153" s="18"/>
      <x:c r="O153" s="23"/>
      <x:c r="P153" s="23" t="str">
        <x:f>IF(OR(I153="",O153=""),"",I153*O153)</x:f>
      </x:c>
      <x:c r="Q153" s="23" t="str">
        <x:f>IF(P153="","",P153-H153)</x:f>
      </x:c>
      <x:c r="R153" s="44"/>
    </x:row>
    <x:row r="154">
      <x:c r="F154" s="18"/>
      <x:c r="G154" s="23"/>
      <x:c r="H154" s="23"/>
      <x:c r="I154" t="str">
        <x:f>IFERROR(H154/G154,"")</x:f>
      </x:c>
      <x:c r="J154" s="23"/>
      <x:c r="K154" s="23" t="str">
        <x:f>IF(OR(I154="",J154=""),"",I154*J154)</x:f>
      </x:c>
      <x:c r="L154" s="23" t="str">
        <x:f>IF(K154="","",K154-H154)</x:f>
      </x:c>
      <x:c r="M154" s="19" t="str">
        <x:f>IFERROR(L154/H154,"")</x:f>
      </x:c>
      <x:c r="N154" s="18"/>
      <x:c r="O154" s="23"/>
      <x:c r="P154" s="23" t="str">
        <x:f>IF(OR(I154="",O154=""),"",I154*O154)</x:f>
      </x:c>
      <x:c r="Q154" s="23" t="str">
        <x:f>IF(P154="","",P154-H154)</x:f>
      </x:c>
      <x:c r="R154" s="44"/>
    </x:row>
    <x:row r="155">
      <x:c r="F155" s="18"/>
      <x:c r="G155" s="23"/>
      <x:c r="H155" s="23"/>
      <x:c r="I155" t="str">
        <x:f>IFERROR(H155/G155,"")</x:f>
      </x:c>
      <x:c r="J155" s="23"/>
      <x:c r="K155" s="23" t="str">
        <x:f>IF(OR(I155="",J155=""),"",I155*J155)</x:f>
      </x:c>
      <x:c r="L155" s="23" t="str">
        <x:f>IF(K155="","",K155-H155)</x:f>
      </x:c>
      <x:c r="M155" s="19" t="str">
        <x:f>IFERROR(L155/H155,"")</x:f>
      </x:c>
      <x:c r="N155" s="18"/>
      <x:c r="O155" s="23"/>
      <x:c r="P155" s="23" t="str">
        <x:f>IF(OR(I155="",O155=""),"",I155*O155)</x:f>
      </x:c>
      <x:c r="Q155" s="23" t="str">
        <x:f>IF(P155="","",P155-H155)</x:f>
      </x:c>
      <x:c r="R155" s="44"/>
    </x:row>
    <x:row r="156">
      <x:c r="F156" s="18"/>
      <x:c r="G156" s="23"/>
      <x:c r="H156" s="23"/>
      <x:c r="I156" t="str">
        <x:f>IFERROR(H156/G156,"")</x:f>
      </x:c>
      <x:c r="J156" s="23"/>
      <x:c r="K156" s="23" t="str">
        <x:f>IF(OR(I156="",J156=""),"",I156*J156)</x:f>
      </x:c>
      <x:c r="L156" s="23" t="str">
        <x:f>IF(K156="","",K156-H156)</x:f>
      </x:c>
      <x:c r="M156" s="19" t="str">
        <x:f>IFERROR(L156/H156,"")</x:f>
      </x:c>
      <x:c r="N156" s="18"/>
      <x:c r="O156" s="23"/>
      <x:c r="P156" s="23" t="str">
        <x:f>IF(OR(I156="",O156=""),"",I156*O156)</x:f>
      </x:c>
      <x:c r="Q156" s="23" t="str">
        <x:f>IF(P156="","",P156-H156)</x:f>
      </x:c>
      <x:c r="R156" s="44"/>
    </x:row>
    <x:row r="157">
      <x:c r="F157" s="18"/>
      <x:c r="G157" s="23"/>
      <x:c r="H157" s="23"/>
      <x:c r="I157" t="str">
        <x:f>IFERROR(H157/G157,"")</x:f>
      </x:c>
      <x:c r="J157" s="23"/>
      <x:c r="K157" s="23" t="str">
        <x:f>IF(OR(I157="",J157=""),"",I157*J157)</x:f>
      </x:c>
      <x:c r="L157" s="23" t="str">
        <x:f>IF(K157="","",K157-H157)</x:f>
      </x:c>
      <x:c r="M157" s="19" t="str">
        <x:f>IFERROR(L157/H157,"")</x:f>
      </x:c>
      <x:c r="N157" s="18"/>
      <x:c r="O157" s="23"/>
      <x:c r="P157" s="23" t="str">
        <x:f>IF(OR(I157="",O157=""),"",I157*O157)</x:f>
      </x:c>
      <x:c r="Q157" s="23" t="str">
        <x:f>IF(P157="","",P157-H157)</x:f>
      </x:c>
      <x:c r="R157" s="44"/>
    </x:row>
    <x:row r="158">
      <x:c r="F158" s="18"/>
      <x:c r="G158" s="23"/>
      <x:c r="H158" s="23"/>
      <x:c r="I158" t="str">
        <x:f>IFERROR(H158/G158,"")</x:f>
      </x:c>
      <x:c r="J158" s="23"/>
      <x:c r="K158" s="23" t="str">
        <x:f>IF(OR(I158="",J158=""),"",I158*J158)</x:f>
      </x:c>
      <x:c r="L158" s="23" t="str">
        <x:f>IF(K158="","",K158-H158)</x:f>
      </x:c>
      <x:c r="M158" s="19" t="str">
        <x:f>IFERROR(L158/H158,"")</x:f>
      </x:c>
      <x:c r="N158" s="18"/>
      <x:c r="O158" s="23"/>
      <x:c r="P158" s="23" t="str">
        <x:f>IF(OR(I158="",O158=""),"",I158*O158)</x:f>
      </x:c>
      <x:c r="Q158" s="23" t="str">
        <x:f>IF(P158="","",P158-H158)</x:f>
      </x:c>
      <x:c r="R158" s="44"/>
    </x:row>
    <x:row r="159">
      <x:c r="F159" s="18"/>
      <x:c r="G159" s="23"/>
      <x:c r="H159" s="23"/>
      <x:c r="I159" t="str">
        <x:f>IFERROR(H159/G159,"")</x:f>
      </x:c>
      <x:c r="J159" s="23"/>
      <x:c r="K159" s="23" t="str">
        <x:f>IF(OR(I159="",J159=""),"",I159*J159)</x:f>
      </x:c>
      <x:c r="L159" s="23" t="str">
        <x:f>IF(K159="","",K159-H159)</x:f>
      </x:c>
      <x:c r="M159" s="19" t="str">
        <x:f>IFERROR(L159/H159,"")</x:f>
      </x:c>
      <x:c r="N159" s="18"/>
      <x:c r="O159" s="23"/>
      <x:c r="P159" s="23" t="str">
        <x:f>IF(OR(I159="",O159=""),"",I159*O159)</x:f>
      </x:c>
      <x:c r="Q159" s="23" t="str">
        <x:f>IF(P159="","",P159-H159)</x:f>
      </x:c>
      <x:c r="R159" s="44"/>
    </x:row>
    <x:row r="160">
      <x:c r="F160" s="18"/>
      <x:c r="G160" s="23"/>
      <x:c r="H160" s="23"/>
      <x:c r="I160" t="str">
        <x:f>IFERROR(H160/G160,"")</x:f>
      </x:c>
      <x:c r="J160" s="23"/>
      <x:c r="K160" s="23" t="str">
        <x:f>IF(OR(I160="",J160=""),"",I160*J160)</x:f>
      </x:c>
      <x:c r="L160" s="23" t="str">
        <x:f>IF(K160="","",K160-H160)</x:f>
      </x:c>
      <x:c r="M160" s="19" t="str">
        <x:f>IFERROR(L160/H160,"")</x:f>
      </x:c>
      <x:c r="N160" s="18"/>
      <x:c r="O160" s="23"/>
      <x:c r="P160" s="23" t="str">
        <x:f>IF(OR(I160="",O160=""),"",I160*O160)</x:f>
      </x:c>
      <x:c r="Q160" s="23" t="str">
        <x:f>IF(P160="","",P160-H160)</x:f>
      </x:c>
      <x:c r="R160" s="44"/>
    </x:row>
    <x:row r="161">
      <x:c r="F161" s="18"/>
      <x:c r="G161" s="23"/>
      <x:c r="H161" s="23"/>
      <x:c r="I161" t="str">
        <x:f>IFERROR(H161/G161,"")</x:f>
      </x:c>
      <x:c r="J161" s="23"/>
      <x:c r="K161" s="23" t="str">
        <x:f>IF(OR(I161="",J161=""),"",I161*J161)</x:f>
      </x:c>
      <x:c r="L161" s="23" t="str">
        <x:f>IF(K161="","",K161-H161)</x:f>
      </x:c>
      <x:c r="M161" s="19" t="str">
        <x:f>IFERROR(L161/H161,"")</x:f>
      </x:c>
      <x:c r="N161" s="18"/>
      <x:c r="O161" s="23"/>
      <x:c r="P161" s="23" t="str">
        <x:f>IF(OR(I161="",O161=""),"",I161*O161)</x:f>
      </x:c>
      <x:c r="Q161" s="23" t="str">
        <x:f>IF(P161="","",P161-H161)</x:f>
      </x:c>
      <x:c r="R161" s="44"/>
    </x:row>
    <x:row r="162">
      <x:c r="F162" s="18"/>
      <x:c r="G162" s="23"/>
      <x:c r="H162" s="23"/>
      <x:c r="I162" t="str">
        <x:f>IFERROR(H162/G162,"")</x:f>
      </x:c>
      <x:c r="J162" s="23"/>
      <x:c r="K162" s="23" t="str">
        <x:f>IF(OR(I162="",J162=""),"",I162*J162)</x:f>
      </x:c>
      <x:c r="L162" s="23" t="str">
        <x:f>IF(K162="","",K162-H162)</x:f>
      </x:c>
      <x:c r="M162" s="19" t="str">
        <x:f>IFERROR(L162/H162,"")</x:f>
      </x:c>
      <x:c r="N162" s="18"/>
      <x:c r="O162" s="23"/>
      <x:c r="P162" s="23" t="str">
        <x:f>IF(OR(I162="",O162=""),"",I162*O162)</x:f>
      </x:c>
      <x:c r="Q162" s="23" t="str">
        <x:f>IF(P162="","",P162-H162)</x:f>
      </x:c>
      <x:c r="R162" s="44"/>
    </x:row>
    <x:row r="163">
      <x:c r="F163" s="18"/>
      <x:c r="G163" s="23"/>
      <x:c r="H163" s="23"/>
      <x:c r="I163" t="str">
        <x:f>IFERROR(H163/G163,"")</x:f>
      </x:c>
      <x:c r="J163" s="23"/>
      <x:c r="K163" s="23" t="str">
        <x:f>IF(OR(I163="",J163=""),"",I163*J163)</x:f>
      </x:c>
      <x:c r="L163" s="23" t="str">
        <x:f>IF(K163="","",K163-H163)</x:f>
      </x:c>
      <x:c r="M163" s="19" t="str">
        <x:f>IFERROR(L163/H163,"")</x:f>
      </x:c>
      <x:c r="N163" s="18"/>
      <x:c r="O163" s="23"/>
      <x:c r="P163" s="23" t="str">
        <x:f>IF(OR(I163="",O163=""),"",I163*O163)</x:f>
      </x:c>
      <x:c r="Q163" s="23" t="str">
        <x:f>IF(P163="","",P163-H163)</x:f>
      </x:c>
      <x:c r="R163" s="44"/>
    </x:row>
    <x:row r="164">
      <x:c r="F164" s="18"/>
      <x:c r="G164" s="23"/>
      <x:c r="H164" s="23"/>
      <x:c r="I164" t="str">
        <x:f>IFERROR(H164/G164,"")</x:f>
      </x:c>
      <x:c r="J164" s="23"/>
      <x:c r="K164" s="23" t="str">
        <x:f>IF(OR(I164="",J164=""),"",I164*J164)</x:f>
      </x:c>
      <x:c r="L164" s="23" t="str">
        <x:f>IF(K164="","",K164-H164)</x:f>
      </x:c>
      <x:c r="M164" s="19" t="str">
        <x:f>IFERROR(L164/H164,"")</x:f>
      </x:c>
      <x:c r="N164" s="18"/>
      <x:c r="O164" s="23"/>
      <x:c r="P164" s="23" t="str">
        <x:f>IF(OR(I164="",O164=""),"",I164*O164)</x:f>
      </x:c>
      <x:c r="Q164" s="23" t="str">
        <x:f>IF(P164="","",P164-H164)</x:f>
      </x:c>
      <x:c r="R164" s="44"/>
    </x:row>
    <x:row r="165">
      <x:c r="F165" s="18"/>
      <x:c r="G165" s="23"/>
      <x:c r="H165" s="23"/>
      <x:c r="I165" t="str">
        <x:f>IFERROR(H165/G165,"")</x:f>
      </x:c>
      <x:c r="J165" s="23"/>
      <x:c r="K165" s="23" t="str">
        <x:f>IF(OR(I165="",J165=""),"",I165*J165)</x:f>
      </x:c>
      <x:c r="L165" s="23" t="str">
        <x:f>IF(K165="","",K165-H165)</x:f>
      </x:c>
      <x:c r="M165" s="19" t="str">
        <x:f>IFERROR(L165/H165,"")</x:f>
      </x:c>
      <x:c r="N165" s="18"/>
      <x:c r="O165" s="23"/>
      <x:c r="P165" s="23" t="str">
        <x:f>IF(OR(I165="",O165=""),"",I165*O165)</x:f>
      </x:c>
      <x:c r="Q165" s="23" t="str">
        <x:f>IF(P165="","",P165-H165)</x:f>
      </x:c>
      <x:c r="R165" s="44"/>
    </x:row>
    <x:row r="166">
      <x:c r="F166" s="18"/>
      <x:c r="G166" s="23"/>
      <x:c r="H166" s="23"/>
      <x:c r="I166" t="str">
        <x:f>IFERROR(H166/G166,"")</x:f>
      </x:c>
      <x:c r="J166" s="23"/>
      <x:c r="K166" s="23" t="str">
        <x:f>IF(OR(I166="",J166=""),"",I166*J166)</x:f>
      </x:c>
      <x:c r="L166" s="23" t="str">
        <x:f>IF(K166="","",K166-H166)</x:f>
      </x:c>
      <x:c r="M166" s="19" t="str">
        <x:f>IFERROR(L166/H166,"")</x:f>
      </x:c>
      <x:c r="N166" s="18"/>
      <x:c r="O166" s="23"/>
      <x:c r="P166" s="23" t="str">
        <x:f>IF(OR(I166="",O166=""),"",I166*O166)</x:f>
      </x:c>
      <x:c r="Q166" s="23" t="str">
        <x:f>IF(P166="","",P166-H166)</x:f>
      </x:c>
      <x:c r="R166" s="44"/>
    </x:row>
    <x:row r="167">
      <x:c r="F167" s="18"/>
      <x:c r="G167" s="23"/>
      <x:c r="H167" s="23"/>
      <x:c r="I167" t="str">
        <x:f>IFERROR(H167/G167,"")</x:f>
      </x:c>
      <x:c r="J167" s="23"/>
      <x:c r="K167" s="23" t="str">
        <x:f>IF(OR(I167="",J167=""),"",I167*J167)</x:f>
      </x:c>
      <x:c r="L167" s="23" t="str">
        <x:f>IF(K167="","",K167-H167)</x:f>
      </x:c>
      <x:c r="M167" s="19" t="str">
        <x:f>IFERROR(L167/H167,"")</x:f>
      </x:c>
      <x:c r="N167" s="18"/>
      <x:c r="O167" s="23"/>
      <x:c r="P167" s="23" t="str">
        <x:f>IF(OR(I167="",O167=""),"",I167*O167)</x:f>
      </x:c>
      <x:c r="Q167" s="23" t="str">
        <x:f>IF(P167="","",P167-H167)</x:f>
      </x:c>
      <x:c r="R167" s="44"/>
    </x:row>
    <x:row r="168">
      <x:c r="F168" s="18"/>
      <x:c r="G168" s="23"/>
      <x:c r="H168" s="23"/>
      <x:c r="I168" t="str">
        <x:f>IFERROR(H168/G168,"")</x:f>
      </x:c>
      <x:c r="J168" s="23"/>
      <x:c r="K168" s="23" t="str">
        <x:f>IF(OR(I168="",J168=""),"",I168*J168)</x:f>
      </x:c>
      <x:c r="L168" s="23" t="str">
        <x:f>IF(K168="","",K168-H168)</x:f>
      </x:c>
      <x:c r="M168" s="19" t="str">
        <x:f>IFERROR(L168/H168,"")</x:f>
      </x:c>
      <x:c r="N168" s="18"/>
      <x:c r="O168" s="23"/>
      <x:c r="P168" s="23" t="str">
        <x:f>IF(OR(I168="",O168=""),"",I168*O168)</x:f>
      </x:c>
      <x:c r="Q168" s="23" t="str">
        <x:f>IF(P168="","",P168-H168)</x:f>
      </x:c>
      <x:c r="R168" s="44"/>
    </x:row>
    <x:row r="169">
      <x:c r="F169" s="18"/>
      <x:c r="G169" s="23"/>
      <x:c r="H169" s="23"/>
      <x:c r="I169" t="str">
        <x:f>IFERROR(H169/G169,"")</x:f>
      </x:c>
      <x:c r="J169" s="23"/>
      <x:c r="K169" s="23" t="str">
        <x:f>IF(OR(I169="",J169=""),"",I169*J169)</x:f>
      </x:c>
      <x:c r="L169" s="23" t="str">
        <x:f>IF(K169="","",K169-H169)</x:f>
      </x:c>
      <x:c r="M169" s="19" t="str">
        <x:f>IFERROR(L169/H169,"")</x:f>
      </x:c>
      <x:c r="N169" s="18"/>
      <x:c r="O169" s="23"/>
      <x:c r="P169" s="23" t="str">
        <x:f>IF(OR(I169="",O169=""),"",I169*O169)</x:f>
      </x:c>
      <x:c r="Q169" s="23" t="str">
        <x:f>IF(P169="","",P169-H169)</x:f>
      </x:c>
      <x:c r="R169" s="44"/>
    </x:row>
    <x:row r="170">
      <x:c r="F170" s="18"/>
      <x:c r="G170" s="23"/>
      <x:c r="H170" s="23"/>
      <x:c r="I170" t="str">
        <x:f>IFERROR(H170/G170,"")</x:f>
      </x:c>
      <x:c r="J170" s="23"/>
      <x:c r="K170" s="23" t="str">
        <x:f>IF(OR(I170="",J170=""),"",I170*J170)</x:f>
      </x:c>
      <x:c r="L170" s="23" t="str">
        <x:f>IF(K170="","",K170-H170)</x:f>
      </x:c>
      <x:c r="M170" s="19" t="str">
        <x:f>IFERROR(L170/H170,"")</x:f>
      </x:c>
      <x:c r="N170" s="18"/>
      <x:c r="O170" s="23"/>
      <x:c r="P170" s="23" t="str">
        <x:f>IF(OR(I170="",O170=""),"",I170*O170)</x:f>
      </x:c>
      <x:c r="Q170" s="23" t="str">
        <x:f>IF(P170="","",P170-H170)</x:f>
      </x:c>
      <x:c r="R170" s="44"/>
    </x:row>
    <x:row r="171">
      <x:c r="F171" s="18"/>
      <x:c r="G171" s="23"/>
      <x:c r="H171" s="23"/>
      <x:c r="I171" t="str">
        <x:f>IFERROR(H171/G171,"")</x:f>
      </x:c>
      <x:c r="J171" s="23"/>
      <x:c r="K171" s="23" t="str">
        <x:f>IF(OR(I171="",J171=""),"",I171*J171)</x:f>
      </x:c>
      <x:c r="L171" s="23" t="str">
        <x:f>IF(K171="","",K171-H171)</x:f>
      </x:c>
      <x:c r="M171" s="19" t="str">
        <x:f>IFERROR(L171/H171,"")</x:f>
      </x:c>
      <x:c r="N171" s="18"/>
      <x:c r="O171" s="23"/>
      <x:c r="P171" s="23" t="str">
        <x:f>IF(OR(I171="",O171=""),"",I171*O171)</x:f>
      </x:c>
      <x:c r="Q171" s="23" t="str">
        <x:f>IF(P171="","",P171-H171)</x:f>
      </x:c>
      <x:c r="R171" s="44"/>
    </x:row>
    <x:row r="172">
      <x:c r="F172" s="18"/>
      <x:c r="G172" s="23"/>
      <x:c r="H172" s="23"/>
      <x:c r="I172" t="str">
        <x:f>IFERROR(H172/G172,"")</x:f>
      </x:c>
      <x:c r="J172" s="23"/>
      <x:c r="K172" s="23" t="str">
        <x:f>IF(OR(I172="",J172=""),"",I172*J172)</x:f>
      </x:c>
      <x:c r="L172" s="23" t="str">
        <x:f>IF(K172="","",K172-H172)</x:f>
      </x:c>
      <x:c r="M172" s="19" t="str">
        <x:f>IFERROR(L172/H172,"")</x:f>
      </x:c>
      <x:c r="N172" s="18"/>
      <x:c r="O172" s="23"/>
      <x:c r="P172" s="23" t="str">
        <x:f>IF(OR(I172="",O172=""),"",I172*O172)</x:f>
      </x:c>
      <x:c r="Q172" s="23" t="str">
        <x:f>IF(P172="","",P172-H172)</x:f>
      </x:c>
      <x:c r="R172" s="44"/>
    </x:row>
    <x:row r="173">
      <x:c r="F173" s="18"/>
      <x:c r="G173" s="23"/>
      <x:c r="H173" s="23"/>
      <x:c r="I173" t="str">
        <x:f>IFERROR(H173/G173,"")</x:f>
      </x:c>
      <x:c r="J173" s="23"/>
      <x:c r="K173" s="23" t="str">
        <x:f>IF(OR(I173="",J173=""),"",I173*J173)</x:f>
      </x:c>
      <x:c r="L173" s="23" t="str">
        <x:f>IF(K173="","",K173-H173)</x:f>
      </x:c>
      <x:c r="M173" s="19" t="str">
        <x:f>IFERROR(L173/H173,"")</x:f>
      </x:c>
      <x:c r="N173" s="18"/>
      <x:c r="O173" s="23"/>
      <x:c r="P173" s="23" t="str">
        <x:f>IF(OR(I173="",O173=""),"",I173*O173)</x:f>
      </x:c>
      <x:c r="Q173" s="23" t="str">
        <x:f>IF(P173="","",P173-H173)</x:f>
      </x:c>
      <x:c r="R173" s="44"/>
    </x:row>
    <x:row r="174">
      <x:c r="F174" s="18"/>
      <x:c r="G174" s="23"/>
      <x:c r="H174" s="23"/>
      <x:c r="I174" t="str">
        <x:f>IFERROR(H174/G174,"")</x:f>
      </x:c>
      <x:c r="J174" s="23"/>
      <x:c r="K174" s="23" t="str">
        <x:f>IF(OR(I174="",J174=""),"",I174*J174)</x:f>
      </x:c>
      <x:c r="L174" s="23" t="str">
        <x:f>IF(K174="","",K174-H174)</x:f>
      </x:c>
      <x:c r="M174" s="19" t="str">
        <x:f>IFERROR(L174/H174,"")</x:f>
      </x:c>
      <x:c r="N174" s="18"/>
      <x:c r="O174" s="23"/>
      <x:c r="P174" s="23" t="str">
        <x:f>IF(OR(I174="",O174=""),"",I174*O174)</x:f>
      </x:c>
      <x:c r="Q174" s="23" t="str">
        <x:f>IF(P174="","",P174-H174)</x:f>
      </x:c>
      <x:c r="R174" s="44"/>
    </x:row>
    <x:row r="175">
      <x:c r="F175" s="18"/>
      <x:c r="G175" s="23"/>
      <x:c r="H175" s="23"/>
      <x:c r="I175" t="str">
        <x:f>IFERROR(H175/G175,"")</x:f>
      </x:c>
      <x:c r="J175" s="23"/>
      <x:c r="K175" s="23" t="str">
        <x:f>IF(OR(I175="",J175=""),"",I175*J175)</x:f>
      </x:c>
      <x:c r="L175" s="23" t="str">
        <x:f>IF(K175="","",K175-H175)</x:f>
      </x:c>
      <x:c r="M175" s="19" t="str">
        <x:f>IFERROR(L175/H175,"")</x:f>
      </x:c>
      <x:c r="N175" s="18"/>
      <x:c r="O175" s="23"/>
      <x:c r="P175" s="23" t="str">
        <x:f>IF(OR(I175="",O175=""),"",I175*O175)</x:f>
      </x:c>
      <x:c r="Q175" s="23" t="str">
        <x:f>IF(P175="","",P175-H175)</x:f>
      </x:c>
      <x:c r="R175" s="44"/>
    </x:row>
    <x:row r="176">
      <x:c r="F176" s="18"/>
      <x:c r="G176" s="23"/>
      <x:c r="H176" s="23"/>
      <x:c r="I176" t="str">
        <x:f>IFERROR(H176/G176,"")</x:f>
      </x:c>
      <x:c r="J176" s="23"/>
      <x:c r="K176" s="23" t="str">
        <x:f>IF(OR(I176="",J176=""),"",I176*J176)</x:f>
      </x:c>
      <x:c r="L176" s="23" t="str">
        <x:f>IF(K176="","",K176-H176)</x:f>
      </x:c>
      <x:c r="M176" s="19" t="str">
        <x:f>IFERROR(L176/H176,"")</x:f>
      </x:c>
      <x:c r="N176" s="18"/>
      <x:c r="O176" s="23"/>
      <x:c r="P176" s="23" t="str">
        <x:f>IF(OR(I176="",O176=""),"",I176*O176)</x:f>
      </x:c>
      <x:c r="Q176" s="23" t="str">
        <x:f>IF(P176="","",P176-H176)</x:f>
      </x:c>
      <x:c r="R176" s="44"/>
    </x:row>
    <x:row r="177">
      <x:c r="F177" s="18"/>
      <x:c r="G177" s="23"/>
      <x:c r="H177" s="23"/>
      <x:c r="I177" t="str">
        <x:f>IFERROR(H177/G177,"")</x:f>
      </x:c>
      <x:c r="J177" s="23"/>
      <x:c r="K177" s="23" t="str">
        <x:f>IF(OR(I177="",J177=""),"",I177*J177)</x:f>
      </x:c>
      <x:c r="L177" s="23" t="str">
        <x:f>IF(K177="","",K177-H177)</x:f>
      </x:c>
      <x:c r="M177" s="19" t="str">
        <x:f>IFERROR(L177/H177,"")</x:f>
      </x:c>
      <x:c r="N177" s="18"/>
      <x:c r="O177" s="23"/>
      <x:c r="P177" s="23" t="str">
        <x:f>IF(OR(I177="",O177=""),"",I177*O177)</x:f>
      </x:c>
      <x:c r="Q177" s="23" t="str">
        <x:f>IF(P177="","",P177-H177)</x:f>
      </x:c>
      <x:c r="R177" s="44"/>
    </x:row>
    <x:row r="178">
      <x:c r="F178" s="18"/>
      <x:c r="G178" s="23"/>
      <x:c r="H178" s="23"/>
      <x:c r="I178" t="str">
        <x:f>IFERROR(H178/G178,"")</x:f>
      </x:c>
      <x:c r="J178" s="23"/>
      <x:c r="K178" s="23" t="str">
        <x:f>IF(OR(I178="",J178=""),"",I178*J178)</x:f>
      </x:c>
      <x:c r="L178" s="23" t="str">
        <x:f>IF(K178="","",K178-H178)</x:f>
      </x:c>
      <x:c r="M178" s="19" t="str">
        <x:f>IFERROR(L178/H178,"")</x:f>
      </x:c>
      <x:c r="N178" s="18"/>
      <x:c r="O178" s="23"/>
      <x:c r="P178" s="23" t="str">
        <x:f>IF(OR(I178="",O178=""),"",I178*O178)</x:f>
      </x:c>
      <x:c r="Q178" s="23" t="str">
        <x:f>IF(P178="","",P178-H178)</x:f>
      </x:c>
      <x:c r="R178" s="44"/>
    </x:row>
    <x:row r="179">
      <x:c r="F179" s="18"/>
      <x:c r="G179" s="23"/>
      <x:c r="H179" s="23"/>
      <x:c r="I179" t="str">
        <x:f>IFERROR(H179/G179,"")</x:f>
      </x:c>
      <x:c r="J179" s="23"/>
      <x:c r="K179" s="23" t="str">
        <x:f>IF(OR(I179="",J179=""),"",I179*J179)</x:f>
      </x:c>
      <x:c r="L179" s="23" t="str">
        <x:f>IF(K179="","",K179-H179)</x:f>
      </x:c>
      <x:c r="M179" s="19" t="str">
        <x:f>IFERROR(L179/H179,"")</x:f>
      </x:c>
      <x:c r="N179" s="18"/>
      <x:c r="O179" s="23"/>
      <x:c r="P179" s="23" t="str">
        <x:f>IF(OR(I179="",O179=""),"",I179*O179)</x:f>
      </x:c>
      <x:c r="Q179" s="23" t="str">
        <x:f>IF(P179="","",P179-H179)</x:f>
      </x:c>
      <x:c r="R179" s="44"/>
    </x:row>
    <x:row r="180">
      <x:c r="F180" s="18"/>
      <x:c r="G180" s="23"/>
      <x:c r="H180" s="23"/>
      <x:c r="I180" t="str">
        <x:f>IFERROR(H180/G180,"")</x:f>
      </x:c>
      <x:c r="J180" s="23"/>
      <x:c r="K180" s="23" t="str">
        <x:f>IF(OR(I180="",J180=""),"",I180*J180)</x:f>
      </x:c>
      <x:c r="L180" s="23" t="str">
        <x:f>IF(K180="","",K180-H180)</x:f>
      </x:c>
      <x:c r="M180" s="19" t="str">
        <x:f>IFERROR(L180/H180,"")</x:f>
      </x:c>
      <x:c r="N180" s="18"/>
      <x:c r="O180" s="23"/>
      <x:c r="P180" s="23" t="str">
        <x:f>IF(OR(I180="",O180=""),"",I180*O180)</x:f>
      </x:c>
      <x:c r="Q180" s="23" t="str">
        <x:f>IF(P180="","",P180-H180)</x:f>
      </x:c>
      <x:c r="R180" s="44"/>
    </x:row>
    <x:row r="181">
      <x:c r="F181" s="18"/>
      <x:c r="G181" s="23"/>
      <x:c r="H181" s="23"/>
      <x:c r="I181" t="str">
        <x:f>IFERROR(H181/G181,"")</x:f>
      </x:c>
      <x:c r="J181" s="23"/>
      <x:c r="K181" s="23" t="str">
        <x:f>IF(OR(I181="",J181=""),"",I181*J181)</x:f>
      </x:c>
      <x:c r="L181" s="23" t="str">
        <x:f>IF(K181="","",K181-H181)</x:f>
      </x:c>
      <x:c r="M181" s="19" t="str">
        <x:f>IFERROR(L181/H181,"")</x:f>
      </x:c>
      <x:c r="N181" s="18"/>
      <x:c r="O181" s="23"/>
      <x:c r="P181" s="23" t="str">
        <x:f>IF(OR(I181="",O181=""),"",I181*O181)</x:f>
      </x:c>
      <x:c r="Q181" s="23" t="str">
        <x:f>IF(P181="","",P181-H181)</x:f>
      </x:c>
      <x:c r="R181" s="44"/>
    </x:row>
    <x:row r="182">
      <x:c r="F182" s="18"/>
      <x:c r="G182" s="23"/>
      <x:c r="H182" s="23"/>
      <x:c r="I182" t="str">
        <x:f>IFERROR(H182/G182,"")</x:f>
      </x:c>
      <x:c r="J182" s="23"/>
      <x:c r="K182" s="23" t="str">
        <x:f>IF(OR(I182="",J182=""),"",I182*J182)</x:f>
      </x:c>
      <x:c r="L182" s="23" t="str">
        <x:f>IF(K182="","",K182-H182)</x:f>
      </x:c>
      <x:c r="M182" s="19" t="str">
        <x:f>IFERROR(L182/H182,"")</x:f>
      </x:c>
      <x:c r="N182" s="18"/>
      <x:c r="O182" s="23"/>
      <x:c r="P182" s="23" t="str">
        <x:f>IF(OR(I182="",O182=""),"",I182*O182)</x:f>
      </x:c>
      <x:c r="Q182" s="23" t="str">
        <x:f>IF(P182="","",P182-H182)</x:f>
      </x:c>
      <x:c r="R182" s="44"/>
    </x:row>
    <x:row r="183">
      <x:c r="F183" s="18"/>
      <x:c r="G183" s="23"/>
      <x:c r="H183" s="23"/>
      <x:c r="I183" t="str">
        <x:f>IFERROR(H183/G183,"")</x:f>
      </x:c>
      <x:c r="J183" s="23"/>
      <x:c r="K183" s="23" t="str">
        <x:f>IF(OR(I183="",J183=""),"",I183*J183)</x:f>
      </x:c>
      <x:c r="L183" s="23" t="str">
        <x:f>IF(K183="","",K183-H183)</x:f>
      </x:c>
      <x:c r="M183" s="19" t="str">
        <x:f>IFERROR(L183/H183,"")</x:f>
      </x:c>
      <x:c r="N183" s="18"/>
      <x:c r="O183" s="23"/>
      <x:c r="P183" s="23" t="str">
        <x:f>IF(OR(I183="",O183=""),"",I183*O183)</x:f>
      </x:c>
      <x:c r="Q183" s="23" t="str">
        <x:f>IF(P183="","",P183-H183)</x:f>
      </x:c>
      <x:c r="R183" s="44"/>
    </x:row>
    <x:row r="184">
      <x:c r="F184" s="18"/>
      <x:c r="G184" s="23"/>
      <x:c r="H184" s="23"/>
      <x:c r="I184" t="str">
        <x:f>IFERROR(H184/G184,"")</x:f>
      </x:c>
      <x:c r="J184" s="23"/>
      <x:c r="K184" s="23" t="str">
        <x:f>IF(OR(I184="",J184=""),"",I184*J184)</x:f>
      </x:c>
      <x:c r="L184" s="23" t="str">
        <x:f>IF(K184="","",K184-H184)</x:f>
      </x:c>
      <x:c r="M184" s="19" t="str">
        <x:f>IFERROR(L184/H184,"")</x:f>
      </x:c>
      <x:c r="N184" s="18"/>
      <x:c r="O184" s="23"/>
      <x:c r="P184" s="23" t="str">
        <x:f>IF(OR(I184="",O184=""),"",I184*O184)</x:f>
      </x:c>
      <x:c r="Q184" s="23" t="str">
        <x:f>IF(P184="","",P184-H184)</x:f>
      </x:c>
      <x:c r="R184" s="44"/>
    </x:row>
    <x:row r="185">
      <x:c r="F185" s="18"/>
      <x:c r="G185" s="23"/>
      <x:c r="H185" s="23"/>
      <x:c r="I185" t="str">
        <x:f>IFERROR(H185/G185,"")</x:f>
      </x:c>
      <x:c r="J185" s="23"/>
      <x:c r="K185" s="23" t="str">
        <x:f>IF(OR(I185="",J185=""),"",I185*J185)</x:f>
      </x:c>
      <x:c r="L185" s="23" t="str">
        <x:f>IF(K185="","",K185-H185)</x:f>
      </x:c>
      <x:c r="M185" s="19" t="str">
        <x:f>IFERROR(L185/H185,"")</x:f>
      </x:c>
      <x:c r="N185" s="18"/>
      <x:c r="O185" s="23"/>
      <x:c r="P185" s="23" t="str">
        <x:f>IF(OR(I185="",O185=""),"",I185*O185)</x:f>
      </x:c>
      <x:c r="Q185" s="23" t="str">
        <x:f>IF(P185="","",P185-H185)</x:f>
      </x:c>
      <x:c r="R185" s="44"/>
    </x:row>
    <x:row r="186">
      <x:c r="F186" s="18"/>
      <x:c r="G186" s="23"/>
      <x:c r="H186" s="23"/>
      <x:c r="I186" t="str">
        <x:f>IFERROR(H186/G186,"")</x:f>
      </x:c>
      <x:c r="J186" s="23"/>
      <x:c r="K186" s="23" t="str">
        <x:f>IF(OR(I186="",J186=""),"",I186*J186)</x:f>
      </x:c>
      <x:c r="L186" s="23" t="str">
        <x:f>IF(K186="","",K186-H186)</x:f>
      </x:c>
      <x:c r="M186" s="19" t="str">
        <x:f>IFERROR(L186/H186,"")</x:f>
      </x:c>
      <x:c r="N186" s="18"/>
      <x:c r="O186" s="23"/>
      <x:c r="P186" s="23" t="str">
        <x:f>IF(OR(I186="",O186=""),"",I186*O186)</x:f>
      </x:c>
      <x:c r="Q186" s="23" t="str">
        <x:f>IF(P186="","",P186-H186)</x:f>
      </x:c>
      <x:c r="R186" s="44"/>
    </x:row>
    <x:row r="187">
      <x:c r="F187" s="18"/>
      <x:c r="G187" s="23"/>
      <x:c r="H187" s="23"/>
      <x:c r="I187" t="str">
        <x:f>IFERROR(H187/G187,"")</x:f>
      </x:c>
      <x:c r="J187" s="23"/>
      <x:c r="K187" s="23" t="str">
        <x:f>IF(OR(I187="",J187=""),"",I187*J187)</x:f>
      </x:c>
      <x:c r="L187" s="23" t="str">
        <x:f>IF(K187="","",K187-H187)</x:f>
      </x:c>
      <x:c r="M187" s="19" t="str">
        <x:f>IFERROR(L187/H187,"")</x:f>
      </x:c>
      <x:c r="N187" s="18"/>
      <x:c r="O187" s="23"/>
      <x:c r="P187" s="23" t="str">
        <x:f>IF(OR(I187="",O187=""),"",I187*O187)</x:f>
      </x:c>
      <x:c r="Q187" s="23" t="str">
        <x:f>IF(P187="","",P187-H187)</x:f>
      </x:c>
      <x:c r="R187" s="44"/>
    </x:row>
    <x:row r="188">
      <x:c r="F188" s="18"/>
      <x:c r="G188" s="23"/>
      <x:c r="H188" s="23"/>
      <x:c r="I188" t="str">
        <x:f>IFERROR(H188/G188,"")</x:f>
      </x:c>
      <x:c r="J188" s="23"/>
      <x:c r="K188" s="23" t="str">
        <x:f>IF(OR(I188="",J188=""),"",I188*J188)</x:f>
      </x:c>
      <x:c r="L188" s="23" t="str">
        <x:f>IF(K188="","",K188-H188)</x:f>
      </x:c>
      <x:c r="M188" s="19" t="str">
        <x:f>IFERROR(L188/H188,"")</x:f>
      </x:c>
      <x:c r="N188" s="18"/>
      <x:c r="O188" s="23"/>
      <x:c r="P188" s="23" t="str">
        <x:f>IF(OR(I188="",O188=""),"",I188*O188)</x:f>
      </x:c>
      <x:c r="Q188" s="23" t="str">
        <x:f>IF(P188="","",P188-H188)</x:f>
      </x:c>
      <x:c r="R188" s="44"/>
    </x:row>
    <x:row r="189">
      <x:c r="F189" s="18"/>
      <x:c r="G189" s="23"/>
      <x:c r="H189" s="23"/>
      <x:c r="I189" t="str">
        <x:f>IFERROR(H189/G189,"")</x:f>
      </x:c>
      <x:c r="J189" s="23"/>
      <x:c r="K189" s="23" t="str">
        <x:f>IF(OR(I189="",J189=""),"",I189*J189)</x:f>
      </x:c>
      <x:c r="L189" s="23" t="str">
        <x:f>IF(K189="","",K189-H189)</x:f>
      </x:c>
      <x:c r="M189" s="19" t="str">
        <x:f>IFERROR(L189/H189,"")</x:f>
      </x:c>
      <x:c r="N189" s="18"/>
      <x:c r="O189" s="23"/>
      <x:c r="P189" s="23" t="str">
        <x:f>IF(OR(I189="",O189=""),"",I189*O189)</x:f>
      </x:c>
      <x:c r="Q189" s="23" t="str">
        <x:f>IF(P189="","",P189-H189)</x:f>
      </x:c>
      <x:c r="R189" s="44"/>
    </x:row>
    <x:row r="190">
      <x:c r="F190" s="18"/>
      <x:c r="G190" s="23"/>
      <x:c r="H190" s="23"/>
      <x:c r="I190" t="str">
        <x:f>IFERROR(H190/G190,"")</x:f>
      </x:c>
      <x:c r="J190" s="23"/>
      <x:c r="K190" s="23" t="str">
        <x:f>IF(OR(I190="",J190=""),"",I190*J190)</x:f>
      </x:c>
      <x:c r="L190" s="23" t="str">
        <x:f>IF(K190="","",K190-H190)</x:f>
      </x:c>
      <x:c r="M190" s="19" t="str">
        <x:f>IFERROR(L190/H190,"")</x:f>
      </x:c>
      <x:c r="N190" s="18"/>
      <x:c r="O190" s="23"/>
      <x:c r="P190" s="23" t="str">
        <x:f>IF(OR(I190="",O190=""),"",I190*O190)</x:f>
      </x:c>
      <x:c r="Q190" s="23" t="str">
        <x:f>IF(P190="","",P190-H190)</x:f>
      </x:c>
      <x:c r="R190" s="44"/>
    </x:row>
    <x:row r="191">
      <x:c r="F191" s="18"/>
      <x:c r="G191" s="23"/>
      <x:c r="H191" s="23"/>
      <x:c r="I191" t="str">
        <x:f>IFERROR(H191/G191,"")</x:f>
      </x:c>
      <x:c r="J191" s="23"/>
      <x:c r="K191" s="23" t="str">
        <x:f>IF(OR(I191="",J191=""),"",I191*J191)</x:f>
      </x:c>
      <x:c r="L191" s="23" t="str">
        <x:f>IF(K191="","",K191-H191)</x:f>
      </x:c>
      <x:c r="M191" s="19" t="str">
        <x:f>IFERROR(L191/H191,"")</x:f>
      </x:c>
      <x:c r="N191" s="18"/>
      <x:c r="O191" s="23"/>
      <x:c r="P191" s="23" t="str">
        <x:f>IF(OR(I191="",O191=""),"",I191*O191)</x:f>
      </x:c>
      <x:c r="Q191" s="23" t="str">
        <x:f>IF(P191="","",P191-H191)</x:f>
      </x:c>
      <x:c r="R191" s="44"/>
    </x:row>
    <x:row r="192">
      <x:c r="F192" s="18"/>
      <x:c r="G192" s="23"/>
      <x:c r="H192" s="23"/>
      <x:c r="I192" t="str">
        <x:f>IFERROR(H192/G192,"")</x:f>
      </x:c>
      <x:c r="J192" s="23"/>
      <x:c r="K192" s="23" t="str">
        <x:f>IF(OR(I192="",J192=""),"",I192*J192)</x:f>
      </x:c>
      <x:c r="L192" s="23" t="str">
        <x:f>IF(K192="","",K192-H192)</x:f>
      </x:c>
      <x:c r="M192" s="19" t="str">
        <x:f>IFERROR(L192/H192,"")</x:f>
      </x:c>
      <x:c r="N192" s="18"/>
      <x:c r="O192" s="23"/>
      <x:c r="P192" s="23" t="str">
        <x:f>IF(OR(I192="",O192=""),"",I192*O192)</x:f>
      </x:c>
      <x:c r="Q192" s="23" t="str">
        <x:f>IF(P192="","",P192-H192)</x:f>
      </x:c>
      <x:c r="R192" s="44"/>
    </x:row>
    <x:row r="193">
      <x:c r="F193" s="18"/>
      <x:c r="G193" s="23"/>
      <x:c r="H193" s="23"/>
      <x:c r="I193" t="str">
        <x:f>IFERROR(H193/G193,"")</x:f>
      </x:c>
      <x:c r="J193" s="23"/>
      <x:c r="K193" s="23" t="str">
        <x:f>IF(OR(I193="",J193=""),"",I193*J193)</x:f>
      </x:c>
      <x:c r="L193" s="23" t="str">
        <x:f>IF(K193="","",K193-H193)</x:f>
      </x:c>
      <x:c r="M193" s="19" t="str">
        <x:f>IFERROR(L193/H193,"")</x:f>
      </x:c>
      <x:c r="N193" s="18"/>
      <x:c r="O193" s="23"/>
      <x:c r="P193" s="23" t="str">
        <x:f>IF(OR(I193="",O193=""),"",I193*O193)</x:f>
      </x:c>
      <x:c r="Q193" s="23" t="str">
        <x:f>IF(P193="","",P193-H193)</x:f>
      </x:c>
      <x:c r="R193" s="44"/>
    </x:row>
    <x:row r="194">
      <x:c r="F194" s="18"/>
      <x:c r="G194" s="23"/>
      <x:c r="H194" s="23"/>
      <x:c r="I194" t="str">
        <x:f>IFERROR(H194/G194,"")</x:f>
      </x:c>
      <x:c r="J194" s="23"/>
      <x:c r="K194" s="23" t="str">
        <x:f>IF(OR(I194="",J194=""),"",I194*J194)</x:f>
      </x:c>
      <x:c r="L194" s="23" t="str">
        <x:f>IF(K194="","",K194-H194)</x:f>
      </x:c>
      <x:c r="M194" s="19" t="str">
        <x:f>IFERROR(L194/H194,"")</x:f>
      </x:c>
      <x:c r="N194" s="18"/>
      <x:c r="O194" s="23"/>
      <x:c r="P194" s="23" t="str">
        <x:f>IF(OR(I194="",O194=""),"",I194*O194)</x:f>
      </x:c>
      <x:c r="Q194" s="23" t="str">
        <x:f>IF(P194="","",P194-H194)</x:f>
      </x:c>
      <x:c r="R194" s="44"/>
    </x:row>
    <x:row r="195">
      <x:c r="F195" s="18"/>
      <x:c r="G195" s="23"/>
      <x:c r="H195" s="23"/>
      <x:c r="I195" t="str">
        <x:f>IFERROR(H195/G195,"")</x:f>
      </x:c>
      <x:c r="J195" s="23"/>
      <x:c r="K195" s="23" t="str">
        <x:f>IF(OR(I195="",J195=""),"",I195*J195)</x:f>
      </x:c>
      <x:c r="L195" s="23" t="str">
        <x:f>IF(K195="","",K195-H195)</x:f>
      </x:c>
      <x:c r="M195" s="19" t="str">
        <x:f>IFERROR(L195/H195,"")</x:f>
      </x:c>
      <x:c r="N195" s="18"/>
      <x:c r="O195" s="23"/>
      <x:c r="P195" s="23" t="str">
        <x:f>IF(OR(I195="",O195=""),"",I195*O195)</x:f>
      </x:c>
      <x:c r="Q195" s="23" t="str">
        <x:f>IF(P195="","",P195-H195)</x:f>
      </x:c>
      <x:c r="R195" s="44"/>
    </x:row>
    <x:row r="196">
      <x:c r="F196" s="18"/>
      <x:c r="G196" s="23"/>
      <x:c r="H196" s="23"/>
      <x:c r="I196" t="str">
        <x:f>IFERROR(H196/G196,"")</x:f>
      </x:c>
      <x:c r="J196" s="23"/>
      <x:c r="K196" s="23" t="str">
        <x:f>IF(OR(I196="",J196=""),"",I196*J196)</x:f>
      </x:c>
      <x:c r="L196" s="23" t="str">
        <x:f>IF(K196="","",K196-H196)</x:f>
      </x:c>
      <x:c r="M196" s="19" t="str">
        <x:f>IFERROR(L196/H196,"")</x:f>
      </x:c>
      <x:c r="N196" s="18"/>
      <x:c r="O196" s="23"/>
      <x:c r="P196" s="23" t="str">
        <x:f>IF(OR(I196="",O196=""),"",I196*O196)</x:f>
      </x:c>
      <x:c r="Q196" s="23" t="str">
        <x:f>IF(P196="","",P196-H196)</x:f>
      </x:c>
      <x:c r="R196" s="44"/>
    </x:row>
    <x:row r="197">
      <x:c r="F197" s="18"/>
      <x:c r="G197" s="23"/>
      <x:c r="H197" s="23"/>
      <x:c r="I197" t="str">
        <x:f>IFERROR(H197/G197,"")</x:f>
      </x:c>
      <x:c r="J197" s="23"/>
      <x:c r="K197" s="23" t="str">
        <x:f>IF(OR(I197="",J197=""),"",I197*J197)</x:f>
      </x:c>
      <x:c r="L197" s="23" t="str">
        <x:f>IF(K197="","",K197-H197)</x:f>
      </x:c>
      <x:c r="M197" s="19" t="str">
        <x:f>IFERROR(L197/H197,"")</x:f>
      </x:c>
      <x:c r="N197" s="18"/>
      <x:c r="O197" s="23"/>
      <x:c r="P197" s="23" t="str">
        <x:f>IF(OR(I197="",O197=""),"",I197*O197)</x:f>
      </x:c>
      <x:c r="Q197" s="23" t="str">
        <x:f>IF(P197="","",P197-H197)</x:f>
      </x:c>
      <x:c r="R197" s="44"/>
    </x:row>
    <x:row r="198">
      <x:c r="F198" s="18"/>
      <x:c r="G198" s="23"/>
      <x:c r="H198" s="23"/>
      <x:c r="I198" t="str">
        <x:f>IFERROR(H198/G198,"")</x:f>
      </x:c>
      <x:c r="J198" s="23"/>
      <x:c r="K198" s="23" t="str">
        <x:f>IF(OR(I198="",J198=""),"",I198*J198)</x:f>
      </x:c>
      <x:c r="L198" s="23" t="str">
        <x:f>IF(K198="","",K198-H198)</x:f>
      </x:c>
      <x:c r="M198" s="19" t="str">
        <x:f>IFERROR(L198/H198,"")</x:f>
      </x:c>
      <x:c r="N198" s="18"/>
      <x:c r="O198" s="23"/>
      <x:c r="P198" s="23" t="str">
        <x:f>IF(OR(I198="",O198=""),"",I198*O198)</x:f>
      </x:c>
      <x:c r="Q198" s="23" t="str">
        <x:f>IF(P198="","",P198-H198)</x:f>
      </x:c>
      <x:c r="R198" s="44"/>
    </x:row>
    <x:row r="199">
      <x:c r="F199" s="18"/>
      <x:c r="G199" s="23"/>
      <x:c r="H199" s="23"/>
      <x:c r="I199" t="str">
        <x:f>IFERROR(H199/G199,"")</x:f>
      </x:c>
      <x:c r="J199" s="23"/>
      <x:c r="K199" s="23" t="str">
        <x:f>IF(OR(I199="",J199=""),"",I199*J199)</x:f>
      </x:c>
      <x:c r="L199" s="23" t="str">
        <x:f>IF(K199="","",K199-H199)</x:f>
      </x:c>
      <x:c r="M199" s="19" t="str">
        <x:f>IFERROR(L199/H199,"")</x:f>
      </x:c>
      <x:c r="N199" s="18"/>
      <x:c r="O199" s="23"/>
      <x:c r="P199" s="23" t="str">
        <x:f>IF(OR(I199="",O199=""),"",I199*O199)</x:f>
      </x:c>
      <x:c r="Q199" s="23" t="str">
        <x:f>IF(P199="","",P199-H199)</x:f>
      </x:c>
      <x:c r="R199" s="44"/>
    </x:row>
    <x:row r="200">
      <x:c r="F200" s="18"/>
      <x:c r="G200" s="23"/>
      <x:c r="H200" s="23"/>
      <x:c r="I200" t="str">
        <x:f>IFERROR(H200/G200,"")</x:f>
      </x:c>
      <x:c r="J200" s="23"/>
      <x:c r="K200" s="23" t="str">
        <x:f>IF(OR(I200="",J200=""),"",I200*J200)</x:f>
      </x:c>
      <x:c r="L200" s="23" t="str">
        <x:f>IF(K200="","",K200-H200)</x:f>
      </x:c>
      <x:c r="M200" s="19" t="str">
        <x:f>IFERROR(L200/H200,"")</x:f>
      </x:c>
      <x:c r="N200" s="18"/>
      <x:c r="O200" s="23"/>
      <x:c r="P200" s="23" t="str">
        <x:f>IF(OR(I200="",O200=""),"",I200*O200)</x:f>
      </x:c>
      <x:c r="Q200" s="23" t="str">
        <x:f>IF(P200="","",P200-H200)</x:f>
      </x:c>
      <x:c r="R200" s="44"/>
    </x:row>
    <x:row r="201">
      <x:c r="F201" s="18"/>
      <x:c r="G201" s="23"/>
      <x:c r="H201" s="23"/>
      <x:c r="I201" t="str">
        <x:f>IFERROR(H201/G201,"")</x:f>
      </x:c>
      <x:c r="J201" s="23"/>
      <x:c r="K201" s="23" t="str">
        <x:f>IF(OR(I201="",J201=""),"",I201*J201)</x:f>
      </x:c>
      <x:c r="L201" s="23" t="str">
        <x:f>IF(K201="","",K201-H201)</x:f>
      </x:c>
      <x:c r="M201" s="19" t="str">
        <x:f>IFERROR(L201/H201,"")</x:f>
      </x:c>
      <x:c r="N201" s="18"/>
      <x:c r="O201" s="23"/>
      <x:c r="P201" s="23" t="str">
        <x:f>IF(OR(I201="",O201=""),"",I201*O201)</x:f>
      </x:c>
      <x:c r="Q201" s="23" t="str">
        <x:f>IF(P201="","",P201-H201)</x:f>
      </x:c>
      <x:c r="R201" s="44"/>
    </x:row>
    <x:row r="202">
      <x:c r="F202" s="18"/>
      <x:c r="G202" s="23"/>
      <x:c r="H202" s="23"/>
      <x:c r="I202" t="str">
        <x:f>IFERROR(H202/G202,"")</x:f>
      </x:c>
      <x:c r="J202" s="23"/>
      <x:c r="K202" s="23" t="str">
        <x:f>IF(OR(I202="",J202=""),"",I202*J202)</x:f>
      </x:c>
      <x:c r="L202" s="23" t="str">
        <x:f>IF(K202="","",K202-H202)</x:f>
      </x:c>
      <x:c r="M202" s="19" t="str">
        <x:f>IFERROR(L202/H202,"")</x:f>
      </x:c>
      <x:c r="N202" s="18"/>
      <x:c r="O202" s="23"/>
      <x:c r="P202" s="23" t="str">
        <x:f>IF(OR(I202="",O202=""),"",I202*O202)</x:f>
      </x:c>
      <x:c r="Q202" s="23" t="str">
        <x:f>IF(P202="","",P202-H202)</x:f>
      </x:c>
      <x:c r="R202" s="44"/>
    </x:row>
    <x:row r="203">
      <x:c r="F203" s="18"/>
      <x:c r="G203" s="23"/>
      <x:c r="H203" s="23"/>
      <x:c r="I203" t="str">
        <x:f>IFERROR(H203/G203,"")</x:f>
      </x:c>
      <x:c r="J203" s="23"/>
      <x:c r="K203" s="23" t="str">
        <x:f>IF(OR(I203="",J203=""),"",I203*J203)</x:f>
      </x:c>
      <x:c r="L203" s="23" t="str">
        <x:f>IF(K203="","",K203-H203)</x:f>
      </x:c>
      <x:c r="M203" s="19" t="str">
        <x:f>IFERROR(L203/H203,"")</x:f>
      </x:c>
      <x:c r="N203" s="18"/>
      <x:c r="O203" s="23"/>
      <x:c r="P203" s="23" t="str">
        <x:f>IF(OR(I203="",O203=""),"",I203*O203)</x:f>
      </x:c>
      <x:c r="Q203" s="23" t="str">
        <x:f>IF(P203="","",P203-H203)</x:f>
      </x:c>
      <x:c r="R203" s="44"/>
    </x:row>
    <x:row r="204">
      <x:c r="F204" s="18"/>
      <x:c r="G204" s="23"/>
      <x:c r="H204" s="23"/>
      <x:c r="I204" t="str">
        <x:f>IFERROR(H204/G204,"")</x:f>
      </x:c>
      <x:c r="J204" s="23"/>
      <x:c r="K204" s="23" t="str">
        <x:f>IF(OR(I204="",J204=""),"",I204*J204)</x:f>
      </x:c>
      <x:c r="L204" s="23" t="str">
        <x:f>IF(K204="","",K204-H204)</x:f>
      </x:c>
      <x:c r="M204" s="19" t="str">
        <x:f>IFERROR(L204/H204,"")</x:f>
      </x:c>
      <x:c r="N204" s="18"/>
      <x:c r="O204" s="23"/>
      <x:c r="P204" s="23" t="str">
        <x:f>IF(OR(I204="",O204=""),"",I204*O204)</x:f>
      </x:c>
      <x:c r="Q204" s="23" t="str">
        <x:f>IF(P204="","",P204-H204)</x:f>
      </x:c>
      <x:c r="R204" s="44"/>
    </x:row>
    <x:row r="205">
      <x:c r="F205" s="18"/>
      <x:c r="G205" s="23"/>
      <x:c r="H205" s="23"/>
      <x:c r="I205" t="str">
        <x:f>IFERROR(H205/G205,"")</x:f>
      </x:c>
      <x:c r="J205" s="23"/>
      <x:c r="K205" s="23" t="str">
        <x:f>IF(OR(I205="",J205=""),"",I205*J205)</x:f>
      </x:c>
      <x:c r="L205" s="23" t="str">
        <x:f>IF(K205="","",K205-H205)</x:f>
      </x:c>
      <x:c r="M205" s="19" t="str">
        <x:f>IFERROR(L205/H205,"")</x:f>
      </x:c>
      <x:c r="N205" s="18"/>
      <x:c r="O205" s="23"/>
      <x:c r="P205" s="23" t="str">
        <x:f>IF(OR(I205="",O205=""),"",I205*O205)</x:f>
      </x:c>
      <x:c r="Q205" s="23" t="str">
        <x:f>IF(P205="","",P205-H205)</x:f>
      </x:c>
      <x:c r="R205" s="44"/>
    </x:row>
  </x:sheetData>
  <x:mergeCells>
    <x:mergeCell ref="A2:R2"/>
  </x:mergeCells>
  <x:pageMargins left="0.7" right="0.7" top="0.75" bottom="0.75" header="0.3" footer="0.3"/>
  <x:tableParts count="1">
    <x:tablePart xmlns:r="http://schemas.openxmlformats.org/officeDocument/2006/relationships" r:id="R005f47246f724d3f"/>
  </x:tableParts>
</x:worksheet>
</file>

<file path=xl/worksheets/sheet6.xml><?xml version="1.0" encoding="utf-8"?>
<x:worksheet xmlns:x="http://schemas.openxmlformats.org/spreadsheetml/2006/main">
  <x:sheetPr>
    <x:tabColor rgb="FF7C3AED"/>
  </x:sheetPr>
  <x:sheetViews>
    <x:sheetView showGridLines="0" workbookViewId="0">
      <x:pane ySplit="5" topLeftCell="A6" activePane="bottomLeft" state="frozen"/>
    </x:sheetView>
  </x:sheetViews>
  <x:sheetFormatPr defaultRowHeight="15"/>
  <x:cols>
    <x:col min="1" max="1" width="18" hidden="0" customWidth="1"/>
    <x:col min="2" max="2" width="18" hidden="0" customWidth="1"/>
    <x:col min="3" max="3" width="18" hidden="0" customWidth="1"/>
    <x:col min="4" max="4" width="28" hidden="0" customWidth="1"/>
    <x:col min="5" max="5" width="36" hidden="0" customWidth="1"/>
    <x:col min="6" max="6" width="18" hidden="0" customWidth="1"/>
    <x:col min="7" max="7" width="18" hidden="0" customWidth="1"/>
    <x:col min="8" max="8" width="18" hidden="0" customWidth="1"/>
    <x:col min="9" max="9" width="18" hidden="0" customWidth="1"/>
    <x:col min="10" max="10" width="38" hidden="0" customWidth="1"/>
  </x:cols>
  <x:sheetData>
    <x:row r="1">
      <x:c r="A1" s="1"/>
      <x:c r="B1" s="1"/>
      <x:c r="C1" s="1"/>
      <x:c r="D1" s="1"/>
      <x:c r="E1" s="1"/>
      <x:c r="F1" s="1"/>
      <x:c r="G1" s="1"/>
      <x:c r="H1" s="1"/>
      <x:c r="I1" s="1"/>
      <x:c r="J1" s="1"/>
    </x:row>
    <x:row r="2">
      <x:c r="A2" s="2" t="str">
        <x:v>Scan Runs</x:v>
      </x:c>
      <x:c r="B2" s="1"/>
      <x:c r="C2" s="1"/>
      <x:c r="D2" s="1"/>
      <x:c r="E2" s="1"/>
      <x:c r="F2" s="1"/>
      <x:c r="G2" s="1"/>
      <x:c r="H2" s="1"/>
      <x:c r="I2" s="1"/>
      <x:c r="J2" s="1"/>
    </x:row>
    <x:row r="3">
      <x:c r="A3" s="3"/>
      <x:c r="B3" s="3"/>
      <x:c r="C3" s="3"/>
      <x:c r="D3" s="3"/>
      <x:c r="E3" s="3"/>
      <x:c r="F3" s="3"/>
      <x:c r="G3" s="3"/>
      <x:c r="H3" s="3"/>
      <x:c r="I3" s="3"/>
      <x:c r="J3" s="3"/>
    </x:row>
    <x:row r="4">
      <x:c r="A4" s="1"/>
      <x:c r="B4" s="1"/>
      <x:c r="C4" s="1"/>
      <x:c r="D4" s="1"/>
      <x:c r="E4" s="1"/>
      <x:c r="F4" s="1"/>
      <x:c r="G4" s="1"/>
      <x:c r="H4" s="1"/>
      <x:c r="I4" s="1"/>
      <x:c r="J4" s="1"/>
    </x:row>
    <x:row r="5">
      <x:c r="A5" s="24" t="str">
        <x:v>Run ID</x:v>
      </x:c>
      <x:c r="B5" s="25" t="str">
        <x:v>Run At</x:v>
      </x:c>
      <x:c r="C5" s="25" t="str">
        <x:v>Task</x:v>
      </x:c>
      <x:c r="D5" s="25" t="str">
        <x:v>Scope</x:v>
      </x:c>
      <x:c r="E5" s="25" t="str">
        <x:v>Sources Checked</x:v>
      </x:c>
      <x:c r="F5" s="25" t="str">
        <x:v>New Triggers</x:v>
      </x:c>
      <x:c r="G5" s="25" t="str">
        <x:v>Theses Updated</x:v>
      </x:c>
      <x:c r="H5" s="25" t="str">
        <x:v>Evaluations Completed</x:v>
      </x:c>
      <x:c r="I5" s="25" t="str">
        <x:v>Alert Sent</x:v>
      </x:c>
      <x:c r="J5" s="26" t="str">
        <x:v>Notes</x:v>
      </x:c>
    </x:row>
    <x:row r="6">
      <x:c r="A6" s="27" t="str">
        <x:v>RUN-2026-09-11-0815</x:v>
      </x:c>
      <x:c r="B6" s="28" t="n">
        <x:v>46276.51043981482</x:v>
      </x:c>
      <x:c r="C6" s="27" t="str">
        <x:v>Easy E Invest daily scan</x:v>
      </x:c>
      <x:c r="D6" s="29" t="str">
        <x:v>Cross-sector: energy, macro, fixed income, commodities, defense, technology, regulation, sanctions and government awards</x:v>
      </x:c>
      <x:c r="E6" s="29" t="str">
        <x:v>USAspending; Congress; Federal Register; BLS; IEA reporting; Reuters; AP; SEC; market price and yield data</x:v>
      </x:c>
      <x:c r="F6" s="29" t="n">
        <x:v>3</x:v>
      </x:c>
      <x:c r="G6" s="29" t="n">
        <x:v>3</x:v>
      </x:c>
      <x:c r="H6" s="29" t="n">
        <x:v>0</x:v>
      </x:c>
      <x:c r="I6" s="29" t="str">
        <x:v>Yes</x:v>
      </x:c>
      <x:c r="J6" s="29" t="str">
        <x:v>New qualifying macro thesis EEI-2026-004. EEI-2026-001 strengthened and became Actionable but remains WAIT. EEI-2026-003 trading edge fell. No material USAspending new award was independently confirmed; reported Pentagon-Fluidstack loan talks remain unconfirmed and were not promoted.</x:v>
      </x:c>
    </x:row>
    <x:row r="7">
      <x:c r="A7" s="27" t="str">
        <x:v>RUN-2026-09-11-1142</x:v>
      </x:c>
      <x:c r="B7" s="28" t="n">
        <x:v>46276.65429398148</x:v>
      </x:c>
      <x:c r="C7" s="27" t="str">
        <x:v>2026 midterm thesis check</x:v>
      </x:c>
      <x:c r="D7" s="29" t="str">
        <x:v>EEI-2026-003 only: congressional-control outlook, policy developments, breadth, volatility, rates, inflation, oil, earnings and candidate sectors</x:v>
      </x:c>
      <x:c r="E7" s="29" t="str">
        <x:v>BLS; Federal Reserve calendar; Reuters; market price data; current published election coverage</x:v>
      </x:c>
      <x:c r="F7" s="29" t="n">
        <x:v>0</x:v>
      </x:c>
      <x:c r="G7" s="29" t="n">
        <x:v>1</x:v>
      </x:c>
      <x:c r="H7" s="29" t="n">
        <x:v>0</x:v>
      </x:c>
      <x:c r="I7" s="29" t="str">
        <x:v>Yes</x:v>
      </x:c>
      <x:c r="J7" s="29" t="str">
        <x:v>CPI and consumer sentiment strengthened the macro contradiction. Friday's rebound had positive breadth, but SPY still outperformed RSP and IWM. EEI-2026-003 remains Developing; trading edge remains limited; Entry Window WAIT and inactive until Actionable. No automatic trade.</x:v>
      </x:c>
    </x:row>
    <x:row r="8">
      <x:c r="A8" s="27" t="str">
        <x:v>RUN-2026-09-12-0759</x:v>
      </x:c>
      <x:c r="B8" s="51" t="n">
        <x:v>46277.49940972222</x:v>
      </x:c>
      <x:c r="C8" s="27" t="str">
        <x:v>Easy E Invest daily scan</x:v>
      </x:c>
      <x:c r="D8" s="29" t="str">
        <x:v>Cross-sector: energy, macro, fixed income, commodities, defense, healthcare/biotech, technology, trade policy, sanctions, supply chains and government awards</x:v>
      </x:c>
      <x:c r="E8" s="29" t="str">
        <x:v>USAspending; Congressional and Federal Register sources; BLS; IEA context; Reuters; AP; Financial Times; Commerce/Trade; FDA; market data and prior ledger evidence</x:v>
      </x:c>
      <x:c r="F8" s="29" t="n">
        <x:v>4</x:v>
      </x:c>
      <x:c r="G8" s="29" t="n">
        <x:v>2</x:v>
      </x:c>
      <x:c r="H8" s="29" t="n">
        <x:v>0</x:v>
      </x:c>
      <x:c r="I8" s="29" t="str">
        <x:v>Yes</x:v>
      </x:c>
      <x:c r="J8" s="29" t="str">
        <x:v>EEI-2026-001 materially strengthened after the East-West pipeline shutdown; confidence remains 5/5, edge drops to 1/5 and Entry Window remains WAIT because the Saturday trigger lacks market confirmation and creates gap risk. EEI-2026-004 was reinforced by ECB commentary but stayed Actionable 4/5, edge 2/5, WAIT. Solar import duties, Scholar Rock's FDA approval, AI legislation and critical-minerals restrictions were reviewed but not promoted: implementation, prior expectation, confirmation or remaining edge was insufficient. No material new USAspending award passed new-award, confirmation and materiality tests.</x:v>
      </x:c>
    </x:row>
    <x:row r="9">
      <x:c r="A9" s="27" t="str">
        <x:v>RUN-2026-09-12-1115</x:v>
      </x:c>
      <x:c r="B9" s="28" t="n">
        <x:v>46277.63582175926</x:v>
      </x:c>
      <x:c r="C9" s="27" t="str">
        <x:v>2026 midterm thesis check</x:v>
      </x:c>
      <x:c r="D9" s="29" t="str">
        <x:v>EEI-2026-003 only: congressional-control outlook, policy developments, breadth, volatility, rates, inflation, oil, earnings and candidate sectors</x:v>
      </x:c>
      <x:c r="E9" s="29" t="str">
        <x:v>Cook Political Report; Reuters; Associated Press; BLS; Federal Reserve calendar; market price data; prior ledger evidence</x:v>
      </x:c>
      <x:c r="F9" s="29" t="n">
        <x:v>1</x:v>
      </x:c>
      <x:c r="G9" s="29" t="n">
        <x:v>1</x:v>
      </x:c>
      <x:c r="H9" s="29" t="n">
        <x:v>0</x:v>
      </x:c>
      <x:c r="I9" s="29" t="str">
        <x:v>Yes</x:v>
      </x:c>
      <x:c r="J9" s="29" t="str">
        <x:v>No verified change in congressional-control outlook or candidate-sector policy. The East-West pipeline shutdown materially worsened the energy-inflation modifier. Friday's final close showed positive S&amp;P 500 breadth but no sustained confirmation from RSP, IWM, health care or biotech. EEI-2026-003 remains Developing; trading edge remains limited; Entry Window WAIT and inactive until Actionable.</x:v>
      </x:c>
    </x:row>
    <x:row r="10">
      <x:c r="A10" s="27" t="str">
        <x:v>RUN-2026-09-13-0752</x:v>
      </x:c>
      <x:c r="B10" s="51" t="n">
        <x:v>46278.49491898148</x:v>
      </x:c>
      <x:c r="C10" s="27" t="str">
        <x:v>Easy E Invest daily scan</x:v>
      </x:c>
      <x:c r="D10" s="29" t="str">
        <x:v>Cross-sector: energy, macro, fixed income, commodities, defense, healthcare/biotech, technology, trade policy, sanctions, supply chains, market positioning and government awards</x:v>
      </x:c>
      <x:c r="E10" s="29" t="str">
        <x:v>USAspending; Defense and Federal Register sources; Reuters; Associated Press; UKMTO reporting; BLS and IEA context; FDA; company and market data; prior ledger evidence</x:v>
      </x:c>
      <x:c r="F10" s="29" t="n">
        <x:v>3</x:v>
      </x:c>
      <x:c r="G10" s="29" t="n">
        <x:v>2</x:v>
      </x:c>
      <x:c r="H10" s="29" t="n">
        <x:v>0</x:v>
      </x:c>
      <x:c r="I10" s="29" t="str">
        <x:v>Yes</x:v>
      </x:c>
      <x:c r="J10" s="29" t="str">
        <x:v>EEI-2026-001 materially strengthened after a projectile struck a Hormuz vessel and Saudi equities supplied the first regional post-pipeline market reaction. Confidence stays 5/5, edge 1/5 and Entry Window WAIT because crude and U.S. funds have not traded since the weekend attacks. EEI-2026-004 gained evidence from 98% U.S. refinery utilization and possible DPA capacity support, but no decision or state change occurred. DPA refining talks, German investment shifts, FDA items and other policy/corporate events did not justify new theses. USAspending checks found Peraton order 693KA726F00020 ($30.9M current, $15.5M obligated, $54.5M potential; DOT/FAA; NAICS 541512; delivery order under 693KA726D00003; awarded March 6, 2026, through December 31, 2028; not a new weekend award; private recipient; previously announced prime-integrator relationship) and Global Solutions Group order 140D0425F0838 ($2.3M current/obligated, $3.1M potential; DOI; BPA call; NAICS 541511; period ended September 12, 2026); neither was a new material public-company signal.</x:v>
      </x:c>
    </x:row>
    <x:row r="11">
      <x:c r="A11" s="27" t="str">
        <x:v>RUN-2026-09-13-1110</x:v>
      </x:c>
      <x:c r="B11" s="28" t="n">
        <x:v>46278.63196759259</x:v>
      </x:c>
      <x:c r="C11" s="27" t="str">
        <x:v>2026 midterm thesis check</x:v>
      </x:c>
      <x:c r="D11" s="29" t="str">
        <x:v>EEI-2026-003 only: congressional-control outlook, policy developments, breadth, volatility, rates, inflation, oil, earnings and candidate sectors</x:v>
      </x:c>
      <x:c r="E11" s="29" t="str">
        <x:v>Cook Political Report; Reuters; Associated Press; BLS; Federal Reserve calendar; Saudi market data; prior ledger evidence</x:v>
      </x:c>
      <x:c r="F11" s="29" t="n">
        <x:v>1</x:v>
      </x:c>
      <x:c r="G11" s="29" t="n">
        <x:v>1</x:v>
      </x:c>
      <x:c r="H11" s="29" t="n">
        <x:v>0</x:v>
      </x:c>
      <x:c r="I11" s="29" t="str">
        <x:v>Yes</x:v>
      </x:c>
      <x:c r="J11" s="29" t="str">
        <x:v>No independently verified congressional-control or candidate-sector policy trigger emerged. Pipeline repair-duration and export-stock reports materially worsened the oil-inflation-rates modifier, and Saudi equities confirmed regional risk aversion. EEI-2026-003 remains Developing with confidence 3/5, trading edge reduced to 1/5, and Entry Window WAIT and inactive until Actionable. No automatic trade.</x:v>
      </x:c>
    </x:row>
    <x:row r="12">
      <x:c r="A12" s="27" t="str">
        <x:v>RUN-2026-09-14-0908</x:v>
      </x:c>
      <x:c r="B12" s="28" t="n">
        <x:v>46279.38055555556</x:v>
      </x:c>
      <x:c r="C12" s="27" t="str">
        <x:v>Easy E Invest daily scan</x:v>
      </x:c>
      <x:c r="D12" s="29" t="str">
        <x:v>Separate reviews: energy market; 2026 midterm thesis; Motley Fool watch; plus cross-sector government awards, critical minerals, macro, healthcare, consumer, defense, technology, sanctions, supply chains and market confirmation</x:v>
      </x:c>
      <x:c r="E12" s="29" t="str">
        <x:v>Methodology and prior ledger; USAspending and DLA award reporting; Congress/Federal Register; Reuters; AP; SEC/EDGAR; company investor materials; market data; public Motley Fool editorial pages</x:v>
      </x:c>
      <x:c r="F12" s="29" t="n">
        <x:v>8</x:v>
      </x:c>
      <x:c r="G12" s="29" t="n">
        <x:v>6</x:v>
      </x:c>
      <x:c r="H12" s="29" t="n">
        <x:v>0</x:v>
      </x:c>
      <x:c r="I12" s="29" t="str">
        <x:v>Yes</x:v>
      </x:c>
      <x:c r="J12" s="29" t="str">
        <x:v>EEI-2026-001 gained liquid futures and physical-market confirmation but remains Actionable 5/5, edge 1/5, Entry Window WAIT. EEI-2026-004 was reinforced but remains WAIT before the Fed. No verified change to the separate 2026 midterm thesis. Motley Fool queue: created EEI-2026-005 BMY (Developing), EEI-2026-006 LULU (Hypothesis) and EEI-2026-007 AVAV (Strong), with Motley Fool recorded only as trigger; Everspin and Kraken articles were rejected and recorded. New EEI-2026-008 tungsten thesis is Actionable 4/5, edge 2/5, WAIT. Reported DLA award: Elmet subsidiary; action reported as new award; $150M guaranteed commitment; ~$2B potential ceiling; obligated amount, award ID, NAICS/PSC, competition and period unavailable pending USAspending/agency indexing; highly material relative to Elmet; publicly announced and likely not fully expected. No other material new USAspending award passed the screen.</x:v>
      </x:c>
    </x:row>
    <x:row r="13">
      <x:c r="A13" s="27" t="str">
        <x:v>RUN-2026-09-15-0813</x:v>
      </x:c>
      <x:c r="B13" s="28" t="n">
        <x:v>46280.34236111111</x:v>
      </x:c>
      <x:c r="C13" s="27" t="str">
        <x:v>Easy E Invest daily scan</x:v>
      </x:c>
      <x:c r="D13" s="29" t="str">
        <x:v>Separate reviews: energy market; 2026 midterm thesis; Motley Fool watch; plus cross-sector government awards, macro, fixed income, healthcare, consumer, technology, defense, critical minerals and market confirmation</x:v>
      </x:c>
      <x:c r="E13" s="29" t="str">
        <x:v>Methodology and prior ledger; USAspending/DLA and Department of War; Reuters; SEC/issuer filings; Barron's; market data; Federal Reserve/BLS calendars; public Motley Fool editorial pages</x:v>
      </x:c>
      <x:c r="F13" s="29" t="n">
        <x:v>2</x:v>
      </x:c>
      <x:c r="G13" s="29" t="n">
        <x:v>2</x:v>
      </x:c>
      <x:c r="H13" s="29" t="n">
        <x:v>0</x:v>
      </x:c>
      <x:c r="I13" s="29" t="str">
        <x:v>Yes</x:v>
      </x:c>
      <x:c r="J13" s="29" t="str">
        <x:v>EEI-2026-008 received primary Department of War confirmation, but ELMT's roughly 33% September 14 jump reduced trading edge from 2/5 to 1/5; status remains Actionable and Entry Window WAIT. EEI-2026-001 received additional physical and market evidence plus an acute-risk contradiction; confidence 5/5, edge 1/5 and WAIT are unchanged. The separate 2026 midterm thesis had no independently verified policy/control catalyst and was not re-scored. New public Motley Fool comparisons were screened as trigger-only and rejected for lack of a new distinct catalyst; BMY, LULU and AVAV stages were unchanged. No other new public-company USAspending award passed award-record, confirmation and materiality checks. No horizon matured; formal evaluations remain pending.</x:v>
      </x:c>
    </x:row>
    <x:row r="14">
      <x:c r="A14" s="27" t="str">
        <x:v>RUN-2026-09-14-1155</x:v>
      </x:c>
      <x:c r="B14" s="28" t="n">
        <x:v>46279.66349537037</x:v>
      </x:c>
      <x:c r="C14" s="27" t="str">
        <x:v>2026 midterm thesis check</x:v>
      </x:c>
      <x:c r="D14" s="29" t="str">
        <x:v>EEI-2026-003 only: congressional-control outlook, policy developments, breadth, volatility, rates, inflation, oil, earnings and candidate sectors</x:v>
      </x:c>
      <x:c r="E14" s="29" t="str">
        <x:v>Reuters; BLS; market price and yield data; prior ledger evidence</x:v>
      </x:c>
      <x:c r="F14" s="29" t="n">
        <x:v>0</x:v>
      </x:c>
      <x:c r="G14" s="29" t="n">
        <x:v>1</x:v>
      </x:c>
      <x:c r="H14" s="29" t="n">
        <x:v>0</x:v>
      </x:c>
      <x:c r="I14" s="29" t="str">
        <x:v>Yes</x:v>
      </x:c>
      <x:c r="J14" s="29" t="str">
        <x:v>Backfilled on September 15 after the prior workbook-write interruption. Monday's final close showed a lower headline market, mixed internal breadth, industrial weakness, oil above $105 and the 10-year yield briefly above 5%. EEI-2026-003 remained Developing with confidence 3/5, trading edge 1/5 and Entry Window WAIT inactive until Actionable.</x:v>
      </x:c>
    </x:row>
    <x:row r="15">
      <x:c r="A15" s="27" t="str">
        <x:v>RUN-2026-09-15-1142</x:v>
      </x:c>
      <x:c r="B15" s="28" t="n">
        <x:v>46280.654594907406</x:v>
      </x:c>
      <x:c r="C15" s="27" t="str">
        <x:v>2026 midterm thesis check</x:v>
      </x:c>
      <x:c r="D15" s="29" t="str">
        <x:v>EEI-2026-003 only: congressional-control outlook, policy developments, breadth, volatility, rates, inflation, oil, earnings and candidate sectors</x:v>
      </x:c>
      <x:c r="E15" s="29" t="str">
        <x:v>Reuters/Ipsos; Cook Political Report public coverage; BLS; Federal Reserve calendar; Reuters market, oil and rates reporting; delayed ETF market data; prior ledger evidence</x:v>
      </x:c>
      <x:c r="F15" s="29" t="n">
        <x:v>1</x:v>
      </x:c>
      <x:c r="G15" s="29" t="n">
        <x:v>1</x:v>
      </x:c>
      <x:c r="H15" s="29" t="n">
        <x:v>0</x:v>
      </x:c>
      <x:c r="I15" s="29" t="str">
        <x:v>Yes</x:v>
      </x:c>
      <x:c r="J15" s="29" t="str">
        <x:v>The Reuters/Ipsos generic ballot is a new national-sentiment trigger but does not establish chamber control or a policy outcome. Tuesday's negative breadth, IWM/XBI underperformance, Brent above $107 and the 10-year yield above 5% weaken market confirmation and trading edge. EEI-2026-003 remains Developing, confidence 3/5, edge 1/5, Entry Window WAIT inactive until Actionable. No automatic trade.</x:v>
      </x:c>
    </x:row>
    <x:row r="16">
      <x:c r="A16" s="27" t="str">
        <x:v>RUN-2026-09-16-0752</x:v>
      </x:c>
      <x:c r="B16" s="28" t="n">
        <x:v>46281.32777777778</x:v>
      </x:c>
      <x:c r="C16" s="27" t="str">
        <x:v>Easy E Invest daily scan</x:v>
      </x:c>
      <x:c r="D16" s="29" t="str">
        <x:v>Separate reviews: energy market; 2026 midterm thesis; Motley Fool watch; plus cross-sector government awards, macro, fixed income, healthcare, consumer, technology, defense, critical minerals and market confirmation</x:v>
      </x:c>
      <x:c r="E16" s="29" t="str">
        <x:v>Methodology and prior ledger; USAspending and Department of War award reporting; Reuters; EIA context; company and SEC materials; market data; public Motley Fool editorial pages</x:v>
      </x:c>
      <x:c r="F16" s="29" t="n">
        <x:v>4</x:v>
      </x:c>
      <x:c r="G16" s="29" t="n">
        <x:v>2</x:v>
      </x:c>
      <x:c r="H16" s="29" t="n">
        <x:v>0</x:v>
      </x:c>
      <x:c r="I16" s="29" t="str">
        <x:v>Yes</x:v>
      </x:c>
      <x:c r="J16" s="29" t="str">
        <x:v>Created EEI-2026-009, global diesel scarcity and refining margins, as Strong 4/5 with trading edge 1/5 and Entry Window WAIT after record Asian diesel cracks and confirmed European physical shortages. EEI-2026-001 retained Actionable 5/5, edge 1/5 and WAIT, but Saudi rerouting, possible pipeline repair and a large U.S. crude inventory build increased reversal risk. The separate midterm thesis had no verified policy or market-structure change and was not re-scored. New public Motley Fool articles on Anthropic-linked AMZN/GOOG exposure and Nvidia were rejected as non-distinct, already-known ideas; BMY, LULU and AVAV were unchanged. No material new USAspending public-company award passed confirmation and materiality checks. No horizon matured.</x:v>
      </x:c>
    </x:row>
    <x:row r="17">
      <x:c r="A17" s="27" t="str">
        <x:v>RUN-2026-09-16-1136</x:v>
      </x:c>
      <x:c r="B17" s="28" t="n">
        <x:v>46281.65054398148</x:v>
      </x:c>
      <x:c r="C17" s="27" t="str">
        <x:v>2026 midterm thesis check</x:v>
      </x:c>
      <x:c r="D17" s="29" t="str">
        <x:v>EEI-2026-003 only: congressional-control outlook, policy developments, breadth, volatility, rates, inflation, oil, earnings and candidate sectors</x:v>
      </x:c>
      <x:c r="E17" s="29" t="str">
        <x:v>Cook Political Report; Reuters; Federal Reserve schedule; Commerce Department and BLS reporting; delayed ETF market data; prior ledger evidence</x:v>
      </x:c>
      <x:c r="F17" s="29" t="n">
        <x:v>0</x:v>
      </x:c>
      <x:c r="G17" s="29" t="n">
        <x:v>1</x:v>
      </x:c>
      <x:c r="H17" s="29" t="n">
        <x:v>0</x:v>
      </x:c>
      <x:c r="I17" s="29" t="str">
        <x:v>Yes</x:v>
      </x:c>
      <x:c r="J17" s="29" t="str">
        <x:v>Wednesday's pre-Fed tape reversed Tuesday's negative breadth: industrials, materials, small caps and biotech participated while crude eased. Equal weight still lagged SPY, financials declined, import inflation remained high and the 2 p.m. Fed decision was pending. EEI-2026-003 remains Developing; existing confidence and trading-edge fields are unchanged; Entry Window WAIT remains inactive until Actionable. No automatic trade.</x:v>
      </x:c>
    </x:row>
    <x:row r="18">
      <x:c r="A18" s="27" t="str">
        <x:v>RUN-2026-09-17-0748</x:v>
      </x:c>
      <x:c r="B18" s="28" t="n">
        <x:v>46282.325</x:v>
      </x:c>
      <x:c r="C18" s="27" t="str">
        <x:v>Easy E Invest daily scan</x:v>
      </x:c>
      <x:c r="D18" s="29" t="str">
        <x:v>Separate reviews: energy market; 2026 midterm thesis; Motley Fool watch; plus cross-sector government awards, macro, fixed income, healthcare, consumer, technology, defense, critical minerals and market confirmation</x:v>
      </x:c>
      <x:c r="E18" s="29" t="str">
        <x:v>Methodology and prior ledger; Reuters; Federal Reserve; FAA; USAspending and government award records; company announcements; public Motley Fool editorial pages; market data</x:v>
      </x:c>
      <x:c r="F18" s="29" t="n">
        <x:v>7</x:v>
      </x:c>
      <x:c r="G18" s="29" t="n">
        <x:v>3</x:v>
      </x:c>
      <x:c r="H18" s="29" t="n">
        <x:v>0</x:v>
      </x:c>
      <x:c r="I18" s="29" t="str">
        <x:v>Yes</x:v>
      </x:c>
      <x:c r="J18" s="29" t="str">
        <x:v>EEI-2026-009 promoted from Strong to Actionable at confidence 5/5 after record product markets gained independent confirmation from extremely low Hormuz traffic, Russian refinery outages and regional export rationing. Trading edge remains 1/5 and Entry Window WAIT because prices and crack spreads are at records and policy intervention has begun. EEI-2026-004 remains Actionable but trading edge fell from 2/5 to 1/5: the Fed delivered the predicted 25 bp hike, yet long yields eased and the clean expression did not confirm. EEI-2026-001 remains Actionable 5/5, edge 1/5, WAIT: physical disruption persists but rerouting and expected pipeline repair are easing crude prices. No material change to the separate midterm thesis. Public Motley Fool ideas on TSM, VKTX and JOBY were screened and rejected as new theses; existing BMY, LULU and AVAV classifications were unchanged. The IBM/Anderon $1 billion CHIPS award finalization was not a new surprise and was not material enough to create a thesis. No material new USAspending public-company contract passed full confirmation and materiality checks.</x:v>
      </x:c>
    </x:row>
    <x:row r="19">
      <x:c r="A19" s="27" t="str">
        <x:v>RUN-2026-09-17-1104</x:v>
      </x:c>
      <x:c r="B19" s="28" t="n">
        <x:v>46282.6278125</x:v>
      </x:c>
      <x:c r="C19" s="27" t="str">
        <x:v>2026 midterm thesis check</x:v>
      </x:c>
      <x:c r="D19" s="29" t="str">
        <x:v>EEI-2026-003 only: congressional-control outlook, policy developments, breadth, volatility, rates, inflation, oil, earnings and candidate sectors</x:v>
      </x:c>
      <x:c r="E19" s="29" t="str">
        <x:v>Cook Political Report; Sabato's Crystal Ball; Reuters; Federal Reserve; FactSet; delayed ETF market data; prior ledger evidence</x:v>
      </x:c>
      <x:c r="F19" s="29" t="n">
        <x:v>0</x:v>
      </x:c>
      <x:c r="G19" s="29" t="n">
        <x:v>1</x:v>
      </x:c>
      <x:c r="H19" s="29" t="n">
        <x:v>0</x:v>
      </x:c>
      <x:c r="I19" s="29" t="str">
        <x:v>Yes</x:v>
      </x:c>
      <x:c r="J19" s="29" t="str">
        <x:v>The first full post-Fed session materially improved breadth: all S&amp;P sectors rose, exchange breadth was strongly positive, VIX fell, and IWM and XBI outperformed while crude and the 10-year yield eased. The confirmation is incomplete because RSP still lagged SPY, XLF declined, further Fed tightening remains possible and no House or Senate control outcome has been independently established. EEI-2026-003 remains Developing; existing confidence and trading-edge fields are unchanged; Entry Window WAIT remains inactive until Actionable. No automatic trade.</x:v>
      </x:c>
    </x:row>
    <x:row r="20">
      <x:c r="A20" s="27" t="str">
        <x:v>RUN-2026-09-18-0828</x:v>
      </x:c>
      <x:c r="B20" s="28" t="n">
        <x:v>46283.3533217593</x:v>
      </x:c>
      <x:c r="C20" s="27" t="str">
        <x:v>Easy E Invest daily scan</x:v>
      </x:c>
      <x:c r="D20" s="29" t="str">
        <x:v>Separate reviews: energy market; 2026 midterm thesis; Motley Fool watch; plus cross-sector government awards, macro, fixed income, healthcare, consumer, technology, defense, critical minerals and market confirmation</x:v>
      </x:c>
      <x:c r="E20" s="29" t="str">
        <x:v>Methodology and prior ledger; Reuters; Associated Press; Federal Reserve; Wall Street Journal; USAspending and Department of War records; SEC and company materials; public Motley Fool editorial pages; market price data</x:v>
      </x:c>
      <x:c r="F20" s="29" t="n">
        <x:v>7</x:v>
      </x:c>
      <x:c r="G20" s="29" t="n">
        <x:v>4</x:v>
      </x:c>
      <x:c r="H20" s="29" t="n">
        <x:v>2</x:v>
      </x:c>
      <x:c r="I20" s="29" t="str">
        <x:v>Yes</x:v>
      </x:c>
      <x:c r="J20" s="29" t="str">
        <x:v>Completed the scheduled outcome evaluations for EEI-2026-001 and EEI-2026-004. EEI-2026-001 closed with all five questions Yes and a calculated 100% score: the crude supply-risk variable, direction, timing and direct expressions were confirmed, while WAIT protected against chasing. EEI-2026-004 closed at a calculated 60% score: the inflation/policy variable and timing were confirmed, but long yields and the TBF expression moved opposite the frozen prediction; WAIT protected the result. EEI-2026-009 received further physical confirmation from the Joliet refinery outage but remains Actionable 5/5, edge 1/5 and WAIT because logistics are adapting and prices already reflect scarcity. EEI-2026-008 reached an interim documentation checkpoint only; its multi-year horizon remains open and formal outcomes stay blank. No material change to the separate midterm thesis. Public Motley Fool ideas on XOM/COP, VZ, SKHY/NVDA/ASML, HUBB and CAPE timing were screened and rejected or retained as watches without creating duplicate theses. No material new USAspending public-company award passed confirmation and materiality checks. Dashboard sync: GitHub commit 65a2355c1159adbf85a7c837df304f6b7457b020 succeeded. Render auto-deploy could not be independently verified because the connected Render session returned INVALID_ARGUMENT for the selected workspace and service listing; the public site is not represented as current.</x:v>
      </x:c>
    </x:row>
    <x:row r="21">
      <x:c r="A21" s="27" t="str">
        <x:v>RUN-2026-09-18-1103</x:v>
      </x:c>
      <x:c r="B21" s="54" t="n">
        <x:v>46283.4610069444</x:v>
      </x:c>
      <x:c r="C21" s="27" t="str">
        <x:v>2026 midterm thesis check</x:v>
      </x:c>
      <x:c r="D21" s="29" t="str">
        <x:v>EEI-2026-003 only: congressional-control outlook, policy developments, breadth, volatility, rates, inflation, oil, earnings and candidate sectors</x:v>
      </x:c>
      <x:c r="E21" s="29" t="str">
        <x:v>Reuters; Cook Political Report public coverage; FactSet; Federal Reserve and BLS context; intraday ETF market data; prior ledger evidence</x:v>
      </x:c>
      <x:c r="F21" s="29" t="n">
        <x:v>0</x:v>
      </x:c>
      <x:c r="G21" s="29" t="n">
        <x:v>1</x:v>
      </x:c>
      <x:c r="H21" s="29" t="n">
        <x:v>0</x:v>
      </x:c>
      <x:c r="I21" s="29" t="str">
        <x:v>Yes</x:v>
      </x:c>
      <x:c r="J21" s="29" t="str">
        <x:v>Friday failed to confirm Thursday's broadening: exchange breadth turned negative, RSP lagged SPY, and IWM/XBI underperformed while the 10-year yield returned near 5% and Brent stayed above $104. Congressional control remains unresolved; advertising escalation in Ohio confirms campaign intensity but not an outcome. EEI-2026-003 remains Developing with confidence 3/5, trading edge 1/5 and Entry Window WAIT inactive until Actionable. No automatic trade.</x:v>
      </x:c>
    </x:row>
    <x:row r="22">
      <x:c r="A22" s="27" t="str">
        <x:v>RUN-2026-09-19-0756</x:v>
      </x:c>
      <x:c r="B22" s="28" t="n">
        <x:v>46284.33085648148</x:v>
      </x:c>
      <x:c r="C22" s="27" t="str">
        <x:v>Easy E Invest daily scan</x:v>
      </x:c>
      <x:c r="D22" s="29" t="str">
        <x:v>Separate reviews: energy market; 2026 midterm thesis; Motley Fool watch; plus cross-sector government awards, trade policy, grid infrastructure, macro, fixed income, healthcare, consumer, technology, defense, critical minerals and market confirmation</x:v>
      </x:c>
      <x:c r="E22" s="29" t="str">
        <x:v>Methodology and prior ledger; European Commission and EUR-Lex; Reuters; Department of War contract announcements; USAspending public records; company and SEC materials; public Motley Fool editorial pages; Friday market data</x:v>
      </x:c>
      <x:c r="F22" s="29" t="n">
        <x:v>10</x:v>
      </x:c>
      <x:c r="G22" s="29" t="n">
        <x:v>2</x:v>
      </x:c>
      <x:c r="H22" s="29" t="n">
        <x:v>1</x:v>
      </x:c>
      <x:c r="I22" s="29" t="str">
        <x:v>Yes</x:v>
      </x:c>
      <x:c r="J22" s="29" t="str">
        <x:v>Created EEI-2026-010 as a distinct Developing thesis after the European Commission imposed provisional safeguards across the GOES-to-transformer-core value chain. Confidence is 3/5, trading edge 2/5 and Entry Window WAIT because the 155-day measure still needs a member-state vote for definitive adoption, company-level pass-through is unproven and public expressions are indirect or illiquid. EEI-2026-009 received stronger physical evidence from Aramco's cancellation of October term deliveries to some European refiners, while the planned G7 energy meeting increased policy-intervention risk; its stage and Entry Window remain unchanged. The separate midterm thesis had no new election-specific event and no new market session; its ledger fields were not changed. Public Motley Fool articles on SOFI, SNDK/NKE, OKLO/CCJ, NVDA/AVGO/MRVL/MU and PLUG were investigated and rejected as new theses because catalysts were old, already priced, non-distinct or unsupported by a favorable entry. Existing BMY, LULU and AVAV assessments were unchanged. The September 18 Lockheed Martin F-35 action was a non-competed modification to an existing IDIQ ceiling with zero dollars obligated at award, not a new material surprise; no new public-company USAspending award passed full confirmation and materiality checks. No real trade was made. Dashboard sync: GitHub commit 608e125991c7b3dd0089b42e10ac900cb9afd893 succeeded. Render auto-deploy could not be independently verified because the connected Render session returned INVALID_ARGUMENT for the selected workspace and service listing; the public site is not represented as current.</x:v>
      </x:c>
    </x:row>
    <x:row r="23">
      <x:c r="A23" s="27" t="str">
        <x:v>RUN-2026-09-19-1124</x:v>
      </x:c>
      <x:c r="B23" s="54" t="n">
        <x:v>46284.4750462963</x:v>
      </x:c>
      <x:c r="C23" s="27" t="str">
        <x:v>2026 midterm thesis check</x:v>
      </x:c>
      <x:c r="D23" s="29" t="str">
        <x:v>EEI-2026-003 only: congressional-control outlook, policy developments, breadth, volatility, rates, inflation, oil, earnings and candidate sectors</x:v>
      </x:c>
      <x:c r="E23" s="29" t="str">
        <x:v>Reuters; Cook Political Report public race pages; FactSet context; Federal Reserve and BLS context; Friday ETF close data; prior ledger evidence</x:v>
      </x:c>
      <x:c r="F23" s="29" t="n">
        <x:v>0</x:v>
      </x:c>
      <x:c r="G23" s="29" t="n">
        <x:v>1</x:v>
      </x:c>
      <x:c r="H23" s="29" t="n">
        <x:v>0</x:v>
      </x:c>
      <x:c r="I23" s="29" t="str">
        <x:v>Yes</x:v>
      </x:c>
      <x:c r="J23" s="29" t="str">
        <x:v>Friday's final close confirmed that Thursday's broadening did not persist: technology led, exchange breadth was negative, RSP/IWM/XBI lagged SPY, the 10-year yield topped 5% and oil stayed above $100. XLI showed relative resilience, while CPER strength diverged from XLB weakness. New reporting on party coordination and Ohio data-center policy adds uncertainty and a sector modifier but no chamber-control trigger. EEI-2026-003 remains Developing; existing confidence and trading-edge fields are unchanged; Entry Window WAIT remains inactive until Actionable. No automatic trade.</x:v>
      </x:c>
    </x:row>
    <x:row r="24">
      <x:c r="A24" s="27" t="str">
        <x:v>RUN-2026-09-20-0801</x:v>
      </x:c>
      <x:c r="B24" s="28" t="n">
        <x:v>46285.3341319444</x:v>
      </x:c>
      <x:c r="C24" s="27" t="str">
        <x:v>Easy E Invest daily scan</x:v>
      </x:c>
      <x:c r="D24" s="29" t="str">
        <x:v>Separate reviews: energy market; 2026 midterm thesis; Motley Fool watch; plus cross-sector government awards, trade policy, macro, fixed income, healthcare, consumer, technology, defense, critical minerals and market confirmation</x:v>
      </x:c>
      <x:c r="E24" s="29" t="str">
        <x:v>Methodology and prior ledger; Reuters; Financial Times; Wall Street Journal; Department of War and public award searches; company and SEC-context reporting; public Motley Fool editorial pages; Friday and Sunday market data</x:v>
      </x:c>
      <x:c r="F24" s="29" t="n">
        <x:v>7</x:v>
      </x:c>
      <x:c r="G24" s="29" t="n">
        <x:v>1</x:v>
      </x:c>
      <x:c r="H24" s="29" t="n">
        <x:v>0</x:v>
      </x:c>
      <x:c r="I24" s="29" t="str">
        <x:v>Yes</x:v>
      </x:c>
      <x:c r="J24" s="29" t="str">
        <x:v>EEI-2026-009 remains Actionable with its existing confidence, trading-edge and Entry Window fields unchanged. A further Russian refinery strike and independent refinery-chokepoint reporting strengthened the physical scarcity evidence, while marine biodiesel becoming cheaper than marine gasoil created a meaningful substitution cap on fossil-diesel demand. With U.S. markets closed and no new liquid confirmation, Entry Window remains WAIT. The separate midterm thesis received no new chamber-control evidence and no new U.S. market session; its stage and numerical fields were not changed. Public Motley Fool ideas on BE/PLUG, PL, BA/MQ-25 and MPLX were investigated and rejected as new theses because catalysts were old, already repriced, immaterial, or lacked primary award detail; generic articles on TSM, NKE, KO and dividend screens failed the basic relevance threshold. Existing BMY, LULU and AVAV assessments were unchanged. No new USAspending public-company award passed full confirmation and materiality checks. No real trade was made. Dashboard sync: GitHub commit f91195d20b574ff0e2ce917134e5ea81112c1d97 succeeded. Render auto-deploy could not be independently verified because the connected Render session returned INVALID_ARGUMENT for both workspace and service queries; the public site is not represented as current.</x:v>
      </x:c>
    </x:row>
    <x:row r="25">
      <x:c r="A25" s="27" t="str">
        <x:v>RUN-2026-09-21-0826</x:v>
      </x:c>
      <x:c r="B25" s="54" t="n">
        <x:v>46286.35158564815</x:v>
      </x:c>
      <x:c r="C25" s="27" t="str">
        <x:v>Easy E Invest daily scan</x:v>
      </x:c>
      <x:c r="D25" s="29" t="str">
        <x:v>Separate reviews: energy market; 2026 midterm thesis; Motley Fool watch; plus cross-sector government awards, trade policy, macro, fixed income, healthcare, consumer, technology, defense, critical minerals, shipping and market confirmation</x:v>
      </x:c>
      <x:c r="E25" s="29" t="str">
        <x:v>Methodology and prior ledger; Reuters; Wall Street Journal; Associated Press; EIA and Indian government data as reported; USAspending and defense-award searches; public Motley Fool editorial pages; current market data</x:v>
      </x:c>
      <x:c r="F25" s="29" t="n">
        <x:v>9</x:v>
      </x:c>
      <x:c r="G25" s="29" t="n">
        <x:v>4</x:v>
      </x:c>
      <x:c r="H25" s="29" t="n">
        <x:v>1</x:v>
      </x:c>
      <x:c r="I25" s="29" t="str">
        <x:v>Yes</x:v>
      </x:c>
      <x:c r="J25" s="29" t="str">
        <x:v>Created EEI-2026-011, Gulf tanker shortage and VLCC freight, as Strong 4/5 with trading edge 1/5 and Entry Window WAIT after record freight, a large ship-to-ship shuttle system and Trafigura's tanker-fleet launch confirmed the mechanism. EEI-2026-002 advanced from Developing to Strong at confidence 4/5, with trading edge reduced to 2/5 and Entry Window WAIT: QatarEnergy disclosed a multi-year LNG repair burden and possible expansion delays, while Indian coal demand strengthened; alternative LNG supply and logistical constraints remain material contradictions. EEI-2026-009 remains Actionable 5/5, edge 1/5 and WAIT after EIA data extended the distillate-inventory shortage through most of 2027; record margins and mixed equity pricing argue against chasing. The separate midterm thesis received a factual Nevada policy observation but no chamber-control conclusion or ledger-score change. A new public Motley Fool Bloom Energy podcast was investigated and rejected as a repeated, already-priced catalyst; BMY, LULU and AVAV were unchanged. No new public-company USAspending award passed full confirmation and materiality checks. No real trade was made.</x:v>
      </x:c>
    </x:row>
    <x:row r="26">
      <x:c r="A26" s="27" t="str">
        <x:v>RUN-2026-09-21-1108</x:v>
      </x:c>
      <x:c r="B26" s="54" t="n">
        <x:v>46286.4643402778</x:v>
      </x:c>
      <x:c r="C26" s="27" t="str">
        <x:v>2026 midterm thesis check</x:v>
      </x:c>
      <x:c r="D26" s="29" t="str">
        <x:v>EEI-2026-003 only: congressional-control outlook, policy developments, breadth, volatility, rates, inflation, oil, earnings and candidate sectors</x:v>
      </x:c>
      <x:c r="E26" s="29" t="str">
        <x:v>Methodology and prior ledger; Reuters; Cook Political Report public ratings summary; delayed ETF market data; Federal Reserve commentary context</x:v>
      </x:c>
      <x:c r="F26" s="29" t="n">
        <x:v>0</x:v>
      </x:c>
      <x:c r="G26" s="29" t="n">
        <x:v>1</x:v>
      </x:c>
      <x:c r="H26" s="29" t="n">
        <x:v>0</x:v>
      </x:c>
      <x:c r="I26" s="29" t="str">
        <x:v>Yes</x:v>
      </x:c>
      <x:c r="J26" s="29" t="str">
        <x:v>No independent House or Senate control trigger emerged. Oil fell more than 3%, the 10-year yield moved below 5% and exchange breadth was positive, but SPY's AI-led gain substantially exceeded RSP while XLI, XLB and XLF lagged. XBI outperformed and IWM participated less strongly, providing limited confirmation outside mega-cap technology. The U.S.-China talks established an AI-safety dialogue but did not extend the November trade truce. EEI-2026-003 remains Developing; the investment-thesis confidence and trading-edge fields are unchanged; Entry Window WAIT remains inactive until Actionable. No automatic trade.</x:v>
      </x:c>
    </x:row>
    <x:row r="27">
      <x:c r="A27" s="27" t="str">
        <x:v>RUN-2026-09-22-0806</x:v>
      </x:c>
      <x:c r="B27" s="28" t="n">
        <x:v>46287.50418981481</x:v>
      </x:c>
      <x:c r="C27" s="27" t="str">
        <x:v>Easy E Invest daily scan</x:v>
      </x:c>
      <x:c r="D27" s="29" t="str">
        <x:v>Separate reviews: energy market; 2026 midterm thesis; Motley Fool watch; plus cross-sector government awards, industrial gas demand, geothermal, defense, technology, healthcare, shipping and market confirmation</x:v>
      </x:c>
      <x:c r="E27" s="29" t="str">
        <x:v>Methodology and prior ledger; Reuters; U.S. Army; U.S. Department of Energy; public Motley Fool editorial pages; company materials; current commodity and premarket data</x:v>
      </x:c>
      <x:c r="F27" s="29" t="n">
        <x:v>8</x:v>
      </x:c>
      <x:c r="G27" s="29" t="n">
        <x:v>3</x:v>
      </x:c>
      <x:c r="H27" s="29" t="n">
        <x:v>0</x:v>
      </x:c>
      <x:c r="I27" s="29" t="str">
        <x:v>Yes</x:v>
      </x:c>
      <x:c r="J27" s="29" t="str">
        <x:v>Saudi Arabia restarted the East-West Pipeline at a low rate and Iran signaled possible Hormuz reopening, producing the strongest current normalization evidence. EEI-2026-009 remains Actionable 5/5, edge 1/5 and WAIT because diesel prices and refined-product scarcity remain separately confirmed, while refining equities weakened. EEI-2026-011 remains Strong 4/5, edge 1/5 and WAIT: Venezuelan Aframax costs confirm global tanker scarcity, but pipeline restoration and possible route normalization directly challenge Gulf shuttle demand. EEI-2026-003 received a neutral factual update only; no House or Senate control conclusion was made. Public Motley Fool ideas on META, IONQ, ASTS and BNTX were investigated and rejected as new theses; BMY, LULU and AVAV were unchanged. The Lockheed $1.2 billion PrSM IDIQ and DOE $99 million geothermal selections did not clear parent-company materiality or final-award tests. No real trade was made. Render auto-deploy verification could not be completed because the connected Render session has no workspace selected. The connector requires an explicit user-confirmed workspace ID and does not permit an automated run to choose one; the public site is not represented as current.</x:v>
      </x:c>
    </x:row>
    <x:row r="28">
      <x:c r="A28" s="27"/>
      <x:c r="B28" s="28"/>
      <x:c r="C28" s="27"/>
      <x:c r="D28" s="29"/>
      <x:c r="E28" s="29"/>
      <x:c r="F28" s="29"/>
      <x:c r="G28" s="29"/>
      <x:c r="H28" s="29"/>
      <x:c r="I28" s="29"/>
      <x:c r="J28" s="29"/>
    </x:row>
    <x:row r="29">
      <x:c r="A29" s="27"/>
      <x:c r="B29" s="28"/>
      <x:c r="C29" s="27"/>
      <x:c r="D29" s="29"/>
      <x:c r="E29" s="29"/>
      <x:c r="F29" s="29"/>
      <x:c r="G29" s="29"/>
      <x:c r="H29" s="29"/>
      <x:c r="I29" s="29"/>
      <x:c r="J29" s="29"/>
    </x:row>
    <x:row r="30">
      <x:c r="A30" s="27"/>
      <x:c r="B30" s="28"/>
      <x:c r="C30" s="27"/>
      <x:c r="D30" s="29"/>
      <x:c r="E30" s="29"/>
      <x:c r="F30" s="29"/>
      <x:c r="G30" s="29"/>
      <x:c r="H30" s="29"/>
      <x:c r="I30" s="29"/>
      <x:c r="J30" s="29"/>
    </x:row>
    <x:row r="31">
      <x:c r="A31" s="27"/>
      <x:c r="B31" s="28"/>
      <x:c r="C31" s="27"/>
      <x:c r="D31" s="29"/>
      <x:c r="E31" s="29"/>
      <x:c r="F31" s="29"/>
      <x:c r="G31" s="29"/>
      <x:c r="H31" s="29"/>
      <x:c r="I31" s="29"/>
      <x:c r="J31" s="29"/>
    </x:row>
    <x:row r="32">
      <x:c r="A32" s="27"/>
      <x:c r="B32" s="28"/>
      <x:c r="C32" s="27"/>
      <x:c r="D32" s="29"/>
      <x:c r="E32" s="29"/>
      <x:c r="F32" s="29"/>
      <x:c r="G32" s="29"/>
      <x:c r="H32" s="29"/>
      <x:c r="I32" s="29"/>
      <x:c r="J32" s="29"/>
    </x:row>
    <x:row r="33">
      <x:c r="A33" s="27"/>
      <x:c r="B33" s="28"/>
      <x:c r="C33" s="27"/>
      <x:c r="D33" s="29"/>
      <x:c r="E33" s="29"/>
      <x:c r="F33" s="29"/>
      <x:c r="G33" s="29"/>
      <x:c r="H33" s="29"/>
      <x:c r="I33" s="29"/>
      <x:c r="J33" s="29"/>
    </x:row>
    <x:row r="34">
      <x:c r="A34" s="27"/>
      <x:c r="B34" s="28"/>
      <x:c r="C34" s="27"/>
      <x:c r="D34" s="29"/>
      <x:c r="E34" s="29"/>
      <x:c r="F34" s="29"/>
      <x:c r="G34" s="29"/>
      <x:c r="H34" s="29"/>
      <x:c r="I34" s="29"/>
      <x:c r="J34" s="29"/>
    </x:row>
    <x:row r="35">
      <x:c r="A35" s="27"/>
      <x:c r="B35" s="28"/>
      <x:c r="C35" s="27"/>
      <x:c r="D35" s="29"/>
      <x:c r="E35" s="29"/>
      <x:c r="F35" s="29"/>
      <x:c r="G35" s="29"/>
      <x:c r="H35" s="29"/>
      <x:c r="I35" s="29"/>
      <x:c r="J35" s="29"/>
    </x:row>
    <x:row r="36">
      <x:c r="A36" s="27"/>
      <x:c r="B36" s="28"/>
      <x:c r="C36" s="27"/>
      <x:c r="D36" s="29"/>
      <x:c r="E36" s="29"/>
      <x:c r="F36" s="29"/>
      <x:c r="G36" s="29"/>
      <x:c r="H36" s="29"/>
      <x:c r="I36" s="29"/>
      <x:c r="J36" s="29"/>
    </x:row>
    <x:row r="37">
      <x:c r="A37" s="27"/>
      <x:c r="B37" s="28"/>
      <x:c r="C37" s="27"/>
      <x:c r="D37" s="29"/>
      <x:c r="E37" s="29"/>
      <x:c r="F37" s="29"/>
      <x:c r="G37" s="29"/>
      <x:c r="H37" s="29"/>
      <x:c r="I37" s="29"/>
      <x:c r="J37" s="29"/>
    </x:row>
    <x:row r="38">
      <x:c r="A38" s="27"/>
      <x:c r="B38" s="28"/>
      <x:c r="C38" s="27"/>
      <x:c r="D38" s="29"/>
      <x:c r="E38" s="29"/>
      <x:c r="F38" s="29"/>
      <x:c r="G38" s="29"/>
      <x:c r="H38" s="29"/>
      <x:c r="I38" s="29"/>
      <x:c r="J38" s="29"/>
    </x:row>
    <x:row r="39">
      <x:c r="A39" s="27"/>
      <x:c r="B39" s="28"/>
      <x:c r="C39" s="27"/>
      <x:c r="D39" s="29"/>
      <x:c r="E39" s="29"/>
      <x:c r="F39" s="29"/>
      <x:c r="G39" s="29"/>
      <x:c r="H39" s="29"/>
      <x:c r="I39" s="29"/>
      <x:c r="J39" s="29"/>
    </x:row>
    <x:row r="40">
      <x:c r="A40" s="27"/>
      <x:c r="B40" s="28"/>
      <x:c r="C40" s="27"/>
      <x:c r="D40" s="29"/>
      <x:c r="E40" s="29"/>
      <x:c r="F40" s="29"/>
      <x:c r="G40" s="29"/>
      <x:c r="H40" s="29"/>
      <x:c r="I40" s="29"/>
      <x:c r="J40" s="29"/>
    </x:row>
    <x:row r="41">
      <x:c r="A41" s="27"/>
      <x:c r="B41" s="28"/>
      <x:c r="C41" s="27"/>
      <x:c r="D41" s="29"/>
      <x:c r="E41" s="29"/>
      <x:c r="F41" s="29"/>
      <x:c r="G41" s="29"/>
      <x:c r="H41" s="29"/>
      <x:c r="I41" s="29"/>
      <x:c r="J41" s="29"/>
    </x:row>
    <x:row r="42">
      <x:c r="A42" s="27"/>
      <x:c r="B42" s="28"/>
      <x:c r="C42" s="27"/>
      <x:c r="D42" s="29"/>
      <x:c r="E42" s="29"/>
      <x:c r="F42" s="29"/>
      <x:c r="G42" s="29"/>
      <x:c r="H42" s="29"/>
      <x:c r="I42" s="29"/>
      <x:c r="J42" s="29"/>
    </x:row>
    <x:row r="43">
      <x:c r="A43" s="27"/>
      <x:c r="B43" s="28"/>
      <x:c r="C43" s="27"/>
      <x:c r="D43" s="29"/>
      <x:c r="E43" s="29"/>
      <x:c r="F43" s="29"/>
      <x:c r="G43" s="29"/>
      <x:c r="H43" s="29"/>
      <x:c r="I43" s="29"/>
      <x:c r="J43" s="29"/>
    </x:row>
    <x:row r="44">
      <x:c r="A44" s="27"/>
      <x:c r="B44" s="28"/>
      <x:c r="C44" s="27"/>
      <x:c r="D44" s="29"/>
      <x:c r="E44" s="29"/>
      <x:c r="F44" s="29"/>
      <x:c r="G44" s="29"/>
      <x:c r="H44" s="29"/>
      <x:c r="I44" s="29"/>
      <x:c r="J44" s="29"/>
    </x:row>
    <x:row r="45">
      <x:c r="A45" s="27"/>
      <x:c r="B45" s="28"/>
      <x:c r="C45" s="27"/>
      <x:c r="D45" s="29"/>
      <x:c r="E45" s="29"/>
      <x:c r="F45" s="29"/>
      <x:c r="G45" s="29"/>
      <x:c r="H45" s="29"/>
      <x:c r="I45" s="29"/>
      <x:c r="J45" s="29"/>
    </x:row>
    <x:row r="46">
      <x:c r="A46" s="27"/>
      <x:c r="B46" s="28"/>
      <x:c r="C46" s="27"/>
      <x:c r="D46" s="29"/>
      <x:c r="E46" s="29"/>
      <x:c r="F46" s="29"/>
      <x:c r="G46" s="29"/>
      <x:c r="H46" s="29"/>
      <x:c r="I46" s="29"/>
      <x:c r="J46" s="29"/>
    </x:row>
    <x:row r="47">
      <x:c r="A47" s="27"/>
      <x:c r="B47" s="28"/>
      <x:c r="C47" s="27"/>
      <x:c r="D47" s="29"/>
      <x:c r="E47" s="29"/>
      <x:c r="F47" s="29"/>
      <x:c r="G47" s="29"/>
      <x:c r="H47" s="29"/>
      <x:c r="I47" s="29"/>
      <x:c r="J47" s="29"/>
    </x:row>
    <x:row r="48">
      <x:c r="A48" s="27"/>
      <x:c r="B48" s="28"/>
      <x:c r="C48" s="27"/>
      <x:c r="D48" s="29"/>
      <x:c r="E48" s="29"/>
      <x:c r="F48" s="29"/>
      <x:c r="G48" s="29"/>
      <x:c r="H48" s="29"/>
      <x:c r="I48" s="29"/>
      <x:c r="J48" s="29"/>
    </x:row>
    <x:row r="49">
      <x:c r="A49" s="27"/>
      <x:c r="B49" s="28"/>
      <x:c r="C49" s="27"/>
      <x:c r="D49" s="29"/>
      <x:c r="E49" s="29"/>
      <x:c r="F49" s="29"/>
      <x:c r="G49" s="29"/>
      <x:c r="H49" s="29"/>
      <x:c r="I49" s="29"/>
      <x:c r="J49" s="29"/>
    </x:row>
    <x:row r="50">
      <x:c r="A50" s="27"/>
      <x:c r="B50" s="28"/>
      <x:c r="C50" s="27"/>
      <x:c r="D50" s="29"/>
      <x:c r="E50" s="29"/>
      <x:c r="F50" s="29"/>
      <x:c r="G50" s="29"/>
      <x:c r="H50" s="29"/>
      <x:c r="I50" s="29"/>
      <x:c r="J50" s="29"/>
    </x:row>
    <x:row r="51">
      <x:c r="A51" s="27"/>
      <x:c r="B51" s="28"/>
      <x:c r="C51" s="27"/>
      <x:c r="D51" s="29"/>
      <x:c r="E51" s="29"/>
      <x:c r="F51" s="29"/>
      <x:c r="G51" s="29"/>
      <x:c r="H51" s="29"/>
      <x:c r="I51" s="29"/>
      <x:c r="J51" s="29"/>
    </x:row>
    <x:row r="52">
      <x:c r="A52" s="27"/>
      <x:c r="B52" s="28"/>
      <x:c r="C52" s="27"/>
      <x:c r="D52" s="29"/>
      <x:c r="E52" s="29"/>
      <x:c r="F52" s="29"/>
      <x:c r="G52" s="29"/>
      <x:c r="H52" s="29"/>
      <x:c r="I52" s="29"/>
      <x:c r="J52" s="29"/>
    </x:row>
    <x:row r="53">
      <x:c r="A53" s="27"/>
      <x:c r="B53" s="28"/>
      <x:c r="C53" s="27"/>
      <x:c r="D53" s="29"/>
      <x:c r="E53" s="29"/>
      <x:c r="F53" s="29"/>
      <x:c r="G53" s="29"/>
      <x:c r="H53" s="29"/>
      <x:c r="I53" s="29"/>
      <x:c r="J53" s="29"/>
    </x:row>
    <x:row r="54">
      <x:c r="A54" s="27"/>
      <x:c r="B54" s="28"/>
      <x:c r="C54" s="27"/>
      <x:c r="D54" s="29"/>
      <x:c r="E54" s="29"/>
      <x:c r="F54" s="29"/>
      <x:c r="G54" s="29"/>
      <x:c r="H54" s="29"/>
      <x:c r="I54" s="29"/>
      <x:c r="J54" s="29"/>
    </x:row>
    <x:row r="55">
      <x:c r="A55" s="27"/>
      <x:c r="B55" s="28"/>
      <x:c r="C55" s="27"/>
      <x:c r="D55" s="29"/>
      <x:c r="E55" s="29"/>
      <x:c r="F55" s="29"/>
      <x:c r="G55" s="29"/>
      <x:c r="H55" s="29"/>
      <x:c r="I55" s="29"/>
      <x:c r="J55" s="29"/>
    </x:row>
    <x:row r="56">
      <x:c r="A56" s="27"/>
      <x:c r="B56" s="28"/>
      <x:c r="C56" s="27"/>
      <x:c r="D56" s="29"/>
      <x:c r="E56" s="29"/>
      <x:c r="F56" s="29"/>
      <x:c r="G56" s="29"/>
      <x:c r="H56" s="29"/>
      <x:c r="I56" s="29"/>
      <x:c r="J56" s="29"/>
    </x:row>
    <x:row r="57">
      <x:c r="A57" s="27"/>
      <x:c r="B57" s="28"/>
      <x:c r="C57" s="27"/>
      <x:c r="D57" s="29"/>
      <x:c r="E57" s="29"/>
      <x:c r="F57" s="29"/>
      <x:c r="G57" s="29"/>
      <x:c r="H57" s="29"/>
      <x:c r="I57" s="29"/>
      <x:c r="J57" s="29"/>
    </x:row>
    <x:row r="58">
      <x:c r="A58" s="27"/>
      <x:c r="B58" s="28"/>
      <x:c r="C58" s="27"/>
      <x:c r="D58" s="29"/>
      <x:c r="E58" s="29"/>
      <x:c r="F58" s="29"/>
      <x:c r="G58" s="29"/>
      <x:c r="H58" s="29"/>
      <x:c r="I58" s="29"/>
      <x:c r="J58" s="29"/>
    </x:row>
    <x:row r="59">
      <x:c r="A59" s="27"/>
      <x:c r="B59" s="28"/>
      <x:c r="C59" s="27"/>
      <x:c r="D59" s="29"/>
      <x:c r="E59" s="29"/>
      <x:c r="F59" s="29"/>
      <x:c r="G59" s="29"/>
      <x:c r="H59" s="29"/>
      <x:c r="I59" s="29"/>
      <x:c r="J59" s="29"/>
    </x:row>
    <x:row r="60">
      <x:c r="A60" s="27"/>
      <x:c r="B60" s="28"/>
      <x:c r="C60" s="27"/>
      <x:c r="D60" s="29"/>
      <x:c r="E60" s="29"/>
      <x:c r="F60" s="29"/>
      <x:c r="G60" s="29"/>
      <x:c r="H60" s="29"/>
      <x:c r="I60" s="29"/>
      <x:c r="J60" s="29"/>
    </x:row>
    <x:row r="61">
      <x:c r="A61" s="27"/>
      <x:c r="B61" s="28"/>
      <x:c r="C61" s="27"/>
      <x:c r="D61" s="29"/>
      <x:c r="E61" s="29"/>
      <x:c r="F61" s="29"/>
      <x:c r="G61" s="29"/>
      <x:c r="H61" s="29"/>
      <x:c r="I61" s="29"/>
      <x:c r="J61" s="29"/>
    </x:row>
    <x:row r="62">
      <x:c r="A62" s="27"/>
      <x:c r="B62" s="28"/>
      <x:c r="C62" s="27"/>
      <x:c r="D62" s="29"/>
      <x:c r="E62" s="29"/>
      <x:c r="F62" s="29"/>
      <x:c r="G62" s="29"/>
      <x:c r="H62" s="29"/>
      <x:c r="I62" s="29"/>
      <x:c r="J62" s="29"/>
    </x:row>
    <x:row r="63">
      <x:c r="A63" s="27"/>
      <x:c r="B63" s="28"/>
      <x:c r="C63" s="27"/>
      <x:c r="D63" s="29"/>
      <x:c r="E63" s="29"/>
      <x:c r="F63" s="29"/>
      <x:c r="G63" s="29"/>
      <x:c r="H63" s="29"/>
      <x:c r="I63" s="29"/>
      <x:c r="J63" s="29"/>
    </x:row>
    <x:row r="64">
      <x:c r="A64" s="27"/>
      <x:c r="B64" s="28"/>
      <x:c r="C64" s="27"/>
      <x:c r="D64" s="29"/>
      <x:c r="E64" s="29"/>
      <x:c r="F64" s="29"/>
      <x:c r="G64" s="29"/>
      <x:c r="H64" s="29"/>
      <x:c r="I64" s="29"/>
      <x:c r="J64" s="29"/>
    </x:row>
    <x:row r="65">
      <x:c r="A65" s="27"/>
      <x:c r="B65" s="28"/>
      <x:c r="C65" s="27"/>
      <x:c r="D65" s="29"/>
      <x:c r="E65" s="29"/>
      <x:c r="F65" s="29"/>
      <x:c r="G65" s="29"/>
      <x:c r="H65" s="29"/>
      <x:c r="I65" s="29"/>
      <x:c r="J65" s="29"/>
    </x:row>
    <x:row r="66">
      <x:c r="A66" s="27"/>
      <x:c r="B66" s="28"/>
      <x:c r="C66" s="27"/>
      <x:c r="D66" s="29"/>
      <x:c r="E66" s="29"/>
      <x:c r="F66" s="29"/>
      <x:c r="G66" s="29"/>
      <x:c r="H66" s="29"/>
      <x:c r="I66" s="29"/>
      <x:c r="J66" s="29"/>
    </x:row>
    <x:row r="67">
      <x:c r="A67" s="27"/>
      <x:c r="B67" s="28"/>
      <x:c r="C67" s="27"/>
      <x:c r="D67" s="29"/>
      <x:c r="E67" s="29"/>
      <x:c r="F67" s="29"/>
      <x:c r="G67" s="29"/>
      <x:c r="H67" s="29"/>
      <x:c r="I67" s="29"/>
      <x:c r="J67" s="29"/>
    </x:row>
    <x:row r="68">
      <x:c r="A68" s="27"/>
      <x:c r="B68" s="28"/>
      <x:c r="C68" s="27"/>
      <x:c r="D68" s="29"/>
      <x:c r="E68" s="29"/>
      <x:c r="F68" s="29"/>
      <x:c r="G68" s="29"/>
      <x:c r="H68" s="29"/>
      <x:c r="I68" s="29"/>
      <x:c r="J68" s="29"/>
    </x:row>
    <x:row r="69">
      <x:c r="A69" s="27"/>
      <x:c r="B69" s="28"/>
      <x:c r="C69" s="27"/>
      <x:c r="D69" s="29"/>
      <x:c r="E69" s="29"/>
      <x:c r="F69" s="29"/>
      <x:c r="G69" s="29"/>
      <x:c r="H69" s="29"/>
      <x:c r="I69" s="29"/>
      <x:c r="J69" s="29"/>
    </x:row>
    <x:row r="70">
      <x:c r="A70" s="27"/>
      <x:c r="B70" s="28"/>
      <x:c r="C70" s="27"/>
      <x:c r="D70" s="29"/>
      <x:c r="E70" s="29"/>
      <x:c r="F70" s="29"/>
      <x:c r="G70" s="29"/>
      <x:c r="H70" s="29"/>
      <x:c r="I70" s="29"/>
      <x:c r="J70" s="29"/>
    </x:row>
    <x:row r="71">
      <x:c r="A71" s="27"/>
      <x:c r="B71" s="28"/>
      <x:c r="C71" s="27"/>
      <x:c r="D71" s="29"/>
      <x:c r="E71" s="29"/>
      <x:c r="F71" s="29"/>
      <x:c r="G71" s="29"/>
      <x:c r="H71" s="29"/>
      <x:c r="I71" s="29"/>
      <x:c r="J71" s="29"/>
    </x:row>
    <x:row r="72">
      <x:c r="A72" s="27"/>
      <x:c r="B72" s="28"/>
      <x:c r="C72" s="27"/>
      <x:c r="D72" s="29"/>
      <x:c r="E72" s="29"/>
      <x:c r="F72" s="29"/>
      <x:c r="G72" s="29"/>
      <x:c r="H72" s="29"/>
      <x:c r="I72" s="29"/>
      <x:c r="J72" s="29"/>
    </x:row>
    <x:row r="73">
      <x:c r="A73" s="27"/>
      <x:c r="B73" s="28"/>
      <x:c r="C73" s="27"/>
      <x:c r="D73" s="29"/>
      <x:c r="E73" s="29"/>
      <x:c r="F73" s="29"/>
      <x:c r="G73" s="29"/>
      <x:c r="H73" s="29"/>
      <x:c r="I73" s="29"/>
      <x:c r="J73" s="29"/>
    </x:row>
    <x:row r="74">
      <x:c r="A74" s="27"/>
      <x:c r="B74" s="28"/>
      <x:c r="C74" s="27"/>
      <x:c r="D74" s="29"/>
      <x:c r="E74" s="29"/>
      <x:c r="F74" s="29"/>
      <x:c r="G74" s="29"/>
      <x:c r="H74" s="29"/>
      <x:c r="I74" s="29"/>
      <x:c r="J74" s="29"/>
    </x:row>
    <x:row r="75">
      <x:c r="A75" s="27"/>
      <x:c r="B75" s="28"/>
      <x:c r="C75" s="27"/>
      <x:c r="D75" s="29"/>
      <x:c r="E75" s="29"/>
      <x:c r="F75" s="29"/>
      <x:c r="G75" s="29"/>
      <x:c r="H75" s="29"/>
      <x:c r="I75" s="29"/>
      <x:c r="J75" s="29"/>
    </x:row>
    <x:row r="76">
      <x:c r="A76" s="27"/>
      <x:c r="B76" s="28"/>
      <x:c r="C76" s="27"/>
      <x:c r="D76" s="29"/>
      <x:c r="E76" s="29"/>
      <x:c r="F76" s="29"/>
      <x:c r="G76" s="29"/>
      <x:c r="H76" s="29"/>
      <x:c r="I76" s="29"/>
      <x:c r="J76" s="29"/>
    </x:row>
    <x:row r="77">
      <x:c r="A77" s="27"/>
      <x:c r="B77" s="28"/>
      <x:c r="C77" s="27"/>
      <x:c r="D77" s="29"/>
      <x:c r="E77" s="29"/>
      <x:c r="F77" s="29"/>
      <x:c r="G77" s="29"/>
      <x:c r="H77" s="29"/>
      <x:c r="I77" s="29"/>
      <x:c r="J77" s="29"/>
    </x:row>
    <x:row r="78">
      <x:c r="A78" s="27"/>
      <x:c r="B78" s="28"/>
      <x:c r="C78" s="27"/>
      <x:c r="D78" s="29"/>
      <x:c r="E78" s="29"/>
      <x:c r="F78" s="29"/>
      <x:c r="G78" s="29"/>
      <x:c r="H78" s="29"/>
      <x:c r="I78" s="29"/>
      <x:c r="J78" s="29"/>
    </x:row>
    <x:row r="79">
      <x:c r="A79" s="27"/>
      <x:c r="B79" s="28"/>
      <x:c r="C79" s="27"/>
      <x:c r="D79" s="29"/>
      <x:c r="E79" s="29"/>
      <x:c r="F79" s="29"/>
      <x:c r="G79" s="29"/>
      <x:c r="H79" s="29"/>
      <x:c r="I79" s="29"/>
      <x:c r="J79" s="29"/>
    </x:row>
    <x:row r="80">
      <x:c r="A80" s="27"/>
      <x:c r="B80" s="28"/>
      <x:c r="C80" s="27"/>
      <x:c r="D80" s="29"/>
      <x:c r="E80" s="29"/>
      <x:c r="F80" s="29"/>
      <x:c r="G80" s="29"/>
      <x:c r="H80" s="29"/>
      <x:c r="I80" s="29"/>
      <x:c r="J80" s="29"/>
    </x:row>
    <x:row r="81">
      <x:c r="A81" s="27"/>
      <x:c r="B81" s="28"/>
      <x:c r="C81" s="27"/>
      <x:c r="D81" s="29"/>
      <x:c r="E81" s="29"/>
      <x:c r="F81" s="29"/>
      <x:c r="G81" s="29"/>
      <x:c r="H81" s="29"/>
      <x:c r="I81" s="29"/>
      <x:c r="J81" s="29"/>
    </x:row>
    <x:row r="82">
      <x:c r="A82" s="27"/>
      <x:c r="B82" s="28"/>
      <x:c r="C82" s="27"/>
      <x:c r="D82" s="29"/>
      <x:c r="E82" s="29"/>
      <x:c r="F82" s="29"/>
      <x:c r="G82" s="29"/>
      <x:c r="H82" s="29"/>
      <x:c r="I82" s="29"/>
      <x:c r="J82" s="29"/>
    </x:row>
    <x:row r="83">
      <x:c r="A83" s="27"/>
      <x:c r="B83" s="28"/>
      <x:c r="C83" s="27"/>
      <x:c r="D83" s="29"/>
      <x:c r="E83" s="29"/>
      <x:c r="F83" s="29"/>
      <x:c r="G83" s="29"/>
      <x:c r="H83" s="29"/>
      <x:c r="I83" s="29"/>
      <x:c r="J83" s="29"/>
    </x:row>
    <x:row r="84">
      <x:c r="A84" s="27"/>
      <x:c r="B84" s="28"/>
      <x:c r="C84" s="27"/>
      <x:c r="D84" s="29"/>
      <x:c r="E84" s="29"/>
      <x:c r="F84" s="29"/>
      <x:c r="G84" s="29"/>
      <x:c r="H84" s="29"/>
      <x:c r="I84" s="29"/>
      <x:c r="J84" s="29"/>
    </x:row>
    <x:row r="85">
      <x:c r="A85" s="27"/>
      <x:c r="B85" s="28"/>
      <x:c r="C85" s="27"/>
      <x:c r="D85" s="29"/>
      <x:c r="E85" s="29"/>
      <x:c r="F85" s="29"/>
      <x:c r="G85" s="29"/>
      <x:c r="H85" s="29"/>
      <x:c r="I85" s="29"/>
      <x:c r="J85" s="29"/>
    </x:row>
    <x:row r="86">
      <x:c r="A86" s="27"/>
      <x:c r="B86" s="28"/>
      <x:c r="C86" s="27"/>
      <x:c r="D86" s="29"/>
      <x:c r="E86" s="29"/>
      <x:c r="F86" s="29"/>
      <x:c r="G86" s="29"/>
      <x:c r="H86" s="29"/>
      <x:c r="I86" s="29"/>
      <x:c r="J86" s="29"/>
    </x:row>
    <x:row r="87">
      <x:c r="A87" s="27"/>
      <x:c r="B87" s="28"/>
      <x:c r="C87" s="27"/>
      <x:c r="D87" s="29"/>
      <x:c r="E87" s="29"/>
      <x:c r="F87" s="29"/>
      <x:c r="G87" s="29"/>
      <x:c r="H87" s="29"/>
      <x:c r="I87" s="29"/>
      <x:c r="J87" s="29"/>
    </x:row>
    <x:row r="88">
      <x:c r="A88" s="27"/>
      <x:c r="B88" s="28"/>
      <x:c r="C88" s="27"/>
      <x:c r="D88" s="29"/>
      <x:c r="E88" s="29"/>
      <x:c r="F88" s="29"/>
      <x:c r="G88" s="29"/>
      <x:c r="H88" s="29"/>
      <x:c r="I88" s="29"/>
      <x:c r="J88" s="29"/>
    </x:row>
    <x:row r="89">
      <x:c r="A89" s="27"/>
      <x:c r="B89" s="28"/>
      <x:c r="C89" s="27"/>
      <x:c r="D89" s="29"/>
      <x:c r="E89" s="29"/>
      <x:c r="F89" s="29"/>
      <x:c r="G89" s="29"/>
      <x:c r="H89" s="29"/>
      <x:c r="I89" s="29"/>
      <x:c r="J89" s="29"/>
    </x:row>
    <x:row r="90">
      <x:c r="A90" s="27"/>
      <x:c r="B90" s="28"/>
      <x:c r="C90" s="27"/>
      <x:c r="D90" s="29"/>
      <x:c r="E90" s="29"/>
      <x:c r="F90" s="29"/>
      <x:c r="G90" s="29"/>
      <x:c r="H90" s="29"/>
      <x:c r="I90" s="29"/>
      <x:c r="J90" s="29"/>
    </x:row>
    <x:row r="91">
      <x:c r="A91" s="27"/>
      <x:c r="B91" s="28"/>
      <x:c r="C91" s="27"/>
      <x:c r="D91" s="29"/>
      <x:c r="E91" s="29"/>
      <x:c r="F91" s="29"/>
      <x:c r="G91" s="29"/>
      <x:c r="H91" s="29"/>
      <x:c r="I91" s="29"/>
      <x:c r="J91" s="29"/>
    </x:row>
    <x:row r="92">
      <x:c r="A92" s="27"/>
      <x:c r="B92" s="28"/>
      <x:c r="C92" s="27"/>
      <x:c r="D92" s="29"/>
      <x:c r="E92" s="29"/>
      <x:c r="F92" s="29"/>
      <x:c r="G92" s="29"/>
      <x:c r="H92" s="29"/>
      <x:c r="I92" s="29"/>
      <x:c r="J92" s="29"/>
    </x:row>
    <x:row r="93">
      <x:c r="A93" s="27"/>
      <x:c r="B93" s="28"/>
      <x:c r="C93" s="27"/>
      <x:c r="D93" s="29"/>
      <x:c r="E93" s="29"/>
      <x:c r="F93" s="29"/>
      <x:c r="G93" s="29"/>
      <x:c r="H93" s="29"/>
      <x:c r="I93" s="29"/>
      <x:c r="J93" s="29"/>
    </x:row>
    <x:row r="94">
      <x:c r="A94" s="27"/>
      <x:c r="B94" s="28"/>
      <x:c r="C94" s="27"/>
      <x:c r="D94" s="29"/>
      <x:c r="E94" s="29"/>
      <x:c r="F94" s="29"/>
      <x:c r="G94" s="29"/>
      <x:c r="H94" s="29"/>
      <x:c r="I94" s="29"/>
      <x:c r="J94" s="29"/>
    </x:row>
    <x:row r="95">
      <x:c r="A95" s="27"/>
      <x:c r="B95" s="28"/>
      <x:c r="C95" s="27"/>
      <x:c r="D95" s="29"/>
      <x:c r="E95" s="29"/>
      <x:c r="F95" s="29"/>
      <x:c r="G95" s="29"/>
      <x:c r="H95" s="29"/>
      <x:c r="I95" s="29"/>
      <x:c r="J95" s="29"/>
    </x:row>
    <x:row r="96">
      <x:c r="A96" s="27"/>
      <x:c r="B96" s="28"/>
      <x:c r="C96" s="27"/>
      <x:c r="D96" s="29"/>
      <x:c r="E96" s="29"/>
      <x:c r="F96" s="29"/>
      <x:c r="G96" s="29"/>
      <x:c r="H96" s="29"/>
      <x:c r="I96" s="29"/>
      <x:c r="J96" s="29"/>
    </x:row>
    <x:row r="97">
      <x:c r="A97" s="27"/>
      <x:c r="B97" s="28"/>
      <x:c r="C97" s="27"/>
      <x:c r="D97" s="29"/>
      <x:c r="E97" s="29"/>
      <x:c r="F97" s="29"/>
      <x:c r="G97" s="29"/>
      <x:c r="H97" s="29"/>
      <x:c r="I97" s="29"/>
      <x:c r="J97" s="29"/>
    </x:row>
    <x:row r="98">
      <x:c r="A98" s="27"/>
      <x:c r="B98" s="28"/>
      <x:c r="C98" s="27"/>
      <x:c r="D98" s="29"/>
      <x:c r="E98" s="29"/>
      <x:c r="F98" s="29"/>
      <x:c r="G98" s="29"/>
      <x:c r="H98" s="29"/>
      <x:c r="I98" s="29"/>
      <x:c r="J98" s="29"/>
    </x:row>
    <x:row r="99">
      <x:c r="A99" s="27"/>
      <x:c r="B99" s="28"/>
      <x:c r="C99" s="27"/>
      <x:c r="D99" s="29"/>
      <x:c r="E99" s="29"/>
      <x:c r="F99" s="29"/>
      <x:c r="G99" s="29"/>
      <x:c r="H99" s="29"/>
      <x:c r="I99" s="29"/>
      <x:c r="J99" s="29"/>
    </x:row>
    <x:row r="100">
      <x:c r="A100" s="27"/>
      <x:c r="B100" s="28"/>
      <x:c r="C100" s="27"/>
      <x:c r="D100" s="29"/>
      <x:c r="E100" s="29"/>
      <x:c r="F100" s="29"/>
      <x:c r="G100" s="29"/>
      <x:c r="H100" s="29"/>
      <x:c r="I100" s="29"/>
      <x:c r="J100" s="29"/>
    </x:row>
    <x:row r="101">
      <x:c r="A101"/>
      <x:c r="B101" s="21"/>
      <x:c r="C101"/>
      <x:c r="D101"/>
      <x:c r="E101"/>
      <x:c r="F101"/>
      <x:c r="G101"/>
      <x:c r="H101"/>
      <x:c r="I101"/>
      <x:c r="J101"/>
    </x:row>
    <x:row r="102">
      <x:c r="B102" s="21"/>
    </x:row>
    <x:row r="103">
      <x:c r="B103" s="21"/>
    </x:row>
    <x:row r="104">
      <x:c r="B104" s="21"/>
    </x:row>
    <x:row r="105">
      <x:c r="B105" s="21"/>
    </x:row>
    <x:row r="106">
      <x:c r="B106" s="21"/>
    </x:row>
    <x:row r="107">
      <x:c r="B107" s="21"/>
    </x:row>
    <x:row r="108">
      <x:c r="B108" s="21"/>
    </x:row>
    <x:row r="109">
      <x:c r="B109" s="21"/>
    </x:row>
    <x:row r="110">
      <x:c r="B110" s="21"/>
    </x:row>
    <x:row r="111">
      <x:c r="B111" s="21"/>
    </x:row>
    <x:row r="112">
      <x:c r="B112" s="21"/>
    </x:row>
    <x:row r="113">
      <x:c r="B113" s="21"/>
    </x:row>
    <x:row r="114">
      <x:c r="B114" s="21"/>
    </x:row>
    <x:row r="115">
      <x:c r="B115" s="21"/>
    </x:row>
    <x:row r="116">
      <x:c r="B116" s="21"/>
    </x:row>
    <x:row r="117">
      <x:c r="B117" s="21"/>
    </x:row>
    <x:row r="118">
      <x:c r="B118" s="21"/>
    </x:row>
    <x:row r="119">
      <x:c r="B119" s="21"/>
    </x:row>
    <x:row r="120">
      <x:c r="B120" s="21"/>
    </x:row>
    <x:row r="121">
      <x:c r="B121" s="21"/>
    </x:row>
    <x:row r="122">
      <x:c r="B122" s="21"/>
    </x:row>
    <x:row r="123">
      <x:c r="B123" s="21"/>
    </x:row>
    <x:row r="124">
      <x:c r="B124" s="21"/>
    </x:row>
    <x:row r="125">
      <x:c r="B125" s="21"/>
    </x:row>
    <x:row r="126">
      <x:c r="B126" s="21"/>
    </x:row>
    <x:row r="127">
      <x:c r="B127" s="21"/>
    </x:row>
    <x:row r="128">
      <x:c r="B128" s="21"/>
    </x:row>
    <x:row r="129">
      <x:c r="B129" s="21"/>
    </x:row>
    <x:row r="130">
      <x:c r="B130" s="21"/>
    </x:row>
    <x:row r="131">
      <x:c r="B131" s="21"/>
    </x:row>
    <x:row r="132">
      <x:c r="B132" s="21"/>
    </x:row>
    <x:row r="133">
      <x:c r="B133" s="21"/>
    </x:row>
    <x:row r="134">
      <x:c r="B134" s="21"/>
    </x:row>
    <x:row r="135">
      <x:c r="B135" s="21"/>
    </x:row>
    <x:row r="136">
      <x:c r="B136" s="21"/>
    </x:row>
    <x:row r="137">
      <x:c r="B137" s="21"/>
    </x:row>
    <x:row r="138">
      <x:c r="B138" s="21"/>
    </x:row>
    <x:row r="139">
      <x:c r="B139" s="21"/>
    </x:row>
    <x:row r="140">
      <x:c r="B140" s="21"/>
    </x:row>
    <x:row r="141">
      <x:c r="B141" s="21"/>
    </x:row>
    <x:row r="142">
      <x:c r="B142" s="21"/>
    </x:row>
    <x:row r="143">
      <x:c r="B143" s="21"/>
    </x:row>
    <x:row r="144">
      <x:c r="B144" s="21"/>
    </x:row>
    <x:row r="145">
      <x:c r="B145" s="21"/>
    </x:row>
    <x:row r="146">
      <x:c r="B146" s="21"/>
    </x:row>
    <x:row r="147">
      <x:c r="B147" s="21"/>
    </x:row>
    <x:row r="148">
      <x:c r="B148" s="21"/>
    </x:row>
    <x:row r="149">
      <x:c r="B149" s="21"/>
    </x:row>
    <x:row r="150">
      <x:c r="B150" s="21"/>
    </x:row>
    <x:row r="151">
      <x:c r="B151" s="21"/>
    </x:row>
    <x:row r="152">
      <x:c r="B152" s="21"/>
    </x:row>
    <x:row r="153">
      <x:c r="B153" s="21"/>
    </x:row>
    <x:row r="154">
      <x:c r="B154" s="21"/>
    </x:row>
    <x:row r="155">
      <x:c r="B155" s="21"/>
    </x:row>
    <x:row r="156">
      <x:c r="B156" s="21"/>
    </x:row>
    <x:row r="157">
      <x:c r="B157" s="21"/>
    </x:row>
    <x:row r="158">
      <x:c r="B158" s="21"/>
    </x:row>
    <x:row r="159">
      <x:c r="B159" s="21"/>
    </x:row>
    <x:row r="160">
      <x:c r="B160" s="21"/>
    </x:row>
    <x:row r="161">
      <x:c r="B161" s="21"/>
    </x:row>
    <x:row r="162">
      <x:c r="B162" s="21"/>
    </x:row>
    <x:row r="163">
      <x:c r="B163" s="21"/>
    </x:row>
    <x:row r="164">
      <x:c r="B164" s="21"/>
    </x:row>
    <x:row r="165">
      <x:c r="B165" s="21"/>
    </x:row>
    <x:row r="166">
      <x:c r="B166" s="21"/>
    </x:row>
    <x:row r="167">
      <x:c r="B167" s="21"/>
    </x:row>
    <x:row r="168">
      <x:c r="B168" s="21"/>
    </x:row>
    <x:row r="169">
      <x:c r="B169" s="21"/>
    </x:row>
    <x:row r="170">
      <x:c r="B170" s="21"/>
    </x:row>
    <x:row r="171">
      <x:c r="B171" s="21"/>
    </x:row>
    <x:row r="172">
      <x:c r="B172" s="21"/>
    </x:row>
    <x:row r="173">
      <x:c r="B173" s="21"/>
    </x:row>
    <x:row r="174">
      <x:c r="B174" s="21"/>
    </x:row>
    <x:row r="175">
      <x:c r="B175" s="21"/>
    </x:row>
    <x:row r="176">
      <x:c r="B176" s="21"/>
    </x:row>
    <x:row r="177">
      <x:c r="B177" s="21"/>
    </x:row>
    <x:row r="178">
      <x:c r="B178" s="21"/>
    </x:row>
    <x:row r="179">
      <x:c r="B179" s="21"/>
    </x:row>
    <x:row r="180">
      <x:c r="B180" s="21"/>
    </x:row>
    <x:row r="181">
      <x:c r="B181" s="21"/>
    </x:row>
    <x:row r="182">
      <x:c r="B182" s="21"/>
    </x:row>
    <x:row r="183">
      <x:c r="B183" s="21"/>
    </x:row>
    <x:row r="184">
      <x:c r="B184" s="21"/>
    </x:row>
    <x:row r="185">
      <x:c r="B185" s="21"/>
    </x:row>
    <x:row r="186">
      <x:c r="B186" s="21"/>
    </x:row>
    <x:row r="187">
      <x:c r="B187" s="21"/>
    </x:row>
    <x:row r="188">
      <x:c r="B188" s="21"/>
    </x:row>
    <x:row r="189">
      <x:c r="B189" s="21"/>
    </x:row>
    <x:row r="190">
      <x:c r="B190" s="21"/>
    </x:row>
    <x:row r="191">
      <x:c r="B191" s="21"/>
    </x:row>
    <x:row r="192">
      <x:c r="B192" s="21"/>
    </x:row>
    <x:row r="193">
      <x:c r="B193" s="21"/>
    </x:row>
    <x:row r="194">
      <x:c r="B194" s="21"/>
    </x:row>
    <x:row r="195">
      <x:c r="B195" s="21"/>
    </x:row>
    <x:row r="196">
      <x:c r="B196" s="21"/>
    </x:row>
    <x:row r="197">
      <x:c r="B197" s="21"/>
    </x:row>
    <x:row r="198">
      <x:c r="B198" s="21"/>
    </x:row>
    <x:row r="199">
      <x:c r="B199" s="21"/>
    </x:row>
    <x:row r="200">
      <x:c r="B200" s="21"/>
    </x:row>
    <x:row r="201">
      <x:c r="B201" s="21"/>
    </x:row>
    <x:row r="202">
      <x:c r="B202" s="21"/>
    </x:row>
    <x:row r="203">
      <x:c r="B203" s="21"/>
    </x:row>
    <x:row r="204">
      <x:c r="B204" s="21"/>
    </x:row>
    <x:row r="205">
      <x:c r="B205" s="21"/>
    </x:row>
    <x:row r="206">
      <x:c r="B206" s="21"/>
    </x:row>
    <x:row r="207">
      <x:c r="B207" s="21"/>
    </x:row>
    <x:row r="208">
      <x:c r="B208" s="21"/>
    </x:row>
    <x:row r="209">
      <x:c r="B209" s="21"/>
    </x:row>
    <x:row r="210">
      <x:c r="B210" s="21"/>
    </x:row>
    <x:row r="211">
      <x:c r="B211" s="21"/>
    </x:row>
    <x:row r="212">
      <x:c r="B212" s="21"/>
    </x:row>
    <x:row r="213">
      <x:c r="B213" s="21"/>
    </x:row>
    <x:row r="214">
      <x:c r="B214" s="21"/>
    </x:row>
    <x:row r="215">
      <x:c r="B215" s="21"/>
    </x:row>
    <x:row r="216">
      <x:c r="B216" s="21"/>
    </x:row>
    <x:row r="217">
      <x:c r="B217" s="21"/>
    </x:row>
    <x:row r="218">
      <x:c r="B218" s="21"/>
    </x:row>
    <x:row r="219">
      <x:c r="B219" s="21"/>
    </x:row>
    <x:row r="220">
      <x:c r="B220" s="21"/>
    </x:row>
    <x:row r="221">
      <x:c r="B221" s="21"/>
    </x:row>
    <x:row r="222">
      <x:c r="B222" s="21"/>
    </x:row>
    <x:row r="223">
      <x:c r="B223" s="21"/>
    </x:row>
    <x:row r="224">
      <x:c r="B224" s="21"/>
    </x:row>
    <x:row r="225">
      <x:c r="B225" s="21"/>
    </x:row>
    <x:row r="226">
      <x:c r="B226" s="21"/>
    </x:row>
    <x:row r="227">
      <x:c r="B227" s="21"/>
    </x:row>
    <x:row r="228">
      <x:c r="B228" s="21"/>
    </x:row>
    <x:row r="229">
      <x:c r="B229" s="21"/>
    </x:row>
    <x:row r="230">
      <x:c r="B230" s="21"/>
    </x:row>
    <x:row r="231">
      <x:c r="B231" s="21"/>
    </x:row>
    <x:row r="232">
      <x:c r="B232" s="21"/>
    </x:row>
    <x:row r="233">
      <x:c r="B233" s="21"/>
    </x:row>
    <x:row r="234">
      <x:c r="B234" s="21"/>
    </x:row>
    <x:row r="235">
      <x:c r="B235" s="21"/>
    </x:row>
    <x:row r="236">
      <x:c r="B236" s="21"/>
    </x:row>
    <x:row r="237">
      <x:c r="B237" s="21"/>
    </x:row>
    <x:row r="238">
      <x:c r="B238" s="21"/>
    </x:row>
    <x:row r="239">
      <x:c r="B239" s="21"/>
    </x:row>
    <x:row r="240">
      <x:c r="B240" s="21"/>
    </x:row>
    <x:row r="241">
      <x:c r="B241" s="21"/>
    </x:row>
    <x:row r="242">
      <x:c r="B242" s="21"/>
    </x:row>
    <x:row r="243">
      <x:c r="B243" s="21"/>
    </x:row>
    <x:row r="244">
      <x:c r="B244" s="21"/>
    </x:row>
    <x:row r="245">
      <x:c r="B245" s="21"/>
    </x:row>
    <x:row r="246">
      <x:c r="B246" s="21"/>
    </x:row>
    <x:row r="247">
      <x:c r="B247" s="21"/>
    </x:row>
    <x:row r="248">
      <x:c r="B248" s="21"/>
    </x:row>
    <x:row r="249">
      <x:c r="B249" s="21"/>
    </x:row>
    <x:row r="250">
      <x:c r="B250" s="21"/>
    </x:row>
    <x:row r="251">
      <x:c r="B251" s="21"/>
    </x:row>
    <x:row r="252">
      <x:c r="B252" s="21"/>
    </x:row>
    <x:row r="253">
      <x:c r="B253" s="21"/>
    </x:row>
    <x:row r="254">
      <x:c r="B254" s="21"/>
    </x:row>
    <x:row r="255">
      <x:c r="B255" s="21"/>
    </x:row>
    <x:row r="256">
      <x:c r="B256" s="21"/>
    </x:row>
    <x:row r="257">
      <x:c r="B257" s="21"/>
    </x:row>
    <x:row r="258">
      <x:c r="B258" s="21"/>
    </x:row>
    <x:row r="259">
      <x:c r="B259" s="21"/>
    </x:row>
    <x:row r="260">
      <x:c r="B260" s="21"/>
    </x:row>
    <x:row r="261">
      <x:c r="B261" s="21"/>
    </x:row>
    <x:row r="262">
      <x:c r="B262" s="21"/>
    </x:row>
    <x:row r="263">
      <x:c r="B263" s="21"/>
    </x:row>
    <x:row r="264">
      <x:c r="B264" s="21"/>
    </x:row>
    <x:row r="265">
      <x:c r="B265" s="21"/>
    </x:row>
    <x:row r="266">
      <x:c r="B266" s="21"/>
    </x:row>
    <x:row r="267">
      <x:c r="B267" s="21"/>
    </x:row>
    <x:row r="268">
      <x:c r="B268" s="21"/>
    </x:row>
    <x:row r="269">
      <x:c r="B269" s="21"/>
    </x:row>
    <x:row r="270">
      <x:c r="B270" s="21"/>
    </x:row>
    <x:row r="271">
      <x:c r="B271" s="21"/>
    </x:row>
    <x:row r="272">
      <x:c r="B272" s="21"/>
    </x:row>
    <x:row r="273">
      <x:c r="B273" s="21"/>
    </x:row>
    <x:row r="274">
      <x:c r="B274" s="21"/>
    </x:row>
    <x:row r="275">
      <x:c r="B275" s="21"/>
    </x:row>
    <x:row r="276">
      <x:c r="B276" s="21"/>
    </x:row>
    <x:row r="277">
      <x:c r="B277" s="21"/>
    </x:row>
    <x:row r="278">
      <x:c r="B278" s="21"/>
    </x:row>
    <x:row r="279">
      <x:c r="B279" s="21"/>
    </x:row>
    <x:row r="280">
      <x:c r="B280" s="21"/>
    </x:row>
    <x:row r="281">
      <x:c r="B281" s="21"/>
    </x:row>
    <x:row r="282">
      <x:c r="B282" s="21"/>
    </x:row>
    <x:row r="283">
      <x:c r="B283" s="21"/>
    </x:row>
    <x:row r="284">
      <x:c r="B284" s="21"/>
    </x:row>
    <x:row r="285">
      <x:c r="B285" s="21"/>
    </x:row>
    <x:row r="286">
      <x:c r="B286" s="21"/>
    </x:row>
    <x:row r="287">
      <x:c r="B287" s="21"/>
    </x:row>
    <x:row r="288">
      <x:c r="B288" s="21"/>
    </x:row>
    <x:row r="289">
      <x:c r="B289" s="21"/>
    </x:row>
    <x:row r="290">
      <x:c r="B290" s="21"/>
    </x:row>
    <x:row r="291">
      <x:c r="B291" s="21"/>
    </x:row>
    <x:row r="292">
      <x:c r="B292" s="21"/>
    </x:row>
    <x:row r="293">
      <x:c r="B293" s="21"/>
    </x:row>
    <x:row r="294">
      <x:c r="B294" s="21"/>
    </x:row>
    <x:row r="295">
      <x:c r="B295" s="21"/>
    </x:row>
    <x:row r="296">
      <x:c r="B296" s="21"/>
    </x:row>
    <x:row r="297">
      <x:c r="B297" s="21"/>
    </x:row>
    <x:row r="298">
      <x:c r="B298" s="21"/>
    </x:row>
    <x:row r="299">
      <x:c r="B299" s="21"/>
    </x:row>
    <x:row r="300">
      <x:c r="B300" s="21"/>
    </x:row>
    <x:row r="301">
      <x:c r="B301" s="21"/>
    </x:row>
    <x:row r="302">
      <x:c r="B302" s="21"/>
    </x:row>
    <x:row r="303">
      <x:c r="B303" s="21"/>
    </x:row>
    <x:row r="304">
      <x:c r="B304" s="21"/>
    </x:row>
    <x:row r="305">
      <x:c r="B305" s="21"/>
    </x:row>
    <x:row r="306">
      <x:c r="B306" s="21"/>
    </x:row>
    <x:row r="307">
      <x:c r="B307" s="21"/>
    </x:row>
    <x:row r="308">
      <x:c r="B308" s="21"/>
    </x:row>
    <x:row r="309">
      <x:c r="B309" s="21"/>
    </x:row>
    <x:row r="310">
      <x:c r="B310" s="21"/>
    </x:row>
    <x:row r="311">
      <x:c r="B311" s="21"/>
    </x:row>
    <x:row r="312">
      <x:c r="B312" s="21"/>
    </x:row>
    <x:row r="313">
      <x:c r="B313" s="21"/>
    </x:row>
    <x:row r="314">
      <x:c r="B314" s="21"/>
    </x:row>
    <x:row r="315">
      <x:c r="B315" s="21"/>
    </x:row>
    <x:row r="316">
      <x:c r="B316" s="21"/>
    </x:row>
    <x:row r="317">
      <x:c r="B317" s="21"/>
    </x:row>
    <x:row r="318">
      <x:c r="B318" s="21"/>
    </x:row>
    <x:row r="319">
      <x:c r="B319" s="21"/>
    </x:row>
    <x:row r="320">
      <x:c r="B320" s="21"/>
    </x:row>
    <x:row r="321">
      <x:c r="B321" s="21"/>
    </x:row>
    <x:row r="322">
      <x:c r="B322" s="21"/>
    </x:row>
    <x:row r="323">
      <x:c r="B323" s="21"/>
    </x:row>
    <x:row r="324">
      <x:c r="B324" s="21"/>
    </x:row>
    <x:row r="325">
      <x:c r="B325" s="21"/>
    </x:row>
    <x:row r="326">
      <x:c r="B326" s="21"/>
    </x:row>
    <x:row r="327">
      <x:c r="B327" s="21"/>
    </x:row>
    <x:row r="328">
      <x:c r="B328" s="21"/>
    </x:row>
    <x:row r="329">
      <x:c r="B329" s="21"/>
    </x:row>
    <x:row r="330">
      <x:c r="B330" s="21"/>
    </x:row>
    <x:row r="331">
      <x:c r="B331" s="21"/>
    </x:row>
    <x:row r="332">
      <x:c r="B332" s="21"/>
    </x:row>
    <x:row r="333">
      <x:c r="B333" s="21"/>
    </x:row>
    <x:row r="334">
      <x:c r="B334" s="21"/>
    </x:row>
    <x:row r="335">
      <x:c r="B335" s="21"/>
    </x:row>
    <x:row r="336">
      <x:c r="B336" s="21"/>
    </x:row>
    <x:row r="337">
      <x:c r="B337" s="21"/>
    </x:row>
    <x:row r="338">
      <x:c r="B338" s="21"/>
    </x:row>
    <x:row r="339">
      <x:c r="B339" s="21"/>
    </x:row>
    <x:row r="340">
      <x:c r="B340" s="21"/>
    </x:row>
    <x:row r="341">
      <x:c r="B341" s="21"/>
    </x:row>
    <x:row r="342">
      <x:c r="B342" s="21"/>
    </x:row>
    <x:row r="343">
      <x:c r="B343" s="21"/>
    </x:row>
    <x:row r="344">
      <x:c r="B344" s="21"/>
    </x:row>
    <x:row r="345">
      <x:c r="B345" s="21"/>
    </x:row>
    <x:row r="346">
      <x:c r="B346" s="21"/>
    </x:row>
    <x:row r="347">
      <x:c r="B347" s="21"/>
    </x:row>
    <x:row r="348">
      <x:c r="B348" s="21"/>
    </x:row>
    <x:row r="349">
      <x:c r="B349" s="21"/>
    </x:row>
    <x:row r="350">
      <x:c r="B350" s="21"/>
    </x:row>
    <x:row r="351">
      <x:c r="B351" s="21"/>
    </x:row>
    <x:row r="352">
      <x:c r="B352" s="21"/>
    </x:row>
    <x:row r="353">
      <x:c r="B353" s="21"/>
    </x:row>
    <x:row r="354">
      <x:c r="B354" s="21"/>
    </x:row>
    <x:row r="355">
      <x:c r="B355" s="21"/>
    </x:row>
    <x:row r="356">
      <x:c r="B356" s="21"/>
    </x:row>
    <x:row r="357">
      <x:c r="B357" s="21"/>
    </x:row>
    <x:row r="358">
      <x:c r="B358" s="21"/>
    </x:row>
    <x:row r="359">
      <x:c r="B359" s="21"/>
    </x:row>
    <x:row r="360">
      <x:c r="B360" s="21"/>
    </x:row>
    <x:row r="361">
      <x:c r="B361" s="21"/>
    </x:row>
    <x:row r="362">
      <x:c r="B362" s="21"/>
    </x:row>
    <x:row r="363">
      <x:c r="B363" s="21"/>
    </x:row>
    <x:row r="364">
      <x:c r="B364" s="21"/>
    </x:row>
    <x:row r="365">
      <x:c r="B365" s="21"/>
    </x:row>
    <x:row r="366">
      <x:c r="B366" s="21"/>
    </x:row>
    <x:row r="367">
      <x:c r="B367" s="21"/>
    </x:row>
    <x:row r="368">
      <x:c r="B368" s="21"/>
    </x:row>
    <x:row r="369">
      <x:c r="B369" s="21"/>
    </x:row>
    <x:row r="370">
      <x:c r="B370" s="21"/>
    </x:row>
    <x:row r="371">
      <x:c r="B371" s="21"/>
    </x:row>
    <x:row r="372">
      <x:c r="B372" s="21"/>
    </x:row>
    <x:row r="373">
      <x:c r="B373" s="21"/>
    </x:row>
    <x:row r="374">
      <x:c r="B374" s="21"/>
    </x:row>
    <x:row r="375">
      <x:c r="B375" s="21"/>
    </x:row>
    <x:row r="376">
      <x:c r="B376" s="21"/>
    </x:row>
    <x:row r="377">
      <x:c r="B377" s="21"/>
    </x:row>
    <x:row r="378">
      <x:c r="B378" s="21"/>
    </x:row>
    <x:row r="379">
      <x:c r="B379" s="21"/>
    </x:row>
    <x:row r="380">
      <x:c r="B380" s="21"/>
    </x:row>
    <x:row r="381">
      <x:c r="B381" s="21"/>
    </x:row>
    <x:row r="382">
      <x:c r="B382" s="21"/>
    </x:row>
    <x:row r="383">
      <x:c r="B383" s="21"/>
    </x:row>
    <x:row r="384">
      <x:c r="B384" s="21"/>
    </x:row>
    <x:row r="385">
      <x:c r="B385" s="21"/>
    </x:row>
    <x:row r="386">
      <x:c r="B386" s="21"/>
    </x:row>
    <x:row r="387">
      <x:c r="B387" s="21"/>
    </x:row>
    <x:row r="388">
      <x:c r="B388" s="21"/>
    </x:row>
    <x:row r="389">
      <x:c r="B389" s="21"/>
    </x:row>
    <x:row r="390">
      <x:c r="B390" s="21"/>
    </x:row>
    <x:row r="391">
      <x:c r="B391" s="21"/>
    </x:row>
    <x:row r="392">
      <x:c r="B392" s="21"/>
    </x:row>
    <x:row r="393">
      <x:c r="B393" s="21"/>
    </x:row>
    <x:row r="394">
      <x:c r="B394" s="21"/>
    </x:row>
    <x:row r="395">
      <x:c r="B395" s="21"/>
    </x:row>
    <x:row r="396">
      <x:c r="B396" s="21"/>
    </x:row>
    <x:row r="397">
      <x:c r="B397" s="21"/>
    </x:row>
    <x:row r="398">
      <x:c r="B398" s="21"/>
    </x:row>
    <x:row r="399">
      <x:c r="B399" s="21"/>
    </x:row>
    <x:row r="400">
      <x:c r="B400" s="21"/>
    </x:row>
    <x:row r="401">
      <x:c r="B401" s="21"/>
    </x:row>
    <x:row r="402">
      <x:c r="B402" s="21"/>
    </x:row>
    <x:row r="403">
      <x:c r="B403" s="21"/>
    </x:row>
    <x:row r="404">
      <x:c r="B404" s="21"/>
    </x:row>
    <x:row r="405">
      <x:c r="B405" s="21"/>
    </x:row>
    <x:row r="406">
      <x:c r="B406" s="21"/>
    </x:row>
    <x:row r="407">
      <x:c r="B407" s="21"/>
    </x:row>
    <x:row r="408">
      <x:c r="B408" s="21"/>
    </x:row>
    <x:row r="409">
      <x:c r="B409" s="21"/>
    </x:row>
    <x:row r="410">
      <x:c r="B410" s="21"/>
    </x:row>
    <x:row r="411">
      <x:c r="B411" s="21"/>
    </x:row>
    <x:row r="412">
      <x:c r="B412" s="21"/>
    </x:row>
    <x:row r="413">
      <x:c r="B413" s="21"/>
    </x:row>
    <x:row r="414">
      <x:c r="B414" s="21"/>
    </x:row>
    <x:row r="415">
      <x:c r="B415" s="21"/>
    </x:row>
    <x:row r="416">
      <x:c r="B416" s="21"/>
    </x:row>
    <x:row r="417">
      <x:c r="B417" s="21"/>
    </x:row>
    <x:row r="418">
      <x:c r="B418" s="21"/>
    </x:row>
    <x:row r="419">
      <x:c r="B419" s="21"/>
    </x:row>
    <x:row r="420">
      <x:c r="B420" s="21"/>
    </x:row>
    <x:row r="421">
      <x:c r="B421" s="21"/>
    </x:row>
    <x:row r="422">
      <x:c r="B422" s="21"/>
    </x:row>
    <x:row r="423">
      <x:c r="B423" s="21"/>
    </x:row>
    <x:row r="424">
      <x:c r="B424" s="21"/>
    </x:row>
    <x:row r="425">
      <x:c r="B425" s="21"/>
    </x:row>
    <x:row r="426">
      <x:c r="B426" s="21"/>
    </x:row>
    <x:row r="427">
      <x:c r="B427" s="21"/>
    </x:row>
    <x:row r="428">
      <x:c r="B428" s="21"/>
    </x:row>
    <x:row r="429">
      <x:c r="B429" s="21"/>
    </x:row>
    <x:row r="430">
      <x:c r="B430" s="21"/>
    </x:row>
    <x:row r="431">
      <x:c r="B431" s="21"/>
    </x:row>
    <x:row r="432">
      <x:c r="B432" s="21"/>
    </x:row>
    <x:row r="433">
      <x:c r="B433" s="21"/>
    </x:row>
    <x:row r="434">
      <x:c r="B434" s="21"/>
    </x:row>
    <x:row r="435">
      <x:c r="B435" s="21"/>
    </x:row>
    <x:row r="436">
      <x:c r="B436" s="21"/>
    </x:row>
    <x:row r="437">
      <x:c r="B437" s="21"/>
    </x:row>
    <x:row r="438">
      <x:c r="B438" s="21"/>
    </x:row>
    <x:row r="439">
      <x:c r="B439" s="21"/>
    </x:row>
    <x:row r="440">
      <x:c r="B440" s="21"/>
    </x:row>
    <x:row r="441">
      <x:c r="B441" s="21"/>
    </x:row>
    <x:row r="442">
      <x:c r="B442" s="21"/>
    </x:row>
    <x:row r="443">
      <x:c r="B443" s="21"/>
    </x:row>
    <x:row r="444">
      <x:c r="B444" s="21"/>
    </x:row>
    <x:row r="445">
      <x:c r="B445" s="21"/>
    </x:row>
    <x:row r="446">
      <x:c r="B446" s="21"/>
    </x:row>
    <x:row r="447">
      <x:c r="B447" s="21"/>
    </x:row>
    <x:row r="448">
      <x:c r="B448" s="21"/>
    </x:row>
    <x:row r="449">
      <x:c r="B449" s="21"/>
    </x:row>
    <x:row r="450">
      <x:c r="B450" s="21"/>
    </x:row>
    <x:row r="451">
      <x:c r="B451" s="21"/>
    </x:row>
    <x:row r="452">
      <x:c r="B452" s="21"/>
    </x:row>
    <x:row r="453">
      <x:c r="B453" s="21"/>
    </x:row>
    <x:row r="454">
      <x:c r="B454" s="21"/>
    </x:row>
    <x:row r="455">
      <x:c r="B455" s="21"/>
    </x:row>
    <x:row r="456">
      <x:c r="B456" s="21"/>
    </x:row>
    <x:row r="457">
      <x:c r="B457" s="21"/>
    </x:row>
    <x:row r="458">
      <x:c r="B458" s="21"/>
    </x:row>
    <x:row r="459">
      <x:c r="B459" s="21"/>
    </x:row>
    <x:row r="460">
      <x:c r="B460" s="21"/>
    </x:row>
    <x:row r="461">
      <x:c r="B461" s="21"/>
    </x:row>
    <x:row r="462">
      <x:c r="B462" s="21"/>
    </x:row>
    <x:row r="463">
      <x:c r="B463" s="21"/>
    </x:row>
    <x:row r="464">
      <x:c r="B464" s="21"/>
    </x:row>
    <x:row r="465">
      <x:c r="B465" s="21"/>
    </x:row>
    <x:row r="466">
      <x:c r="B466" s="21"/>
    </x:row>
    <x:row r="467">
      <x:c r="B467" s="21"/>
    </x:row>
    <x:row r="468">
      <x:c r="B468" s="21"/>
    </x:row>
    <x:row r="469">
      <x:c r="B469" s="21"/>
    </x:row>
    <x:row r="470">
      <x:c r="B470" s="21"/>
    </x:row>
    <x:row r="471">
      <x:c r="B471" s="21"/>
    </x:row>
    <x:row r="472">
      <x:c r="B472" s="21"/>
    </x:row>
    <x:row r="473">
      <x:c r="B473" s="21"/>
    </x:row>
    <x:row r="474">
      <x:c r="B474" s="21"/>
    </x:row>
    <x:row r="475">
      <x:c r="B475" s="21"/>
    </x:row>
    <x:row r="476">
      <x:c r="B476" s="21"/>
    </x:row>
    <x:row r="477">
      <x:c r="B477" s="21"/>
    </x:row>
    <x:row r="478">
      <x:c r="B478" s="21"/>
    </x:row>
    <x:row r="479">
      <x:c r="B479" s="21"/>
    </x:row>
    <x:row r="480">
      <x:c r="B480" s="21"/>
    </x:row>
    <x:row r="481">
      <x:c r="B481" s="21"/>
    </x:row>
    <x:row r="482">
      <x:c r="B482" s="21"/>
    </x:row>
    <x:row r="483">
      <x:c r="B483" s="21"/>
    </x:row>
    <x:row r="484">
      <x:c r="B484" s="21"/>
    </x:row>
    <x:row r="485">
      <x:c r="B485" s="21"/>
    </x:row>
    <x:row r="486">
      <x:c r="B486" s="21"/>
    </x:row>
    <x:row r="487">
      <x:c r="B487" s="21"/>
    </x:row>
    <x:row r="488">
      <x:c r="B488" s="21"/>
    </x:row>
    <x:row r="489">
      <x:c r="B489" s="21"/>
    </x:row>
    <x:row r="490">
      <x:c r="B490" s="21"/>
    </x:row>
    <x:row r="491">
      <x:c r="B491" s="21"/>
    </x:row>
    <x:row r="492">
      <x:c r="B492" s="21"/>
    </x:row>
    <x:row r="493">
      <x:c r="B493" s="21"/>
    </x:row>
    <x:row r="494">
      <x:c r="B494" s="21"/>
    </x:row>
    <x:row r="495">
      <x:c r="B495" s="21"/>
    </x:row>
    <x:row r="496">
      <x:c r="B496" s="21"/>
    </x:row>
    <x:row r="497">
      <x:c r="B497" s="21"/>
    </x:row>
    <x:row r="498">
      <x:c r="B498" s="21"/>
    </x:row>
    <x:row r="499">
      <x:c r="B499" s="21"/>
    </x:row>
    <x:row r="500">
      <x:c r="B500" s="21"/>
    </x:row>
    <x:row r="501">
      <x:c r="B501" s="21"/>
    </x:row>
    <x:row r="502">
      <x:c r="B502" s="21"/>
    </x:row>
    <x:row r="503">
      <x:c r="B503" s="21"/>
    </x:row>
    <x:row r="504">
      <x:c r="B504" s="21"/>
    </x:row>
    <x:row r="505">
      <x:c r="B505" s="21"/>
    </x:row>
  </x:sheetData>
  <x:mergeCells>
    <x:mergeCell ref="A2:J2"/>
  </x:mergeCells>
  <x:pageMargins left="0.7" right="0.7" top="0.75" bottom="0.75" header="0.3" footer="0.3"/>
  <x:tableParts count="1">
    <x:tablePart xmlns:r="http://schemas.openxmlformats.org/officeDocument/2006/relationships" r:id="Re75eda2149c148e5"/>
  </x:tableParts>
</x:worksheet>
</file>