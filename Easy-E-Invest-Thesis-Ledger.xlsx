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c07d4d17834af6" /></Relationships>
</file>

<file path=xl/workbook.xml><?xml version="1.0" encoding="utf-8"?>
<x:workbook xmlns:x="http://schemas.openxmlformats.org/spreadsheetml/2006/main">
  <x:sheets>
    <x:sheet xmlns:r="http://schemas.openxmlformats.org/officeDocument/2006/relationships" name="Summary" sheetId="1" r:id="R1a463e6cdc664e97"/>
    <x:sheet xmlns:r="http://schemas.openxmlformats.org/officeDocument/2006/relationships" name="Thesis Ledger" sheetId="2" r:id="R8305d249ee8448c9"/>
    <x:sheet xmlns:r="http://schemas.openxmlformats.org/officeDocument/2006/relationships" name="Evidence Log" sheetId="3" r:id="R76d696bec44140da"/>
    <x:sheet xmlns:r="http://schemas.openxmlformats.org/officeDocument/2006/relationships" name="Source Registry" sheetId="4" r:id="R5ae0ef9b40134660"/>
    <x:sheet xmlns:r="http://schemas.openxmlformats.org/officeDocument/2006/relationships" name="Paper Trades" sheetId="5" r:id="R3df29e99dc664953"/>
    <x:sheet xmlns:r="http://schemas.openxmlformats.org/officeDocument/2006/relationships" name="Scan Runs" sheetId="6" r:id="Recb84824b09c42e0"/>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710bed0892431a" /><Relationship Type="http://schemas.openxmlformats.org/officeDocument/2006/relationships/theme" Target="/xl/theme/theme1.xml" Id="R38539b810a254cdf" /><Relationship Type="http://schemas.openxmlformats.org/officeDocument/2006/relationships/sharedStrings" Target="/xl/sharedStrings.xml" Id="R58268cbfb0f8400c" /><Relationship Type="http://schemas.openxmlformats.org/officeDocument/2006/relationships/worksheet" Target="/xl/worksheets/sheet1.xml" Id="R1a463e6cdc664e97" /><Relationship Type="http://schemas.openxmlformats.org/officeDocument/2006/relationships/worksheet" Target="/xl/worksheets/sheet2.xml" Id="R8305d249ee8448c9" /><Relationship Type="http://schemas.openxmlformats.org/officeDocument/2006/relationships/worksheet" Target="/xl/worksheets/sheet3.xml" Id="R76d696bec44140da" /><Relationship Type="http://schemas.openxmlformats.org/officeDocument/2006/relationships/worksheet" Target="/xl/worksheets/sheet4.xml" Id="R5ae0ef9b40134660" /><Relationship Type="http://schemas.openxmlformats.org/officeDocument/2006/relationships/worksheet" Target="/xl/worksheets/sheet5.xml" Id="R3df29e99dc664953" /><Relationship Type="http://schemas.openxmlformats.org/officeDocument/2006/relationships/worksheet" Target="/xl/worksheets/sheet6.xml" Id="Recb84824b09c42e0"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1f980b758564c39" /></Relationships>
</file>

<file path=xl/worksheets/_rels/sheet3.xml.rels>&#65279;<?xml version="1.0" encoding="utf-8"?><Relationships xmlns="http://schemas.openxmlformats.org/package/2006/relationships"><Relationship Type="http://schemas.openxmlformats.org/officeDocument/2006/relationships/table" Target="/xl/tables/table2.xml" Id="Reb71c00d863c4f22" /></Relationships>
</file>

<file path=xl/worksheets/_rels/sheet4.xml.rels>&#65279;<?xml version="1.0" encoding="utf-8"?><Relationships xmlns="http://schemas.openxmlformats.org/package/2006/relationships"><Relationship Type="http://schemas.openxmlformats.org/officeDocument/2006/relationships/table" Target="/xl/tables/table3.xml" Id="R7cf6eee27cc14148" /></Relationships>
</file>

<file path=xl/worksheets/_rels/sheet5.xml.rels>&#65279;<?xml version="1.0" encoding="utf-8"?><Relationships xmlns="http://schemas.openxmlformats.org/package/2006/relationships"><Relationship Type="http://schemas.openxmlformats.org/officeDocument/2006/relationships/table" Target="/xl/tables/table4.xml" Id="R468a3d16af3f453e" /></Relationships>
</file>

<file path=xl/worksheets/_rels/sheet6.xml.rels>&#65279;<?xml version="1.0" encoding="utf-8"?><Relationships xmlns="http://schemas.openxmlformats.org/package/2006/relationships"><Relationship Type="http://schemas.openxmlformats.org/officeDocument/2006/relationships/table" Target="/xl/tables/table5.xml" Id="R06e2703f1a0946a1"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11</x:v>
      </x:c>
      <x:c r="C6" s="1"/>
      <x:c r="D6" s="1"/>
      <x:c r="E6" s="1"/>
      <x:c r="F6" s="1"/>
      <x:c r="G6" s="1"/>
      <x:c r="H6" s="1"/>
      <x:c r="I6" s="1"/>
      <x:c r="J6" s="1"/>
    </x:row>
    <x:row r="7">
      <x:c r="A7" s="1" t="str">
        <x:v>Open theses</x:v>
      </x:c>
      <x:c r="B7" s="40" t="n">
        <x:f>COUNTIFS('Thesis Ledger'!A6:A200,"&lt;&gt;",'Thesis Ledger'!F6:F200,"&lt;&gt;Closed",'Thesis Ledger'!F6:F200,"&lt;&gt;Invalidated")</x:f>
        <x:v>9</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A Reuters/Ipsos national poll published September 21 showed registered voters preferring Democratic congressional candidates 43% to 35%, the widest lead recorded for the survey in 2026. This strengthens the probability of a political shift, but no House or Senate control outcome is independently established.</x:v>
      </x:c>
      <x:c r="O8" s="29" t="str">
        <x:v>Expected changes in fiscal, regulatory and sector policy could alter risk appetite and relative performance.</x:v>
      </x:c>
      <x:c r="P8" s="29" t="str">
        <x:v>The national poll strengthens the uncertainty-resolution trigger, and the earnings foundation remains supportive. XLV was the only candidate expression showing clear positive relative performance in the September 24 intraday check.</x:v>
      </x:c>
      <x:c r="Q8" s="29" t="str">
        <x:v>A generic ballot does not map directly to House districts or Senate races. The market also contradicts the required broadening: RSP lagged SPY, and IWM, XLI, XLB, XBI and copper were all negative. The 10-year Treasury yield remained above 5%, while Brent rebounded near $105.50, preserving the inflation-to-rates headwind.</x:v>
      </x:c>
      <x:c r="R8" s="29"/>
      <x:c r="S8" s="29" t="str">
        <x:v>At approximately 11:24 a.m. ET on September 24, SPY was -0.46% and RSP -0.50%; IWM -0.83%, XLI -0.91%, XLB -1.03%, XBI -1.04%, CPER -0.30% and XLF -0.36%. XLV +0.85% was the only positive candidate, consistent with defensive sector leadership rather than broad risk appetite.</x:v>
      </x:c>
      <x:c r="T8" s="29" t="str">
        <x:v>RSP versus SPY remains the central breadth test. XLV is the closest conditional watch, but its strength is defensive and health-care-specific rather than confirmation of election relief. XLI lost its prior relative resilience; IWM, XBI, XLB/CPER and XLF remain unconfirmed. Entry Window remains WAIT and inactive; no automatic trade.</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September 24 dedicated check: the Reuters/Ipsos poll strengthens the political-shift trigger, but no chamber-control conclusion is established. Live market confirmation weakened: RSP lagged SPY, small caps and cyclicals fell, and only defensive XLV advanced. A 10-year yield above 5% and Brent near $105.50 remain adverse modifiers. Financial-thesis confidence stays 3/5, trading edge 1/5, classification Developing, Entry Window WAIT inactive until Actionable. No automatic trade.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Physical confirmation strengthened. Serbia announced an emergency diesel-reserve release; low Danube water limited barges to roughly 30%-40% of normal capacity and sharply reduced planned fuel imports. European diesel futures remained near all-time highs, and U.S. distillate stocks fell 428,000 barrels to 107.4 million. Disrupted Middle East and Russian product flows remain the core support.</x:v>
      </x:c>
      <x:c r="Q14" s="29" t="str">
        <x:v>The White House denied that a 90-day U.S. diesel-export ban was being prepared, removing one immediate policy shock. U.S. crude inventories rose about 3 million barrels. Saudi bypass-pipeline restoration, diplomacy and longer-run Russian Vostok Oil supply can improve crude availability, while demand destruction, substitution and refinery operating constraints can cap investable margins.</x:v>
      </x:c>
      <x:c r="R14" s="29"/>
      <x:c r="S14" s="29" t="str">
        <x:v>The underlying commodity signal strengthened before the U.S. cash-market open: Reuters reported Brent up about 2.36% to $105.51 and WTI up 1.89% to $93.90, with European diesel futures near all-time highs. The prior session showed a roughly 5% diesel-futures reversal around conflicting export-ban headlines, confirming scarcity but also severe policy and headline volatility.</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Serbia's state-reserve release and sharply impaired Danube imports add direct physical and government-response confirmation to global diesel scarcity. Near-record European diesel and falling U.S. distillate stocks support the economic variable, while the White House export-ban denial and normalization options reduce the incremental policy shock. Stage remains Actionable, confidence 5/5, trading edge 1/5 and Entry Window WAIT. Prices are extended and headline-sensitive; require an orderly retracement or consolidation with inventories, exports and physical cracks still confirming. Invalidate on sustained normalization in exports, inventories, logistics and cracks.</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Iraqi officials saying transport costs rose from about $26 to $37 per barrel amid vessel scarcity. Saudi Arabia disputed Iraq's claim that it had bought 25 tankers but attributed exceptional shipping costs to the regional war and Hormuz disruption. Traffic remained well below pre-conflict norms and attacks continued, supporting the physical freight variable.</x:v>
      </x:c>
      <x:c r="Q16" s="29" t="str">
        <x:v>France said it was drafting with the United States a possible U.N. Security Council resolution for an international mission to restore commercial movement through Hormuz. Earlier initiatives did not secure China and Russia, and no implementation timetable was provided. Saudi bypass-pipeline restoration, diplomacy, producer-owned fleets and newbuilds remain material reversal risks.</x:v>
      </x:c>
      <x:c r="R16" s="29"/>
      <x:c r="S16" s="29" t="str">
        <x:v>Exceptional freight remains observable, but delayed U.S. quotes weakened: FRO about -3.83% and DHT -4.72%. The economic variable is still supported by higher reported transport costs, while listed tanker equities and normalization proposals do not confirm a favorable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September 23 strengthened physical freight confirmation but not the investable entry. Iraq reported sharply higher transport costs, while Saudi Arabia confirmed exceptional shipping costs even as it rejected a tanker-purchase claim. A proposed international Hormuz mission and bypass-pipeline restoration could release vessel-days. Stage remains Strong, confidence 4/5, trading edge 1/5 and Entry Window WAIT. Next check: verified route normalization, sustained VLCC/Aframax rates and listed-tanker cash conversion.</x:v>
      </x:c>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c1f980b758564c39"/>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eb71c00d863c4f22"/>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7cf6eee27cc14148"/>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61.56</x:v>
      </x:c>
      <x:c r="K6" s="46" t="n">
        <x:f>I6*J6</x:f>
        <x:v>1076.0356581017306</x:v>
      </x:c>
      <x:c r="L6" s="46" t="n">
        <x:f>K6-H6</x:f>
        <x:v>76.03565810173063</x:v>
      </x:c>
      <x:c r="M6" s="48" t="n">
        <x:f>L6/H6</x:f>
        <x:v>0.07603565810173063</x:v>
      </x:c>
      <x:c r="N6" s="30"/>
      <x:c r="O6" s="32"/>
      <x:c r="P6" s="32" t="str">
        <x:f>IF(OR(I6="",O6=""),"",I6*O6)</x:f>
      </x:c>
      <x:c r="Q6" s="32" t="str">
        <x:f>IF(P6="","",P6-H6)</x:f>
      </x:c>
      <x:c r="R6" s="29" t="str">
        <x:v>09/24/26 close: $61.56; position value $1,076.04; +$76.04 (+7.60%). BNO gained 1.99% for the session and is the strongest paper position and the cleanest Brent-linked expression.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153.25</x:v>
      </x:c>
      <x:c r="K7" s="46" t="n">
        <x:f>I7*J7</x:f>
        <x:v>1059.820193637621</x:v>
      </x:c>
      <x:c r="L7" s="46" t="n">
        <x:f>K7-H7</x:f>
        <x:v>59.82019363762106</x:v>
      </x:c>
      <x:c r="M7" s="48" t="n">
        <x:f>L7/H7</x:f>
        <x:v>0.05982019363762106</x:v>
      </x:c>
      <x:c r="N7" s="30"/>
      <x:c r="O7" s="32"/>
      <x:c r="P7" s="32" t="str">
        <x:f>IF(OR(I7="",O7=""),"",I7*O7)</x:f>
      </x:c>
      <x:c r="Q7" s="32" t="str">
        <x:f>IF(P7="","",P7-H7)</x:f>
      </x:c>
      <x:c r="R7" s="29" t="str">
        <x:v>09/24/26 close: $153.25; position value $1,059.82; +$59.82 (+5.98%). USO gained 2.97% for the session and is profitable and clearly ahead of the producer-equity proxy.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184.31</x:v>
      </x:c>
      <x:c r="K8" s="46" t="n">
        <x:f>I8*J8</x:f>
        <x:v>950.8357408171688</x:v>
      </x:c>
      <x:c r="L8" s="46" t="n">
        <x:f>K8-H8</x:f>
        <x:v>-49.16425918283119</x:v>
      </x:c>
      <x:c r="M8" s="48" t="n">
        <x:f>L8/H8</x:f>
        <x:v>-0.04916425918283119</x:v>
      </x:c>
      <x:c r="N8" s="30"/>
      <x:c r="O8" s="32"/>
      <x:c r="P8" s="32" t="str">
        <x:f>IF(OR(I8="",O8=""),"",I8*O8)</x:f>
      </x:c>
      <x:c r="Q8" s="32" t="str">
        <x:f>IF(P8="","",P8-H8)</x:f>
      </x:c>
      <x:c r="R8" s="29" t="str">
        <x:v>09/24/26 close: $184.31; position value $950.84; -$49.16 (-4.92%). XOP gained 0.91% for the session and is below entry and still the weakest expression.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468a3d16af3f453e"/>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06e2703f1a0946a1"/>
  </x:tableParts>
</x:worksheet>
</file>