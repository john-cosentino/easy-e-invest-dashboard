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fce8f020a9a47f8" /></Relationships>
</file>

<file path=xl/workbook.xml><?xml version="1.0" encoding="utf-8"?>
<x:workbook xmlns:x="http://schemas.openxmlformats.org/spreadsheetml/2006/main">
  <x:sheets>
    <x:sheet xmlns:r="http://schemas.openxmlformats.org/officeDocument/2006/relationships" name="Summary" sheetId="1" r:id="Rd58df18d19254f0d"/>
    <x:sheet xmlns:r="http://schemas.openxmlformats.org/officeDocument/2006/relationships" name="Thesis Ledger" sheetId="2" r:id="Rf01fe44995474f9a"/>
    <x:sheet xmlns:r="http://schemas.openxmlformats.org/officeDocument/2006/relationships" name="Evidence Log" sheetId="3" r:id="Ra206f79147f248d2"/>
    <x:sheet xmlns:r="http://schemas.openxmlformats.org/officeDocument/2006/relationships" name="Source Registry" sheetId="4" r:id="Rdb0562de19c44b98"/>
    <x:sheet xmlns:r="http://schemas.openxmlformats.org/officeDocument/2006/relationships" name="Paper Trades" sheetId="5" r:id="R0f3cfe34c03a4928"/>
    <x:sheet xmlns:r="http://schemas.openxmlformats.org/officeDocument/2006/relationships" name="Scan Runs" sheetId="6" r:id="Rc7eec69acc044816"/>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2">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3e81b35419547f7" /><Relationship Type="http://schemas.openxmlformats.org/officeDocument/2006/relationships/theme" Target="/xl/theme/theme1.xml" Id="Ra530a7a9cee54e22" /><Relationship Type="http://schemas.openxmlformats.org/officeDocument/2006/relationships/sharedStrings" Target="/xl/sharedStrings.xml" Id="R31208ceecc8b4b85" /><Relationship Type="http://schemas.openxmlformats.org/officeDocument/2006/relationships/worksheet" Target="/xl/worksheets/sheet1.xml" Id="Rd58df18d19254f0d" /><Relationship Type="http://schemas.openxmlformats.org/officeDocument/2006/relationships/worksheet" Target="/xl/worksheets/sheet2.xml" Id="Rf01fe44995474f9a" /><Relationship Type="http://schemas.openxmlformats.org/officeDocument/2006/relationships/worksheet" Target="/xl/worksheets/sheet3.xml" Id="Ra206f79147f248d2" /><Relationship Type="http://schemas.openxmlformats.org/officeDocument/2006/relationships/worksheet" Target="/xl/worksheets/sheet4.xml" Id="Rdb0562de19c44b98" /><Relationship Type="http://schemas.openxmlformats.org/officeDocument/2006/relationships/worksheet" Target="/xl/worksheets/sheet5.xml" Id="R0f3cfe34c03a4928" /><Relationship Type="http://schemas.openxmlformats.org/officeDocument/2006/relationships/worksheet" Target="/xl/worksheets/sheet6.xml" Id="Rc7eec69acc044816"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28e3a5c3d524aab" /></Relationships>
</file>

<file path=xl/worksheets/_rels/sheet3.xml.rels>&#65279;<?xml version="1.0" encoding="utf-8"?><Relationships xmlns="http://schemas.openxmlformats.org/package/2006/relationships"><Relationship Type="http://schemas.openxmlformats.org/officeDocument/2006/relationships/table" Target="/xl/tables/table2.xml" Id="R53541032c81a4934" /></Relationships>
</file>

<file path=xl/worksheets/_rels/sheet4.xml.rels>&#65279;<?xml version="1.0" encoding="utf-8"?><Relationships xmlns="http://schemas.openxmlformats.org/package/2006/relationships"><Relationship Type="http://schemas.openxmlformats.org/officeDocument/2006/relationships/table" Target="/xl/tables/table3.xml" Id="R29f6bfb8722346c1" /></Relationships>
</file>

<file path=xl/worksheets/_rels/sheet5.xml.rels>&#65279;<?xml version="1.0" encoding="utf-8"?><Relationships xmlns="http://schemas.openxmlformats.org/package/2006/relationships"><Relationship Type="http://schemas.openxmlformats.org/officeDocument/2006/relationships/table" Target="/xl/tables/table4.xml" Id="Rcad03705b27343c6" /></Relationships>
</file>

<file path=xl/worksheets/_rels/sheet6.xml.rels>&#65279;<?xml version="1.0" encoding="utf-8"?><Relationships xmlns="http://schemas.openxmlformats.org/package/2006/relationships"><Relationship Type="http://schemas.openxmlformats.org/officeDocument/2006/relationships/table" Target="/xl/tables/table5.xml" Id="R32c0d76442e94e56"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Ledger'!$A$6:$A$205)</x:f>
        <x:v>8</x:v>
      </x:c>
      <x:c r="C6" s="1"/>
      <x:c r="D6" s="1"/>
      <x:c r="E6" s="1"/>
      <x:c r="F6" s="1"/>
      <x:c r="G6" s="1"/>
      <x:c r="H6" s="1"/>
      <x:c r="I6" s="1"/>
      <x:c r="J6" s="1"/>
    </x:row>
    <x:row r="7">
      <x:c r="A7" s="1" t="str">
        <x:v>Open theses</x:v>
      </x:c>
      <x:c r="B7" s="40" t="n">
        <x:f>COUNTIFS('Thesis Ledger'!$F$6:$F$205,"&lt;&gt;Closed",'Thesis Ledger'!$F$6:$F$205,"&lt;&gt;Invalidated",'Thesis Ledger'!$A$6:$A$205,"&lt;&gt;")</x:f>
        <x:v>8</x:v>
      </x:c>
      <x:c r="C7" s="1"/>
      <x:c r="D7" s="1"/>
      <x:c r="E7" s="1"/>
      <x:c r="F7" s="1"/>
      <x:c r="G7" s="1"/>
      <x:c r="H7" s="1"/>
      <x:c r="I7" s="1"/>
      <x:c r="J7" s="1"/>
    </x:row>
    <x:row r="8">
      <x:c r="A8" s="1" t="str">
        <x:v>Evaluated theses</x:v>
      </x:c>
      <x:c r="B8" s="40" t="n">
        <x:f>COUNT('Thesis Ledger'!$AD$6:$AD$205)</x:f>
        <x:v>0</x:v>
      </x:c>
      <x:c r="C8" s="1"/>
      <x:c r="D8" s="1"/>
      <x:c r="E8" s="1"/>
      <x:c r="F8" s="1"/>
      <x:c r="G8" s="1"/>
      <x:c r="H8" s="1"/>
      <x:c r="I8" s="1"/>
      <x:c r="J8" s="1"/>
    </x:row>
    <x:row r="9">
      <x:c r="A9" s="1" t="str">
        <x:v>Average prediction score</x:v>
      </x:c>
      <x:c r="B9" s="41" t="str">
        <x:f>IFERROR(AVERAGE('Thesis Ledger'!$AD$6:$AD$205),"")</x:f>
      </x:c>
      <x:c r="C9" s="1"/>
      <x:c r="D9" s="1"/>
      <x:c r="E9" s="1"/>
      <x:c r="F9" s="1"/>
      <x:c r="G9" s="1"/>
      <x:c r="H9" s="1"/>
      <x:c r="I9" s="1"/>
      <x:c r="J9" s="1"/>
    </x:row>
    <x:row r="10">
      <x:c r="A10" s="35" t="str">
        <x:v>Preferred entry theses</x:v>
      </x:c>
      <x:c r="B10" s="42" t="n">
        <x:f>COUNTIF('Thesis Ledger'!$M$6:$M$205,"PREFERRED")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Actionable</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46283</x:v>
      </x:c>
    </x:row>
    <x:row r="14">
      <x:c r="A14" s="1" t="str">
        <x:f>'Thesis Ledger'!A7</x:f>
        <x:v>EEI-2026-002</x:v>
      </x:c>
      <x:c r="B14" s="1" t="str">
        <x:f>'Thesis Ledger'!B7</x:f>
        <x:v>Gas disruption and coal substitution</x:v>
      </x:c>
      <x:c r="C14" s="1" t="str">
        <x:f>'Thesis Ledger'!C7</x:f>
        <x:v>Energy and materials</x:v>
      </x:c>
      <x:c r="D14" s="1" t="str">
        <x:f>'Thesis Ledger'!F7</x:f>
        <x:v>Developing</x:v>
      </x:c>
      <x:c r="E14" s="1" t="n">
        <x:f>'Thesis Ledger'!K7</x:f>
        <x:v>3</x:v>
      </x:c>
      <x:c r="F14" s="1" t="n">
        <x:f>'Thesis Ledger'!L7</x:f>
        <x:v>3</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Developing</x:v>
      </x:c>
      <x:c r="E15" s="1" t="n">
        <x:f>'Thesis Ledger'!K8</x:f>
        <x:v>3</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Actionable</x:v>
      </x:c>
      <x:c r="E16" s="1" t="n">
        <x:f>'Thesis Ledger'!K9</x:f>
        <x:v>4</x:v>
      </x:c>
      <x:c r="F16" s="1" t="n">
        <x:f>'Thesis Ledger'!L9</x:f>
        <x:v>2</x:v>
      </x:c>
      <x:c r="G16" s="1" t="str">
        <x:f>'Thesis Ledger'!M9</x:f>
        <x:v>WAIT</x:v>
      </x:c>
      <x:c r="H16" s="1" t="n">
        <x:f>'Thesis Ledger'!D9</x:f>
        <x:v>46276.51043981482</x:v>
      </x:c>
      <x:c r="I16" s="1" t="str">
        <x:f>'Thesis Ledger'!H9</x:f>
        <x:v>U.S. producer inflation, Fed policy expectations and long-term Treasury yields</x:v>
      </x:c>
      <x:c r="J16" s="1" t="n">
        <x:f>'Thesis Ledger'!W9</x:f>
        <x:v>46283.5</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Actionable</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Reuters reported Brent at $107.82, WTI at $102.82, record-area Dubai/Oman premiums, South Korean purchases of U.S. crude near $24 per barrel premiums and Iraqi Basrah Medium near $20 premiums. Physical flows through Hormuz remained roughly 6-8 million bpd versus about one-fifth of global oil and LNG trade before the war.</x:v>
      </x:c>
      <x:c r="Q6" s="29" t="str">
        <x:v>The Gulf-Iran meeting was postponed rather than cancelled, demand can weaken at triple-digit oil, alternative supply can respond, and the roughly 9% prior-week rally plus Monday gap leave substantial already-priced and reversal risk.</x:v>
      </x:c>
      <x:c r="R6" s="29" t="str">
        <x:v>Mr Global (enhancer only; no new independently verified contribution this run)</x:v>
      </x:c>
      <x:c r="S6" s="29" t="str">
        <x:v>September 14 liquid-market confirmation arrived: Brent traded as high as $108.65 and near $107.82; WTI was near $102.82. Physical-market premiums also widened sharply. This confirms the mechanism but does not improve the entry because the move is a headline gap after a large prior rally.</x:v>
      </x:c>
      <x:c r="T6" s="29" t="str">
        <x:v>BNO or USO only if the initial gap holds through liquid trading and later consolidates or retraces without a physical-supply improvement; XOP remains a less direct equity expression. Futures-roll, basis, gap-reversal and company-specific risks remain material.</x:v>
      </x:c>
      <x:c r="U6" s="29" t="str">
        <x:v>Verified restart of the East-West pipeline, sustained restoration of Hormuz traffic toward normal, falling physical premiums/freight/insurance, or diplomatic de-escalation accompanied by a durable crude reversal.</x:v>
      </x:c>
      <x:c r="V6" s="43" t="n">
        <x:v>46271</x:v>
      </x:c>
      <x:c r="W6" s="43" t="n">
        <x:v>46283</x:v>
      </x:c>
      <x:c r="X6" s="43"/>
      <x:c r="Y6" s="29"/>
      <x:c r="Z6" s="29"/>
      <x:c r="AA6" s="29"/>
      <x:c r="AB6" s="29"/>
      <x:c r="AC6" s="29"/>
      <x:c r="AD6" s="29" t="str">
        <x:v>Open. September 14 delivered both liquid futures and physical-market confirmation. The thesis remains Actionable at confidence 5/5, but trading edge stays 1/5 and Entry Window stays WAIT: the market gap and prior rally make headline chasing a poor risk/reward setup. Reassess after regular-session breadth, support formation and verified infrastructure/traffic updates. Formal outcome evaluation remains due September 18.</x:v>
      </x:c>
      <x:c r="AE6" s="31" t="str">
        <x:f>IF(COUNTA(Y6:AC6)=0,"",COUNTIF(Y6:AC6,"Yes")/COUNTA(Y6:AC6))</x:f>
      </x:c>
    </x:row>
    <x:row r="7">
      <x:c r="A7" s="27" t="str">
        <x:v>EEI-2026-002</x:v>
      </x:c>
      <x:c r="B7" s="27" t="str">
        <x:v>Gas disruption and coal substitution</x:v>
      </x:c>
      <x:c r="C7" s="27" t="str">
        <x:v>Energy and materials</x:v>
      </x:c>
      <x:c r="D7" s="30" t="n">
        <x:v>46275</x:v>
      </x:c>
      <x:c r="E7" s="30" t="n">
        <x:v>46275.5</x:v>
      </x:c>
      <x:c r="F7" s="27" t="str">
        <x:v>Developing</x:v>
      </x:c>
      <x:c r="G7" s="27" t="str">
        <x:v>Supply chain</x:v>
      </x:c>
      <x:c r="H7" s="27" t="str">
        <x:v>Coal demand from fuel switching</x:v>
      </x:c>
      <x:c r="I7" s="27" t="str">
        <x:v>Up</x:v>
      </x:c>
      <x:c r="J7" s="27" t="str">
        <x:v>Weeks to months</x:v>
      </x:c>
      <x:c r="K7" s="27" t="n">
        <x:v>3</x:v>
      </x:c>
      <x:c r="L7" s="27" t="n">
        <x:v>3</x:v>
      </x:c>
      <x:c r="M7" s="27" t="str">
        <x:v>WAIT</x:v>
      </x:c>
      <x:c r="N7" s="29" t="str">
        <x:v>Gas and LNG disruption may cause utilities or industrial users to substitute coal.</x:v>
      </x:c>
      <x:c r="O7" s="29" t="str">
        <x:v>Constrained gas availability and higher gas prices improve the relative economics of coal where switching is feasible.</x:v>
      </x:c>
      <x:c r="P7" s="29" t="str">
        <x:v>IEA demand revisions and gas or LNG disruption evidence.</x:v>
      </x:c>
      <x:c r="Q7" s="29" t="str">
        <x:v>De-escalation, restored gas supply, emissions restrictions, limited switching capacity, or coal already repriced.</x:v>
      </x:c>
      <x:c r="R7" s="29" t="str"/>
      <x:c r="S7" s="29" t="str">
        <x:v>Needs continuing coal-price, producer and utility-demand confirmation.</x:v>
      </x:c>
      <x:c r="T7" s="29" t="str">
        <x:v>Direct coal exposure where available; coal producers after mapping review</x:v>
      </x:c>
      <x:c r="U7" s="29" t="str">
        <x:v>Gas normalization or demand data failing to show substitution.</x:v>
      </x:c>
      <x:c r="V7" s="43" t="n">
        <x:v>46275</x:v>
      </x:c>
      <x:c r="W7" s="43" t="n">
        <x:v>46296</x:v>
      </x:c>
      <x:c r="X7" s="43"/>
      <x:c r="Y7" s="29"/>
      <x:c r="Z7" s="29"/>
      <x:c r="AA7" s="29"/>
      <x:c r="AB7" s="29"/>
      <x:c r="AC7" s="29"/>
      <x:c r="AD7" s="29" t="str">
        <x:v>Second-order thesis; instrument mapping remains incomplete.</x:v>
      </x:c>
      <x:c r="AE7" s="31" t="str">
        <x:f>IF(COUNTA(Y7:AC7)=0,"",COUNTIF(Y7:AC7,"Yes")/COUNTA(Y7:AC7))</x:f>
      </x:c>
    </x:row>
    <x:row r="8">
      <x:c r="A8" s="27" t="str">
        <x:v>EEI-2026-003</x:v>
      </x:c>
      <x:c r="B8" s="27" t="str">
        <x:v>2026 midterm political shift</x:v>
      </x:c>
      <x:c r="C8" s="27" t="str">
        <x:v>Multi-sector</x:v>
      </x:c>
      <x:c r="D8" s="30" t="n">
        <x:v>46274</x:v>
      </x:c>
      <x:c r="E8" s="30" t="n">
        <x:v>46274.5</x:v>
      </x:c>
      <x:c r="F8" s="27" t="str">
        <x:v>Developing</x:v>
      </x:c>
      <x:c r="G8" s="27" t="str">
        <x:v>Political and policy</x:v>
      </x:c>
      <x:c r="H8" s="27" t="str">
        <x:v>Market breadth, policy expectations and sector leadership</x:v>
      </x:c>
      <x:c r="I8" s="27" t="str">
        <x:v>Mixed to up</x:v>
      </x:c>
      <x:c r="J8" s="27" t="str">
        <x:v>Weeks to months</x:v>
      </x:c>
      <x:c r="K8" s="27" t="n">
        <x:v>3</x:v>
      </x:c>
      <x:c r="L8" s="27" t="n">
        <x:v>1</x:v>
      </x:c>
      <x:c r="M8" s="27" t="str">
        <x:v>WAIT</x:v>
      </x:c>
      <x:c r="N8" s="29" t="str">
        <x:v>A potential shift in congressional control may change policy expectations and market leadership around the November midterms.</x:v>
      </x:c>
      <x:c r="O8" s="29" t="str">
        <x:v>Expected changes in fiscal, regulatory and sector policy could alter risk appetite and relative performance.</x:v>
      </x:c>
      <x:c r="P8" s="29" t="str">
        <x:v>Corporate earnings remain supportive: Oracle beat quarterly estimates and raised its fiscal 2027 earnings forecast. Friday's advance showed equity demand can persist despite inflation, but one session is not enough to confirm a pre-election broadening trend.</x:v>
      </x:c>
      <x:c r="Q8" s="29" t="str">
        <x:v>August CPI rose 0.4% month over month and 3.4% year over year; energy rose 2.1% and gasoline 3.9%. Treasury yields remain near 5%, consumer sentiment weakened and inflation expectations rose. On September 13, Reuters reported that the Saudi East-West pipeline had been carrying about 4 million barrels per day, with Yanbu export stocks estimated at only five to seven days and repair estimates ranging up to five or six weeks. Saudi Arabia has not confirmed the repair duration. The risk of a prolonged energy shock can delay or overwhelm an election-related uncertainty-relief effect.</x:v>
      </x:c>
      <x:c r="R8" s="29"/>
      <x:c r="S8" s="29" t="str">
        <x:v>Friday's U.S. close still provides only partial confirmation: SPY rose 0.87%, RSP 0.79%, IWM 0.40% and XLI 1.07%, while XLV and XBI fell. On Sunday, Saudi Arabia's benchmark fell 1.3%, Aramco 1.6% and Saudi Arabian Mining 3.2% after the pipeline and shipping attacks. This confirms regional risk aversion, but U.S. equities, volatility, Treasury yields and the tracked candidate funds have not traded since the latest disruptions.</x:v>
      </x:c>
      <x:c r="T8" s="29" t="str">
        <x:v>XLI remains the clearest conditional sector watch, but not an entry signal. SPY is watch-only. RSP and IWM require sustained relative strength; XLB and copper remain vulnerable to an extended-price reversal; XLV and XBI need independent leadership; XLF needs stable rates and credit.</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Open. The September 13 pipeline-duration and export-stock reports materially worsen the energy-inflation-rates modifier without changing the election mechanism. Classification remains Developing and thesis confidence remains 3/5, but trading edge falls from 2/5 to 1/5 because the macro contradiction has intensified and no U.S. post-trigger market confirmation exists. Entry Window remains WAIT and inactive until the thesis becomes Actionable.</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Actionable</x:v>
      </x:c>
      <x:c r="G9" s="27" t="str">
        <x:v>Economic data and market repricing</x:v>
      </x:c>
      <x:c r="H9" s="27" t="str">
        <x:v>U.S. producer inflation, Fed policy expectations and long-term Treasury yields</x:v>
      </x:c>
      <x:c r="I9" s="27" t="str">
        <x:v>Up</x:v>
      </x:c>
      <x:c r="J9" s="27" t="str">
        <x:v>Days to weeks</x:v>
      </x:c>
      <x:c r="K9" s="27" t="n">
        <x:v>4</x:v>
      </x:c>
      <x:c r="L9" s="27" t="n">
        <x:v>2</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Reuters reported Brent above $107 and WTI above $102 on September 14, with Asian refiners paying sharply higher premiums for alternative crude. Bond markets remained under pressure ahead of the Fed decision.</x:v>
      </x:c>
      <x:c r="Q9" s="29" t="str">
        <x:v>A rapid supply restoration or demand destruction could reverse oil; the Fed can look through a temporary supply shock; fiscal supply also affects yields; and the rates expression has not accelerated in proportion to oil.</x:v>
      </x:c>
      <x:c r="R9" s="29"/>
      <x:c r="S9" s="29" t="str">
        <x:v>Energy prices confirmed further, but the long-duration rates expression had only limited same-morning confirmation. The September 16 Fed decision remains a binary event and chasing inverse-duration exposure ahead of it remains unattractive.</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t="n">
        <x:v>46283.5</x:v>
      </x:c>
      <x:c r="X9" s="43"/>
      <x:c r="Y9" s="29"/>
      <x:c r="Z9" s="29"/>
      <x:c r="AA9" s="29"/>
      <x:c r="AB9" s="29"/>
      <x:c r="AC9" s="29"/>
      <x:c r="AD9" s="29" t="str">
        <x:v>Open. Oil and physical premiums strengthened the inflation mechanism on September 14, but rate-market confirmation remained incomplete ahead of the September 16 Fed decision. Status remains Actionable, confidence 4/5, trading edge 2/5 and Entry Window WAIT. No outcome fields were completed.</x:v>
      </x:c>
      <x:c r="AE9" s="31" t="str">
        <x:f>IF(COUNTA(Y9:AC9)=0,"",COUNTIF(Y9:AC9,"Yes")/COUNTA(Y9:AC9))</x:f>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x:v>
      </x:c>
      <x:c r="Q10" s="29" t="str">
        <x:v>Legacy portfolio revenue still fell 4%; major exclusivity losses remain multi-year; long-term debt was about $42.1 billion at quarter-end; and one strong quarter does not prove the portfolio can offset the full patent cliff.</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Motley Fool is trigger only. SEC results independently support the economic mechanism, but patent-cliff and leverage contradictions keep the thesis Developing at 3/5 confidence and 3/5 trading edge. Entry Window WAIT.</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2</x:v>
      </x:c>
      <x:c r="M13" s="27" t="str">
        <x:v>WAIT</x:v>
      </x:c>
      <x:c r="N13" s="29" t="str">
        <x:v>Reuters reported a new Defense Logistics Agency tungsten award to an Elmet Group subsidiary with a $150 million guaranteed funded commitment and potential value near $2 billion, alongside a separate reported $450 million government investment framework.</x:v>
      </x:c>
      <x:c r="O13" s="29" t="str">
        <x:v>Strategic-stockpile buying and government-financed mine, processing and recycling capacity can expand domestic tungsten supply while creating unusually material contracted demand and financing for a small public supplier.</x:v>
      </x:c>
      <x:c r="P13" s="29" t="str">
        <x:v>Reuters independently reported the award and financing. A project-partner release described a binding Springer mine/processing investment plan of $150-$175 million, targeted mine production in Q4 2027 and APT production in the second half of 2028. Elmet's SEC filing confirms it remains a small, recently public company, making the contract highly material.</x:v>
      </x:c>
      <x:c r="Q13" s="29" t="str">
        <x:v>The USAspending award identifier, obligation, NAICS/PSC, competition status and period of performance were not yet publicly indexed at scan time. Deliveries depend on future mining/offtake/capacity, project approvals remain, government preferred equity/warrants may dilute shareholders, and Q2 was loss-making.</x:v>
      </x:c>
      <x:c r="R13" s="29"/>
      <x:c r="S13" s="29" t="str">
        <x:v>ELMT was near $16.19 in early scan data, but reports of a sharp premarket move and incomplete regular-session information create headline-chasing risk. The economic catalyst is confirmed; the price structure is not yet reliable enough for an entry.</x:v>
      </x:c>
      <x:c r="T13" s="29" t="str">
        <x:v>ELMT is the most direct conditional public expression. Blue Moon Metals and EQ Resources are higher-risk project partners subject to approvals, financing and foreign-market liquidity. WAIT until the award appears in primary procurement/SEC records, government security terms are filed, and regular-session price/volume establish non-gap support.</x:v>
      </x:c>
      <x:c r="U13" s="29" t="str">
        <x:v>The award is not documented or materially differs from reported terms; the $150 million commitment is not funded; Springer/offtake/capacity projects fail approvals or slip materially; dilution overwhelms per-share economics; or tungsten procurement is redirected.</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46283</x:v>
      </x:c>
      <x:c r="X13" s="43"/>
      <x:c r="Y13" s="29"/>
      <x:c r="Z13" s="29"/>
      <x:c r="AA13" s="29"/>
      <x:c r="AB13" s="29"/>
      <x:c r="AC13" s="29"/>
      <x:c r="AD13" s="29" t="str">
        <x:v>Open. Classified Actionable because the reported government commitment is extremely material and the mechanism is independently supported. Confidence 4/5, trading edge 2/5, Entry Window WAIT pending primary award details, securities terms and regular-session price structure.</x:v>
      </x:c>
      <x:c r="AE13" s="31" t="str">
        <x:f>IF(COUNTA(Y13:AC13)=0,"",COUNTIF(Y13:AC13,"Yes")/COUNTA(Y13:AC13))</x:f>
      </x:c>
    </x:row>
    <x:row r="14">
      <x:c r="A14" s="27"/>
      <x:c r="B14" s="27"/>
      <x:c r="C14" s="27"/>
      <x:c r="D14" s="30"/>
      <x:c r="E14" s="30"/>
      <x:c r="F14" s="27"/>
      <x:c r="G14" s="27"/>
      <x:c r="H14" s="27"/>
      <x:c r="I14" s="27"/>
      <x:c r="J14" s="27"/>
      <x:c r="K14" s="27"/>
      <x:c r="L14" s="27"/>
      <x:c r="M14" s="27"/>
      <x:c r="N14" s="29"/>
      <x:c r="O14" s="29"/>
      <x:c r="P14" s="29"/>
      <x:c r="Q14" s="29"/>
      <x:c r="R14" s="29"/>
      <x:c r="S14" s="29"/>
      <x:c r="T14" s="29"/>
      <x:c r="U14" s="29"/>
      <x:c r="V14" s="43"/>
      <x:c r="W14" s="43"/>
      <x:c r="X14" s="43"/>
      <x:c r="Y14" s="29"/>
      <x:c r="Z14" s="29"/>
      <x:c r="AA14" s="29"/>
      <x:c r="AB14" s="29"/>
      <x:c r="AC14" s="29"/>
      <x:c r="AD14" s="29"/>
      <x:c r="AE14" s="31" t="str">
        <x:f>IF(COUNTA(Y14:AC14)=0,"",COUNTIF(Y14:AC14,"Yes")/COUNTA(Y14:AC14))</x:f>
      </x:c>
    </x:row>
    <x:row r="15">
      <x:c r="A15" s="27"/>
      <x:c r="B15" s="27"/>
      <x:c r="C15" s="27"/>
      <x:c r="D15" s="30"/>
      <x:c r="E15" s="30"/>
      <x:c r="F15" s="27"/>
      <x:c r="G15" s="27"/>
      <x:c r="H15" s="27"/>
      <x:c r="I15" s="27"/>
      <x:c r="J15" s="27"/>
      <x:c r="K15" s="27"/>
      <x:c r="L15" s="27"/>
      <x:c r="M15" s="27"/>
      <x:c r="N15" s="29"/>
      <x:c r="O15" s="29"/>
      <x:c r="P15" s="29"/>
      <x:c r="Q15" s="29"/>
      <x:c r="R15" s="29"/>
      <x:c r="S15" s="29"/>
      <x:c r="T15" s="29"/>
      <x:c r="U15" s="29"/>
      <x:c r="V15" s="43"/>
      <x:c r="W15" s="43"/>
      <x:c r="X15" s="43"/>
      <x:c r="Y15" s="29"/>
      <x:c r="Z15" s="29"/>
      <x:c r="AA15" s="29"/>
      <x:c r="AB15" s="29"/>
      <x:c r="AC15" s="29"/>
      <x:c r="AD15" s="29"/>
      <x:c r="AE15" s="31" t="str">
        <x:f>IF(COUNTA(Y15:AC15)=0,"",COUNTIF(Y15:AC15,"Yes")/COUNTA(Y15:AC15))</x:f>
      </x:c>
    </x:row>
    <x:row r="16">
      <x:c r="A16" s="27"/>
      <x:c r="B16" s="27"/>
      <x:c r="C16" s="27"/>
      <x:c r="D16" s="30"/>
      <x:c r="E16" s="30"/>
      <x:c r="F16" s="27"/>
      <x:c r="G16" s="27"/>
      <x:c r="H16" s="27"/>
      <x:c r="I16" s="27"/>
      <x:c r="J16" s="27"/>
      <x:c r="K16" s="27"/>
      <x:c r="L16" s="27"/>
      <x:c r="M16" s="27"/>
      <x:c r="N16" s="29"/>
      <x:c r="O16" s="29"/>
      <x:c r="P16" s="29"/>
      <x:c r="Q16" s="29"/>
      <x:c r="R16" s="29"/>
      <x:c r="S16" s="29"/>
      <x:c r="T16" s="29"/>
      <x:c r="U16" s="29"/>
      <x:c r="V16" s="43"/>
      <x:c r="W16" s="43"/>
      <x:c r="X16" s="43"/>
      <x:c r="Y16" s="29"/>
      <x:c r="Z16" s="29"/>
      <x:c r="AA16" s="29"/>
      <x:c r="AB16" s="29"/>
      <x:c r="AC16" s="29"/>
      <x:c r="AD16" s="29"/>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f28e3a5c3d524aab"/>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EEI-2026-007</x:v>
      </x:c>
      <x:c r="C46" s="28" t="n">
        <x:v>46279.38055555556</x:v>
      </x:c>
      <x:c r="D46" s="27" t="str">
        <x:v>Contradictory</x:v>
      </x:c>
      <x:c r="E46" s="27" t="str">
        <x:v>AeroVironment SEC Form 8-K</x:v>
      </x:c>
      <x:c r="F46" s="27" t="str">
        <x:v>Primary company filing</x:v>
      </x:c>
      <x:c r="G46" s="29" t="str">
        <x:v>https://www.sec.gov/Archives/edgar/data/1368622/000110465926076140/avav-20260616x8k.htm</x:v>
      </x:c>
      <x:c r="H46" s="29" t="str">
        <x:v>A prior restatement corrected an $89.4 million overstatement of assets and an $87.3 million overstatement of equity at January 31, 2026.</x:v>
      </x:c>
      <x:c r="I46" s="29" t="str">
        <x:v>Weakens</x:v>
      </x:c>
      <x:c r="J46" s="29" t="n">
        <x:v>5</x:v>
      </x:c>
      <x:c r="K46" s="29" t="str">
        <x:v>Accounting control remediation is required before the strong demand catalyst can support a better Entry Window.</x:v>
      </x:c>
    </x:row>
    <x:row r="47">
      <x:c r="A47" s="27" t="str">
        <x:v>EV-2026-042</x:v>
      </x:c>
      <x:c r="B47" s="27" t="str">
        <x:v>EEI-2026-008</x:v>
      </x:c>
      <x:c r="C47" s="28" t="n">
        <x:v>46279.38055555556</x:v>
      </x:c>
      <x:c r="D47" s="27" t="str">
        <x:v>Trigger and confirmation</x:v>
      </x:c>
      <x:c r="E47" s="27" t="str">
        <x:v>Reuters</x:v>
      </x:c>
      <x:c r="F47" s="27" t="str">
        <x:v>High quality reporting</x:v>
      </x:c>
      <x:c r="G47" s="29" t="str">
        <x:v>https://www.reuters.com/world/china/elmet-group-wins-2-billion-us-tungsten-stockpile-contract-2026-09-14/</x:v>
      </x:c>
      <x:c r="H47" s="29" t="str">
        <x:v>Reuters reported that an Elmet Group subsidiary won a DLA tungsten award with a $150 million guaranteed funded commitment and potential value near $2 billion; a separate government investment framework was reported at $450 million.</x:v>
      </x:c>
      <x:c r="I47" s="29" t="str">
        <x:v>Strengthens</x:v>
      </x:c>
      <x:c r="J47" s="29" t="n">
        <x:v>4</x:v>
      </x:c>
      <x:c r="K47" s="29" t="str">
        <x:v>New award, not described as a routine modification. Award ID, obligation, NAICS/PSC, competition and performance dates were not yet indexed; do not equate the guarantee with obligated amount.</x:v>
      </x:c>
    </x:row>
    <x:row r="48">
      <x:c r="A48" s="27" t="str">
        <x:v>EV-2026-043</x:v>
      </x:c>
      <x:c r="B48" s="27" t="str">
        <x:v>EEI-2026-008</x:v>
      </x:c>
      <x:c r="C48" s="28" t="n">
        <x:v>46279.38055555556</x:v>
      </x:c>
      <x:c r="D48" s="27" t="str">
        <x:v>Supporting</x:v>
      </x:c>
      <x:c r="E48" s="27" t="str">
        <x:v>Blue Moon Metals / Elmet / EQ Resources</x:v>
      </x:c>
      <x:c r="F48" s="27" t="str">
        <x:v>Company-partner release</x:v>
      </x:c>
      <x:c r="G48" s="29" t="str">
        <x:v>https://www.prnewswire.com/news-releases/blue-moon-the-elmet-group-and-eq-resources-announce-a-us150-175-million-investment-into-the-springer-tungsten-complex-nevada-to-strengthen-the-us-tungsten-supply-chain-302877075.html</x:v>
      </x:c>
      <x:c r="H48" s="29" t="str">
        <x:v>The parties announced a binding investment plan of $150-$175 million for the Springer tungsten complex, targeting mine production in Q4 2027 and APT production in the second half of 2028.</x:v>
      </x:c>
      <x:c r="I48" s="29" t="str">
        <x:v>Strengthens mechanism; highlights timing</x:v>
      </x:c>
      <x:c r="J48" s="29" t="n">
        <x:v>3</x:v>
      </x:c>
      <x:c r="K48" s="29" t="str">
        <x:v>Approvals, due diligence and definitive arrangements remain; the schedule shows why the thesis horizon is years.</x:v>
      </x:c>
    </x:row>
    <x:row r="49">
      <x:c r="A49" s="27" t="str">
        <x:v>EV-2026-044</x:v>
      </x:c>
      <x:c r="B49" s="27" t="str">
        <x:v>EEI-2026-008</x:v>
      </x:c>
      <x:c r="C49" s="28" t="n">
        <x:v>46279.38055555556</x:v>
      </x:c>
      <x:c r="D49" s="27" t="str">
        <x:v>Contradictory</x:v>
      </x:c>
      <x:c r="E49" s="27" t="str">
        <x:v>Elmet Group SEC Form 10-Q</x:v>
      </x:c>
      <x:c r="F49" s="27" t="str">
        <x:v>Primary company filing</x:v>
      </x:c>
      <x:c r="G49" s="29" t="str">
        <x:v>https://www.sec.gov/Archives/edgar/data/2101698/000162828026056460/elmt-20260703.htm</x:v>
      </x:c>
      <x:c r="H49" s="29" t="str">
        <x:v>Elmet reported a Q2 net loss of about $4.5 million; it is newly public and faces inventory, capacity, financing and execution demands.</x:v>
      </x:c>
      <x:c r="I49" s="29" t="str">
        <x:v>Weakens per-share certainty</x:v>
      </x:c>
      <x:c r="J49" s="29" t="n">
        <x:v>5</x:v>
      </x:c>
      <x:c r="K49" s="29" t="str">
        <x:v>The reported award is extremely material relative to the company, but preferred equity and warrants can dilute benefits.</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x:c r="B52" s="27"/>
      <x:c r="C52" s="28"/>
      <x:c r="D52" s="27"/>
      <x:c r="E52" s="27"/>
      <x:c r="F52" s="27"/>
      <x:c r="G52" s="29"/>
      <x:c r="H52" s="29"/>
      <x:c r="I52" s="29"/>
      <x:c r="J52" s="29"/>
      <x:c r="K52" s="29"/>
    </x:row>
    <x:row r="53">
      <x:c r="A53" s="27"/>
      <x:c r="B53" s="27"/>
      <x:c r="C53" s="28"/>
      <x:c r="D53" s="27"/>
      <x:c r="E53" s="27"/>
      <x:c r="F53" s="27"/>
      <x:c r="G53" s="29"/>
      <x:c r="H53" s="29"/>
      <x:c r="I53" s="29"/>
      <x:c r="J53" s="29"/>
      <x:c r="K53" s="29"/>
    </x:row>
    <x:row r="54">
      <x:c r="A54" s="27"/>
      <x:c r="B54" s="27"/>
      <x:c r="C54" s="28"/>
      <x:c r="D54" s="27"/>
      <x:c r="E54" s="27"/>
      <x:c r="F54" s="27"/>
      <x:c r="G54" s="29"/>
      <x:c r="H54" s="29"/>
      <x:c r="I54" s="29"/>
      <x:c r="J54" s="29"/>
      <x:c r="K54" s="29"/>
    </x:row>
    <x:row r="55">
      <x:c r="A55" s="27"/>
      <x:c r="B55" s="27"/>
      <x:c r="C55" s="28"/>
      <x:c r="D55" s="27"/>
      <x:c r="E55" s="27"/>
      <x:c r="F55" s="27"/>
      <x:c r="G55" s="29"/>
      <x:c r="H55" s="29"/>
      <x:c r="I55" s="29"/>
      <x:c r="J55" s="29"/>
      <x:c r="K55" s="29"/>
    </x:row>
    <x:row r="56">
      <x:c r="A56" s="27"/>
      <x:c r="B56" s="27"/>
      <x:c r="C56" s="28"/>
      <x:c r="D56" s="27"/>
      <x:c r="E56" s="27"/>
      <x:c r="F56" s="27"/>
      <x:c r="G56" s="29"/>
      <x:c r="H56" s="29"/>
      <x:c r="I56" s="29"/>
      <x:c r="J56" s="29"/>
      <x:c r="K56" s="29"/>
    </x:row>
    <x:row r="57">
      <x:c r="A57" s="27"/>
      <x:c r="B57" s="27"/>
      <x:c r="C57" s="28"/>
      <x:c r="D57" s="27"/>
      <x:c r="E57" s="27"/>
      <x:c r="F57" s="27"/>
      <x:c r="G57" s="29"/>
      <x:c r="H57" s="29"/>
      <x:c r="I57" s="29"/>
      <x:c r="J57" s="29"/>
      <x:c r="K57" s="29"/>
    </x:row>
    <x:row r="58">
      <x:c r="A58" s="27"/>
      <x:c r="B58" s="27"/>
      <x:c r="C58" s="28"/>
      <x:c r="D58" s="27"/>
      <x:c r="E58" s="27"/>
      <x:c r="F58" s="27"/>
      <x:c r="G58" s="29"/>
      <x:c r="H58" s="29"/>
      <x:c r="I58" s="29"/>
      <x:c r="J58" s="29"/>
      <x:c r="K58" s="29"/>
    </x:row>
    <x:row r="59">
      <x:c r="A59" s="27"/>
      <x:c r="B59" s="27"/>
      <x:c r="C59" s="28"/>
      <x:c r="D59" s="27"/>
      <x:c r="E59" s="27"/>
      <x:c r="F59" s="27"/>
      <x:c r="G59" s="29"/>
      <x:c r="H59" s="29"/>
      <x:c r="I59" s="29"/>
      <x:c r="J59" s="29"/>
      <x:c r="K59" s="29"/>
    </x:row>
    <x:row r="60">
      <x:c r="A60" s="27"/>
      <x:c r="B60" s="27"/>
      <x:c r="C60" s="28"/>
      <x:c r="D60" s="27"/>
      <x:c r="E60" s="27"/>
      <x:c r="F60" s="27"/>
      <x:c r="G60" s="29"/>
      <x:c r="H60" s="29"/>
      <x:c r="I60" s="29"/>
      <x:c r="J60" s="29"/>
      <x:c r="K60" s="29"/>
    </x:row>
    <x:row r="61">
      <x:c r="A61" s="27"/>
      <x:c r="B61" s="27"/>
      <x:c r="C61" s="28"/>
      <x:c r="D61" s="27"/>
      <x:c r="E61" s="27"/>
      <x:c r="F61" s="27"/>
      <x:c r="G61" s="29"/>
      <x:c r="H61" s="29"/>
      <x:c r="I61" s="29"/>
      <x:c r="J61" s="29"/>
      <x:c r="K61" s="29"/>
    </x:row>
    <x:row r="62">
      <x:c r="A62" s="27"/>
      <x:c r="B62" s="27"/>
      <x:c r="C62" s="28"/>
      <x:c r="D62" s="27"/>
      <x:c r="E62" s="27"/>
      <x:c r="F62" s="27"/>
      <x:c r="G62" s="29"/>
      <x:c r="H62" s="29"/>
      <x:c r="I62" s="29"/>
      <x:c r="J62" s="29"/>
      <x:c r="K62" s="29"/>
    </x:row>
    <x:row r="63">
      <x:c r="A63" s="27"/>
      <x:c r="B63" s="27"/>
      <x:c r="C63" s="28"/>
      <x:c r="D63" s="27"/>
      <x:c r="E63" s="27"/>
      <x:c r="F63" s="27"/>
      <x:c r="G63" s="29"/>
      <x:c r="H63" s="29"/>
      <x:c r="I63" s="29"/>
      <x:c r="J63" s="29"/>
      <x:c r="K63" s="29"/>
    </x:row>
    <x:row r="64">
      <x:c r="A64" s="27"/>
      <x:c r="B64" s="27"/>
      <x:c r="C64" s="28"/>
      <x:c r="D64" s="27"/>
      <x:c r="E64" s="27"/>
      <x:c r="F64" s="27"/>
      <x:c r="G64" s="29"/>
      <x:c r="H64" s="29"/>
      <x:c r="I64" s="29"/>
      <x:c r="J64" s="29"/>
      <x:c r="K64" s="29"/>
    </x:row>
    <x:row r="65">
      <x:c r="A65" s="27"/>
      <x:c r="B65" s="27"/>
      <x:c r="C65" s="28"/>
      <x:c r="D65" s="27"/>
      <x:c r="E65" s="27"/>
      <x:c r="F65" s="27"/>
      <x:c r="G65" s="29"/>
      <x:c r="H65" s="29"/>
      <x:c r="I65" s="29"/>
      <x:c r="J65" s="29"/>
      <x:c r="K65" s="29"/>
    </x:row>
    <x:row r="66">
      <x:c r="A66" s="27"/>
      <x:c r="B66" s="27"/>
      <x:c r="C66" s="28"/>
      <x:c r="D66" s="27"/>
      <x:c r="E66" s="27"/>
      <x:c r="F66" s="27"/>
      <x:c r="G66" s="29"/>
      <x:c r="H66" s="29"/>
      <x:c r="I66" s="29"/>
      <x:c r="J66" s="29"/>
      <x:c r="K66" s="29"/>
    </x:row>
    <x:row r="67">
      <x:c r="A67" s="27"/>
      <x:c r="B67" s="27"/>
      <x:c r="C67" s="28"/>
      <x:c r="D67" s="27"/>
      <x:c r="E67" s="27"/>
      <x:c r="F67" s="27"/>
      <x:c r="G67" s="29"/>
      <x:c r="H67" s="29"/>
      <x:c r="I67" s="29"/>
      <x:c r="J67" s="29"/>
      <x:c r="K67" s="29"/>
    </x:row>
    <x:row r="68">
      <x:c r="A68" s="27"/>
      <x:c r="B68" s="27"/>
      <x:c r="C68" s="28"/>
      <x:c r="D68" s="27"/>
      <x:c r="E68" s="27"/>
      <x:c r="F68" s="27"/>
      <x:c r="G68" s="29"/>
      <x:c r="H68" s="29"/>
      <x:c r="I68" s="29"/>
      <x:c r="J68" s="29"/>
      <x:c r="K68" s="29"/>
    </x:row>
    <x:row r="69">
      <x:c r="A69" s="27"/>
      <x:c r="B69" s="27"/>
      <x:c r="C69" s="28"/>
      <x:c r="D69" s="27"/>
      <x:c r="E69" s="27"/>
      <x:c r="F69" s="27"/>
      <x:c r="G69" s="29"/>
      <x:c r="H69" s="29"/>
      <x:c r="I69" s="29"/>
      <x:c r="J69" s="29"/>
      <x:c r="K69" s="29"/>
    </x:row>
    <x:row r="70">
      <x:c r="A70" s="27"/>
      <x:c r="B70" s="27"/>
      <x:c r="C70" s="28"/>
      <x:c r="D70" s="27"/>
      <x:c r="E70" s="27"/>
      <x:c r="F70" s="27"/>
      <x:c r="G70" s="29"/>
      <x:c r="H70" s="29"/>
      <x:c r="I70" s="29"/>
      <x:c r="J70" s="29"/>
      <x:c r="K70" s="29"/>
    </x:row>
    <x:row r="71">
      <x:c r="A71" s="27"/>
      <x:c r="B71" s="27"/>
      <x:c r="C71" s="28"/>
      <x:c r="D71" s="27"/>
      <x:c r="E71" s="27"/>
      <x:c r="F71" s="27"/>
      <x:c r="G71" s="29"/>
      <x:c r="H71" s="29"/>
      <x:c r="I71" s="29"/>
      <x:c r="J71" s="29"/>
      <x:c r="K71" s="29"/>
    </x:row>
    <x:row r="72">
      <x:c r="A72" s="27"/>
      <x:c r="B72" s="27"/>
      <x:c r="C72" s="28"/>
      <x:c r="D72" s="27"/>
      <x:c r="E72" s="27"/>
      <x:c r="F72" s="27"/>
      <x:c r="G72" s="29"/>
      <x:c r="H72" s="29"/>
      <x:c r="I72" s="29"/>
      <x:c r="J72" s="29"/>
      <x:c r="K72" s="29"/>
    </x:row>
    <x:row r="73">
      <x:c r="A73" s="27"/>
      <x:c r="B73" s="27"/>
      <x:c r="C73" s="28"/>
      <x:c r="D73" s="27"/>
      <x:c r="E73" s="27"/>
      <x:c r="F73" s="27"/>
      <x:c r="G73" s="29"/>
      <x:c r="H73" s="29"/>
      <x:c r="I73" s="29"/>
      <x:c r="J73" s="29"/>
      <x:c r="K73" s="29"/>
    </x:row>
    <x:row r="74">
      <x:c r="A74" s="27"/>
      <x:c r="B74" s="27"/>
      <x:c r="C74" s="28"/>
      <x:c r="D74" s="27"/>
      <x:c r="E74" s="27"/>
      <x:c r="F74" s="27"/>
      <x:c r="G74" s="29"/>
      <x:c r="H74" s="29"/>
      <x:c r="I74" s="29"/>
      <x:c r="J74" s="29"/>
      <x:c r="K74" s="29"/>
    </x:row>
    <x:row r="75">
      <x:c r="A75" s="27"/>
      <x:c r="B75" s="27"/>
      <x:c r="C75" s="28"/>
      <x:c r="D75" s="27"/>
      <x:c r="E75" s="27"/>
      <x:c r="F75" s="27"/>
      <x:c r="G75" s="29"/>
      <x:c r="H75" s="29"/>
      <x:c r="I75" s="29"/>
      <x:c r="J75" s="29"/>
      <x:c r="K75" s="29"/>
    </x:row>
    <x:row r="76">
      <x:c r="A76" s="27"/>
      <x:c r="B76" s="27"/>
      <x:c r="C76" s="28"/>
      <x:c r="D76" s="27"/>
      <x:c r="E76" s="27"/>
      <x:c r="F76" s="27"/>
      <x:c r="G76" s="29"/>
      <x:c r="H76" s="29"/>
      <x:c r="I76" s="29"/>
      <x:c r="J76" s="29"/>
      <x:c r="K76" s="29"/>
    </x:row>
    <x:row r="77">
      <x:c r="A77" s="27"/>
      <x:c r="B77" s="27"/>
      <x:c r="C77" s="28"/>
      <x:c r="D77" s="27"/>
      <x:c r="E77" s="27"/>
      <x:c r="F77" s="27"/>
      <x:c r="G77" s="29"/>
      <x:c r="H77" s="29"/>
      <x:c r="I77" s="29"/>
      <x:c r="J77" s="29"/>
      <x:c r="K77" s="29"/>
    </x:row>
    <x:row r="78">
      <x:c r="A78" s="27"/>
      <x:c r="B78" s="27"/>
      <x:c r="C78" s="28"/>
      <x:c r="D78" s="27"/>
      <x:c r="E78" s="27"/>
      <x:c r="F78" s="27"/>
      <x:c r="G78" s="29"/>
      <x:c r="H78" s="29"/>
      <x:c r="I78" s="29"/>
      <x:c r="J78" s="29"/>
      <x:c r="K78" s="29"/>
    </x:row>
    <x:row r="79">
      <x:c r="A79" s="27"/>
      <x:c r="B79" s="27"/>
      <x:c r="C79" s="28"/>
      <x:c r="D79" s="27"/>
      <x:c r="E79" s="27"/>
      <x:c r="F79" s="27"/>
      <x:c r="G79" s="29"/>
      <x:c r="H79" s="29"/>
      <x:c r="I79" s="29"/>
      <x:c r="J79" s="29"/>
      <x:c r="K79" s="29"/>
    </x:row>
    <x:row r="80">
      <x:c r="A80" s="27"/>
      <x:c r="B80" s="27"/>
      <x:c r="C80" s="28"/>
      <x:c r="D80" s="27"/>
      <x:c r="E80" s="27"/>
      <x:c r="F80" s="27"/>
      <x:c r="G80" s="29"/>
      <x:c r="H80" s="29"/>
      <x:c r="I80" s="29"/>
      <x:c r="J80" s="29"/>
      <x:c r="K80" s="29"/>
    </x:row>
    <x:row r="81">
      <x:c r="A81" s="27"/>
      <x:c r="B81" s="27"/>
      <x:c r="C81" s="28"/>
      <x:c r="D81" s="27"/>
      <x:c r="E81" s="27"/>
      <x:c r="F81" s="27"/>
      <x:c r="G81" s="29"/>
      <x:c r="H81" s="29"/>
      <x:c r="I81" s="29"/>
      <x:c r="J81" s="29"/>
      <x:c r="K81" s="29"/>
    </x:row>
    <x:row r="82">
      <x:c r="A82" s="27"/>
      <x:c r="B82" s="27"/>
      <x:c r="C82" s="28"/>
      <x:c r="D82" s="27"/>
      <x:c r="E82" s="27"/>
      <x:c r="F82" s="27"/>
      <x:c r="G82" s="29"/>
      <x:c r="H82" s="29"/>
      <x:c r="I82" s="29"/>
      <x:c r="J82" s="29"/>
      <x:c r="K82" s="29"/>
    </x:row>
    <x:row r="83">
      <x:c r="A83" s="27"/>
      <x:c r="B83" s="27"/>
      <x:c r="C83" s="28"/>
      <x:c r="D83" s="27"/>
      <x:c r="E83" s="27"/>
      <x:c r="F83" s="27"/>
      <x:c r="G83" s="29"/>
      <x:c r="H83" s="29"/>
      <x:c r="I83" s="29"/>
      <x:c r="J83" s="29"/>
      <x:c r="K83" s="29"/>
    </x:row>
    <x:row r="84">
      <x:c r="A84" s="27"/>
      <x:c r="B84" s="27"/>
      <x:c r="C84" s="28"/>
      <x:c r="D84" s="27"/>
      <x:c r="E84" s="27"/>
      <x:c r="F84" s="27"/>
      <x:c r="G84" s="29"/>
      <x:c r="H84" s="29"/>
      <x:c r="I84" s="29"/>
      <x:c r="J84" s="29"/>
      <x:c r="K84" s="29"/>
    </x:row>
    <x:row r="85">
      <x:c r="A85" s="27"/>
      <x:c r="B85" s="27"/>
      <x:c r="C85" s="28"/>
      <x:c r="D85" s="27"/>
      <x:c r="E85" s="27"/>
      <x:c r="F85" s="27"/>
      <x:c r="G85" s="29"/>
      <x:c r="H85" s="29"/>
      <x:c r="I85" s="29"/>
      <x:c r="J85" s="29"/>
      <x:c r="K85" s="29"/>
    </x:row>
    <x:row r="86">
      <x:c r="A86" s="27"/>
      <x:c r="B86" s="27"/>
      <x:c r="C86" s="28"/>
      <x:c r="D86" s="27"/>
      <x:c r="E86" s="27"/>
      <x:c r="F86" s="27"/>
      <x:c r="G86" s="29"/>
      <x:c r="H86" s="29"/>
      <x:c r="I86" s="29"/>
      <x:c r="J86" s="29"/>
      <x:c r="K86" s="29"/>
    </x:row>
    <x:row r="87">
      <x:c r="A87" s="27"/>
      <x:c r="B87" s="27"/>
      <x:c r="C87" s="28"/>
      <x:c r="D87" s="27"/>
      <x:c r="E87" s="27"/>
      <x:c r="F87" s="27"/>
      <x:c r="G87" s="29"/>
      <x:c r="H87" s="29"/>
      <x:c r="I87" s="29"/>
      <x:c r="J87" s="29"/>
      <x:c r="K87" s="29"/>
    </x:row>
    <x:row r="88">
      <x:c r="A88" s="27"/>
      <x:c r="B88" s="27"/>
      <x:c r="C88" s="28"/>
      <x:c r="D88" s="27"/>
      <x:c r="E88" s="27"/>
      <x:c r="F88" s="27"/>
      <x:c r="G88" s="29"/>
      <x:c r="H88" s="29"/>
      <x:c r="I88" s="29"/>
      <x:c r="J88" s="29"/>
      <x:c r="K88" s="29"/>
    </x:row>
    <x:row r="89">
      <x:c r="A89" s="27"/>
      <x:c r="B89" s="27"/>
      <x:c r="C89" s="28"/>
      <x:c r="D89" s="27"/>
      <x:c r="E89" s="27"/>
      <x:c r="F89" s="27"/>
      <x:c r="G89" s="29"/>
      <x:c r="H89" s="29"/>
      <x:c r="I89" s="29"/>
      <x:c r="J89" s="29"/>
      <x:c r="K89" s="29"/>
    </x:row>
    <x:row r="90">
      <x:c r="A90" s="27"/>
      <x:c r="B90" s="27"/>
      <x:c r="C90" s="28"/>
      <x:c r="D90" s="27"/>
      <x:c r="E90" s="27"/>
      <x:c r="F90" s="27"/>
      <x:c r="G90" s="29"/>
      <x:c r="H90" s="29"/>
      <x:c r="I90" s="29"/>
      <x:c r="J90" s="29"/>
      <x:c r="K90" s="29"/>
    </x:row>
    <x:row r="91">
      <x:c r="A91" s="27"/>
      <x:c r="B91" s="27"/>
      <x:c r="C91" s="28"/>
      <x:c r="D91" s="27"/>
      <x:c r="E91" s="27"/>
      <x:c r="F91" s="27"/>
      <x:c r="G91" s="29"/>
      <x:c r="H91" s="29"/>
      <x:c r="I91" s="29"/>
      <x:c r="J91" s="29"/>
      <x:c r="K91" s="29"/>
    </x:row>
    <x:row r="92">
      <x:c r="A92" s="27"/>
      <x:c r="B92" s="27"/>
      <x:c r="C92" s="28"/>
      <x:c r="D92" s="27"/>
      <x:c r="E92" s="27"/>
      <x:c r="F92" s="27"/>
      <x:c r="G92" s="29"/>
      <x:c r="H92" s="29"/>
      <x:c r="I92" s="29"/>
      <x:c r="J92" s="29"/>
      <x:c r="K92" s="29"/>
    </x:row>
    <x:row r="93">
      <x:c r="A93" s="27"/>
      <x:c r="B93" s="27"/>
      <x:c r="C93" s="28"/>
      <x:c r="D93" s="27"/>
      <x:c r="E93" s="27"/>
      <x:c r="F93" s="27"/>
      <x:c r="G93" s="29"/>
      <x:c r="H93" s="29"/>
      <x:c r="I93" s="29"/>
      <x:c r="J93" s="29"/>
      <x:c r="K93" s="29"/>
    </x:row>
    <x:row r="94">
      <x:c r="A94" s="27"/>
      <x:c r="B94" s="27"/>
      <x:c r="C94" s="28"/>
      <x:c r="D94" s="27"/>
      <x:c r="E94" s="27"/>
      <x:c r="F94" s="27"/>
      <x:c r="G94" s="29"/>
      <x:c r="H94" s="29"/>
      <x:c r="I94" s="29"/>
      <x:c r="J94" s="29"/>
      <x:c r="K94" s="29"/>
    </x:row>
    <x:row r="95">
      <x:c r="A95" s="27"/>
      <x:c r="B95" s="27"/>
      <x:c r="C95" s="28"/>
      <x:c r="D95" s="27"/>
      <x:c r="E95" s="27"/>
      <x:c r="F95" s="27"/>
      <x:c r="G95" s="29"/>
      <x:c r="H95" s="29"/>
      <x:c r="I95" s="29"/>
      <x:c r="J95" s="29"/>
      <x:c r="K95" s="29"/>
    </x:row>
    <x:row r="96">
      <x:c r="A96" s="27"/>
      <x:c r="B96" s="27"/>
      <x:c r="C96" s="28"/>
      <x:c r="D96" s="27"/>
      <x:c r="E96" s="27"/>
      <x:c r="F96" s="27"/>
      <x:c r="G96" s="29"/>
      <x:c r="H96" s="29"/>
      <x:c r="I96" s="29"/>
      <x:c r="J96" s="29"/>
      <x:c r="K96" s="29"/>
    </x:row>
    <x:row r="97">
      <x:c r="A97" s="27"/>
      <x:c r="B97" s="27"/>
      <x:c r="C97" s="28"/>
      <x:c r="D97" s="27"/>
      <x:c r="E97" s="27"/>
      <x:c r="F97" s="27"/>
      <x:c r="G97" s="29"/>
      <x:c r="H97" s="29"/>
      <x:c r="I97" s="29"/>
      <x:c r="J97" s="29"/>
      <x:c r="K97" s="29"/>
    </x:row>
    <x:row r="98">
      <x:c r="A98" s="27"/>
      <x:c r="B98" s="27"/>
      <x:c r="C98" s="28"/>
      <x:c r="D98" s="27"/>
      <x:c r="E98" s="27"/>
      <x:c r="F98" s="27"/>
      <x:c r="G98" s="29"/>
      <x:c r="H98" s="29"/>
      <x:c r="I98" s="29"/>
      <x:c r="J98" s="29"/>
      <x:c r="K98" s="29"/>
    </x:row>
    <x:row r="99">
      <x:c r="A99" s="27"/>
      <x:c r="B99" s="27"/>
      <x:c r="C99" s="28"/>
      <x:c r="D99" s="27"/>
      <x:c r="E99" s="27"/>
      <x:c r="F99" s="27"/>
      <x:c r="G99" s="29"/>
      <x:c r="H99" s="29"/>
      <x:c r="I99" s="29"/>
      <x:c r="J99" s="29"/>
      <x:c r="K99" s="29"/>
    </x:row>
    <x:row r="100">
      <x:c r="A100" s="27"/>
      <x:c r="B100" s="27"/>
      <x:c r="C100" s="28"/>
      <x:c r="D100" s="27"/>
      <x:c r="E100" s="27"/>
      <x:c r="F100" s="27"/>
      <x:c r="G100" s="29"/>
      <x:c r="H100" s="29"/>
      <x:c r="I100" s="29"/>
      <x:c r="J100" s="29"/>
      <x:c r="K100" s="29"/>
    </x:row>
    <x:row r="101">
      <x:c r="A101"/>
      <x:c r="B101"/>
      <x:c r="C101" s="21"/>
      <x:c r="D101"/>
      <x:c r="E101"/>
      <x:c r="F101"/>
      <x:c r="G101" s="44"/>
      <x:c r="H101" s="44"/>
      <x:c r="I101" s="44"/>
      <x:c r="J101" s="44"/>
      <x:c r="K101" s="44"/>
    </x:row>
    <x:row r="102">
      <x:c r="A102"/>
      <x:c r="B102"/>
      <x:c r="C102" s="21"/>
      <x:c r="D102"/>
      <x:c r="E102"/>
      <x:c r="F102"/>
      <x:c r="G102" s="44"/>
      <x:c r="H102" s="44"/>
      <x:c r="I102" s="44"/>
      <x:c r="J102" s="44"/>
      <x:c r="K102" s="44"/>
    </x:row>
    <x:row r="103">
      <x:c r="A103"/>
      <x:c r="B103"/>
      <x:c r="C103" s="21"/>
      <x:c r="D103"/>
      <x:c r="E103"/>
      <x:c r="F103"/>
      <x:c r="G103" s="44"/>
      <x:c r="H103" s="44"/>
      <x:c r="I103" s="44"/>
      <x:c r="J103" s="44"/>
      <x:c r="K103" s="44"/>
    </x:row>
    <x:row r="104">
      <x:c r="A104"/>
      <x:c r="B104"/>
      <x:c r="C104" s="21"/>
      <x:c r="D104"/>
      <x:c r="E104"/>
      <x:c r="F104"/>
      <x:c r="G104" s="44"/>
      <x:c r="H104" s="44"/>
      <x:c r="I104" s="44"/>
      <x:c r="J104" s="44"/>
      <x:c r="K104" s="44"/>
    </x:row>
    <x:row r="105">
      <x:c r="C105" s="21"/>
      <x:c r="G105" s="44"/>
      <x:c r="H105" s="44"/>
      <x:c r="I105" s="44"/>
      <x:c r="J105" s="44"/>
      <x:c r="K105" s="44"/>
    </x:row>
    <x:row r="106">
      <x:c r="C106" s="21"/>
      <x:c r="G106" s="44"/>
      <x:c r="H106" s="44"/>
      <x:c r="I106" s="44"/>
      <x:c r="J106" s="44"/>
      <x:c r="K106" s="44"/>
    </x:row>
    <x:row r="107">
      <x:c r="C107" s="21"/>
      <x:c r="G107" s="44"/>
      <x:c r="H107" s="44"/>
      <x:c r="I107" s="44"/>
      <x:c r="J107" s="44"/>
      <x:c r="K107" s="44"/>
    </x:row>
    <x:row r="108">
      <x:c r="C108" s="21"/>
      <x:c r="G108" s="44"/>
      <x:c r="H108" s="44"/>
      <x:c r="I108" s="44"/>
      <x:c r="J108" s="44"/>
      <x:c r="K108" s="44"/>
    </x:row>
    <x:row r="109">
      <x:c r="C109" s="21"/>
      <x:c r="G109" s="44"/>
      <x:c r="H109" s="44"/>
      <x:c r="I109" s="44"/>
      <x:c r="J109" s="44"/>
      <x:c r="K109" s="44"/>
    </x:row>
    <x:row r="110">
      <x:c r="C110" s="21"/>
      <x:c r="G110" s="44"/>
      <x:c r="H110" s="44"/>
      <x:c r="I110" s="44"/>
      <x:c r="J110" s="44"/>
      <x:c r="K110" s="44"/>
    </x:row>
    <x:row r="111">
      <x:c r="C111" s="21"/>
      <x:c r="G111" s="44"/>
      <x:c r="H111" s="44"/>
      <x:c r="I111" s="44"/>
      <x:c r="J111" s="44"/>
      <x:c r="K111" s="44"/>
    </x:row>
    <x:row r="112">
      <x:c r="C112" s="21"/>
      <x:c r="G112" s="44"/>
      <x:c r="H112" s="44"/>
      <x:c r="I112" s="44"/>
      <x:c r="J112" s="44"/>
      <x:c r="K112" s="44"/>
    </x:row>
    <x:row r="113">
      <x:c r="C113" s="21"/>
      <x:c r="G113" s="44"/>
      <x:c r="H113" s="44"/>
      <x:c r="I113" s="44"/>
      <x:c r="J113" s="44"/>
      <x:c r="K113" s="44"/>
    </x:row>
    <x:row r="114">
      <x:c r="C114" s="21"/>
      <x:c r="G114" s="44"/>
      <x:c r="H114" s="44"/>
      <x:c r="I114" s="44"/>
      <x:c r="J114" s="44"/>
      <x:c r="K114" s="44"/>
    </x:row>
    <x:row r="115">
      <x:c r="C115" s="21"/>
      <x:c r="G115" s="44"/>
      <x:c r="H115" s="44"/>
      <x:c r="I115" s="44"/>
      <x:c r="J115" s="44"/>
      <x:c r="K115" s="44"/>
    </x:row>
    <x:row r="116">
      <x:c r="C116" s="21"/>
      <x:c r="G116" s="44"/>
      <x:c r="H116" s="44"/>
      <x:c r="I116" s="44"/>
      <x:c r="J116" s="44"/>
      <x:c r="K116" s="44"/>
    </x:row>
    <x:row r="117">
      <x:c r="C117" s="21"/>
      <x:c r="G117" s="44"/>
      <x:c r="H117" s="44"/>
      <x:c r="I117" s="44"/>
      <x:c r="J117" s="44"/>
      <x:c r="K117" s="44"/>
    </x:row>
    <x:row r="118">
      <x:c r="C118" s="21"/>
      <x:c r="G118" s="44"/>
      <x:c r="H118" s="44"/>
      <x:c r="I118" s="44"/>
      <x:c r="J118" s="44"/>
      <x:c r="K118" s="44"/>
    </x:row>
    <x:row r="119">
      <x:c r="C119" s="21"/>
      <x:c r="G119" s="44"/>
      <x:c r="H119" s="44"/>
      <x:c r="I119" s="44"/>
      <x:c r="J119" s="44"/>
      <x:c r="K119" s="44"/>
    </x:row>
    <x:row r="120">
      <x:c r="C120" s="21"/>
      <x:c r="G120" s="44"/>
      <x:c r="H120" s="44"/>
      <x:c r="I120" s="44"/>
      <x:c r="J120" s="44"/>
      <x:c r="K120" s="44"/>
    </x:row>
    <x:row r="121">
      <x:c r="C121" s="21"/>
      <x:c r="G121" s="44"/>
      <x:c r="H121" s="44"/>
      <x:c r="I121" s="44"/>
      <x:c r="J121" s="44"/>
      <x:c r="K121" s="44"/>
    </x:row>
    <x:row r="122">
      <x:c r="C122" s="21"/>
      <x:c r="G122" s="44"/>
      <x:c r="H122" s="44"/>
      <x:c r="I122" s="44"/>
      <x:c r="J122" s="44"/>
      <x:c r="K122" s="44"/>
    </x:row>
    <x:row r="123">
      <x:c r="C123" s="21"/>
      <x:c r="G123" s="44"/>
      <x:c r="H123" s="44"/>
      <x:c r="I123" s="44"/>
      <x:c r="J123" s="44"/>
      <x:c r="K123" s="44"/>
    </x:row>
    <x:row r="124">
      <x:c r="C124" s="21"/>
      <x:c r="G124" s="44"/>
      <x:c r="H124" s="44"/>
      <x:c r="I124" s="44"/>
      <x:c r="J124" s="44"/>
      <x:c r="K124" s="44"/>
    </x:row>
    <x:row r="125">
      <x:c r="C125" s="21"/>
      <x:c r="G125" s="44"/>
      <x:c r="H125" s="44"/>
      <x:c r="I125" s="44"/>
      <x:c r="J125" s="44"/>
      <x:c r="K125" s="44"/>
    </x:row>
    <x:row r="126">
      <x:c r="C126" s="21"/>
      <x:c r="G126" s="44"/>
      <x:c r="H126" s="44"/>
      <x:c r="I126" s="44"/>
      <x:c r="J126" s="44"/>
      <x:c r="K126" s="44"/>
    </x:row>
    <x:row r="127">
      <x:c r="C127" s="21"/>
      <x:c r="G127" s="44"/>
      <x:c r="H127" s="44"/>
      <x:c r="I127" s="44"/>
      <x:c r="J127" s="44"/>
      <x:c r="K127" s="44"/>
    </x:row>
    <x:row r="128">
      <x:c r="C128" s="21"/>
      <x:c r="G128" s="44"/>
      <x:c r="H128" s="44"/>
      <x:c r="I128" s="44"/>
      <x:c r="J128" s="44"/>
      <x:c r="K128" s="44"/>
    </x:row>
    <x:row r="129">
      <x:c r="C129" s="21"/>
      <x:c r="G129" s="44"/>
      <x:c r="H129" s="44"/>
      <x:c r="I129" s="44"/>
      <x:c r="J129" s="44"/>
      <x:c r="K129" s="44"/>
    </x:row>
    <x:row r="130">
      <x:c r="C130" s="21"/>
      <x:c r="G130" s="44"/>
      <x:c r="H130" s="44"/>
      <x:c r="I130" s="44"/>
      <x:c r="J130" s="44"/>
      <x:c r="K130" s="44"/>
    </x:row>
    <x:row r="131">
      <x:c r="C131" s="21"/>
      <x:c r="G131" s="44"/>
      <x:c r="H131" s="44"/>
      <x:c r="I131" s="44"/>
      <x:c r="J131" s="44"/>
      <x:c r="K131" s="44"/>
    </x:row>
    <x:row r="132">
      <x:c r="C132" s="21"/>
      <x:c r="G132" s="44"/>
      <x:c r="H132" s="44"/>
      <x:c r="I132" s="44"/>
      <x:c r="J132" s="44"/>
      <x:c r="K132" s="44"/>
    </x:row>
    <x:row r="133">
      <x:c r="C133" s="21"/>
      <x:c r="G133" s="44"/>
      <x:c r="H133" s="44"/>
      <x:c r="I133" s="44"/>
      <x:c r="J133" s="44"/>
      <x:c r="K133" s="44"/>
    </x:row>
    <x:row r="134">
      <x:c r="C134" s="21"/>
      <x:c r="G134" s="44"/>
      <x:c r="H134" s="44"/>
      <x:c r="I134" s="44"/>
      <x:c r="J134" s="44"/>
      <x:c r="K134" s="44"/>
    </x:row>
    <x:row r="135">
      <x:c r="C135" s="21"/>
      <x:c r="G135" s="44"/>
      <x:c r="H135" s="44"/>
      <x:c r="I135" s="44"/>
      <x:c r="J135" s="44"/>
      <x:c r="K135" s="44"/>
    </x:row>
    <x:row r="136">
      <x:c r="C136" s="21"/>
      <x:c r="G136" s="44"/>
      <x:c r="H136" s="44"/>
      <x:c r="I136" s="44"/>
      <x:c r="J136" s="44"/>
      <x:c r="K136" s="44"/>
    </x:row>
    <x:row r="137">
      <x:c r="C137" s="21"/>
      <x:c r="G137" s="44"/>
      <x:c r="H137" s="44"/>
      <x:c r="I137" s="44"/>
      <x:c r="J137" s="44"/>
      <x:c r="K137" s="44"/>
    </x:row>
    <x:row r="138">
      <x:c r="C138" s="21"/>
      <x:c r="G138" s="44"/>
      <x:c r="H138" s="44"/>
      <x:c r="I138" s="44"/>
      <x:c r="J138" s="44"/>
      <x:c r="K138" s="44"/>
    </x:row>
    <x:row r="139">
      <x:c r="C139" s="21"/>
      <x:c r="G139" s="44"/>
      <x:c r="H139" s="44"/>
      <x:c r="I139" s="44"/>
      <x:c r="J139" s="44"/>
      <x:c r="K139" s="44"/>
    </x:row>
    <x:row r="140">
      <x:c r="C140" s="21"/>
      <x:c r="G140" s="44"/>
      <x:c r="H140" s="44"/>
      <x:c r="I140" s="44"/>
      <x:c r="J140" s="44"/>
      <x:c r="K140" s="44"/>
    </x:row>
    <x:row r="141">
      <x:c r="C141" s="21"/>
      <x:c r="G141" s="44"/>
      <x:c r="H141" s="44"/>
      <x:c r="I141" s="44"/>
      <x:c r="J141" s="44"/>
      <x:c r="K141" s="44"/>
    </x:row>
    <x:row r="142">
      <x:c r="C142" s="21"/>
      <x:c r="G142" s="44"/>
      <x:c r="H142" s="44"/>
      <x:c r="I142" s="44"/>
      <x:c r="J142" s="44"/>
      <x:c r="K142" s="44"/>
    </x:row>
    <x:row r="143">
      <x:c r="C143" s="21"/>
      <x:c r="G143" s="44"/>
      <x:c r="H143" s="44"/>
      <x:c r="I143" s="44"/>
      <x:c r="J143" s="44"/>
      <x:c r="K143" s="44"/>
    </x:row>
    <x:row r="144">
      <x:c r="C144" s="21"/>
      <x:c r="G144" s="44"/>
      <x:c r="H144" s="44"/>
      <x:c r="I144" s="44"/>
      <x:c r="J144" s="44"/>
      <x:c r="K144" s="44"/>
    </x:row>
    <x:row r="145">
      <x:c r="C145" s="21"/>
      <x:c r="G145" s="44"/>
      <x:c r="H145" s="44"/>
      <x:c r="I145" s="44"/>
      <x:c r="J145" s="44"/>
      <x:c r="K145" s="44"/>
    </x:row>
    <x:row r="146">
      <x:c r="C146" s="21"/>
      <x:c r="G146" s="44"/>
      <x:c r="H146" s="44"/>
      <x:c r="I146" s="44"/>
      <x:c r="J146" s="44"/>
      <x:c r="K146" s="44"/>
    </x:row>
    <x:row r="147">
      <x:c r="C147" s="21"/>
      <x:c r="G147" s="44"/>
      <x:c r="H147" s="44"/>
      <x:c r="I147" s="44"/>
      <x:c r="J147" s="44"/>
      <x:c r="K147" s="44"/>
    </x:row>
    <x:row r="148">
      <x:c r="C148" s="21"/>
      <x:c r="G148" s="44"/>
      <x:c r="H148" s="44"/>
      <x:c r="I148" s="44"/>
      <x:c r="J148" s="44"/>
      <x:c r="K148" s="44"/>
    </x:row>
    <x:row r="149">
      <x:c r="C149" s="21"/>
      <x:c r="G149" s="44"/>
      <x:c r="H149" s="44"/>
      <x:c r="I149" s="44"/>
      <x:c r="J149" s="44"/>
      <x:c r="K149" s="44"/>
    </x:row>
    <x:row r="150">
      <x:c r="C150" s="21"/>
      <x:c r="G150" s="44"/>
      <x:c r="H150" s="44"/>
      <x:c r="I150" s="44"/>
      <x:c r="J150" s="44"/>
      <x:c r="K150" s="44"/>
    </x:row>
    <x:row r="151">
      <x:c r="C151" s="21"/>
      <x:c r="G151" s="44"/>
      <x:c r="H151" s="44"/>
      <x:c r="I151" s="44"/>
      <x:c r="J151" s="44"/>
      <x:c r="K151" s="44"/>
    </x:row>
    <x:row r="152">
      <x:c r="C152" s="21"/>
      <x:c r="G152" s="44"/>
      <x:c r="H152" s="44"/>
      <x:c r="I152" s="44"/>
      <x:c r="J152" s="44"/>
      <x:c r="K152" s="44"/>
    </x:row>
    <x:row r="153">
      <x:c r="C153" s="21"/>
      <x:c r="G153" s="44"/>
      <x:c r="H153" s="44"/>
      <x:c r="I153" s="44"/>
      <x:c r="J153" s="44"/>
      <x:c r="K153" s="44"/>
    </x:row>
    <x:row r="154">
      <x:c r="C154" s="21"/>
      <x:c r="G154" s="44"/>
      <x:c r="H154" s="44"/>
      <x:c r="I154" s="44"/>
      <x:c r="J154" s="44"/>
      <x:c r="K154" s="44"/>
    </x:row>
    <x:row r="155">
      <x:c r="C155" s="21"/>
      <x:c r="G155" s="44"/>
      <x:c r="H155" s="44"/>
      <x:c r="I155" s="44"/>
      <x:c r="J155" s="44"/>
      <x:c r="K155" s="44"/>
    </x:row>
    <x:row r="156">
      <x:c r="C156" s="21"/>
      <x:c r="G156" s="44"/>
      <x:c r="H156" s="44"/>
      <x:c r="I156" s="44"/>
      <x:c r="J156" s="44"/>
      <x:c r="K156" s="44"/>
    </x:row>
    <x:row r="157">
      <x:c r="C157" s="21"/>
      <x:c r="G157" s="44"/>
      <x:c r="H157" s="44"/>
      <x:c r="I157" s="44"/>
      <x:c r="J157" s="44"/>
      <x:c r="K157" s="44"/>
    </x:row>
    <x:row r="158">
      <x:c r="C158" s="21"/>
      <x:c r="G158" s="44"/>
      <x:c r="H158" s="44"/>
      <x:c r="I158" s="44"/>
      <x:c r="J158" s="44"/>
      <x:c r="K158" s="44"/>
    </x:row>
    <x:row r="159">
      <x:c r="C159" s="21"/>
      <x:c r="G159" s="44"/>
      <x:c r="H159" s="44"/>
      <x:c r="I159" s="44"/>
      <x:c r="J159" s="44"/>
      <x:c r="K159" s="44"/>
    </x:row>
    <x:row r="160">
      <x:c r="C160" s="21"/>
      <x:c r="G160" s="44"/>
      <x:c r="H160" s="44"/>
      <x:c r="I160" s="44"/>
      <x:c r="J160" s="44"/>
      <x:c r="K160" s="44"/>
    </x:row>
    <x:row r="161">
      <x:c r="C161" s="21"/>
      <x:c r="G161" s="44"/>
      <x:c r="H161" s="44"/>
      <x:c r="I161" s="44"/>
      <x:c r="J161" s="44"/>
      <x:c r="K161" s="44"/>
    </x:row>
    <x:row r="162">
      <x:c r="C162" s="21"/>
      <x:c r="G162" s="44"/>
      <x:c r="H162" s="44"/>
      <x:c r="I162" s="44"/>
      <x:c r="J162" s="44"/>
      <x:c r="K162" s="44"/>
    </x:row>
    <x:row r="163">
      <x:c r="C163" s="21"/>
      <x:c r="G163" s="44"/>
      <x:c r="H163" s="44"/>
      <x:c r="I163" s="44"/>
      <x:c r="J163" s="44"/>
      <x:c r="K163" s="44"/>
    </x:row>
    <x:row r="164">
      <x:c r="C164" s="21"/>
      <x:c r="G164" s="44"/>
      <x:c r="H164" s="44"/>
      <x:c r="I164" s="44"/>
      <x:c r="J164" s="44"/>
      <x:c r="K164" s="44"/>
    </x:row>
    <x:row r="165">
      <x:c r="C165" s="21"/>
      <x:c r="G165" s="44"/>
      <x:c r="H165" s="44"/>
      <x:c r="I165" s="44"/>
      <x:c r="J165" s="44"/>
      <x:c r="K165" s="44"/>
    </x:row>
    <x:row r="166">
      <x:c r="C166" s="21"/>
      <x:c r="G166" s="44"/>
      <x:c r="H166" s="44"/>
      <x:c r="I166" s="44"/>
      <x:c r="J166" s="44"/>
      <x:c r="K166" s="44"/>
    </x:row>
    <x:row r="167">
      <x:c r="C167" s="21"/>
      <x:c r="G167" s="44"/>
      <x:c r="H167" s="44"/>
      <x:c r="I167" s="44"/>
      <x:c r="J167" s="44"/>
      <x:c r="K167" s="44"/>
    </x:row>
    <x:row r="168">
      <x:c r="C168" s="21"/>
      <x:c r="G168" s="44"/>
      <x:c r="H168" s="44"/>
      <x:c r="I168" s="44"/>
      <x:c r="J168" s="44"/>
      <x:c r="K168" s="44"/>
    </x:row>
    <x:row r="169">
      <x:c r="C169" s="21"/>
      <x:c r="G169" s="44"/>
      <x:c r="H169" s="44"/>
      <x:c r="I169" s="44"/>
      <x:c r="J169" s="44"/>
      <x:c r="K169" s="44"/>
    </x:row>
    <x:row r="170">
      <x:c r="C170" s="21"/>
      <x:c r="G170" s="44"/>
      <x:c r="H170" s="44"/>
      <x:c r="I170" s="44"/>
      <x:c r="J170" s="44"/>
      <x:c r="K170" s="44"/>
    </x:row>
    <x:row r="171">
      <x:c r="C171" s="21"/>
      <x:c r="G171" s="44"/>
      <x:c r="H171" s="44"/>
      <x:c r="I171" s="44"/>
      <x:c r="J171" s="44"/>
      <x:c r="K171" s="44"/>
    </x:row>
    <x:row r="172">
      <x:c r="C172" s="21"/>
      <x:c r="G172" s="44"/>
      <x:c r="H172" s="44"/>
      <x:c r="I172" s="44"/>
      <x:c r="J172" s="44"/>
      <x:c r="K172" s="44"/>
    </x:row>
    <x:row r="173">
      <x:c r="C173" s="21"/>
      <x:c r="G173" s="44"/>
      <x:c r="H173" s="44"/>
      <x:c r="I173" s="44"/>
      <x:c r="J173" s="44"/>
      <x:c r="K173" s="44"/>
    </x:row>
    <x:row r="174">
      <x:c r="C174" s="21"/>
      <x:c r="G174" s="44"/>
      <x:c r="H174" s="44"/>
      <x:c r="I174" s="44"/>
      <x:c r="J174" s="44"/>
      <x:c r="K174" s="44"/>
    </x:row>
    <x:row r="175">
      <x:c r="C175" s="21"/>
      <x:c r="G175" s="44"/>
      <x:c r="H175" s="44"/>
      <x:c r="I175" s="44"/>
      <x:c r="J175" s="44"/>
      <x:c r="K175" s="44"/>
    </x:row>
    <x:row r="176">
      <x:c r="C176" s="21"/>
      <x:c r="G176" s="44"/>
      <x:c r="H176" s="44"/>
      <x:c r="I176" s="44"/>
      <x:c r="J176" s="44"/>
      <x:c r="K176" s="44"/>
    </x:row>
    <x:row r="177">
      <x:c r="C177" s="21"/>
      <x:c r="G177" s="44"/>
      <x:c r="H177" s="44"/>
      <x:c r="I177" s="44"/>
      <x:c r="J177" s="44"/>
      <x:c r="K177" s="44"/>
    </x:row>
    <x:row r="178">
      <x:c r="C178" s="21"/>
      <x:c r="G178" s="44"/>
      <x:c r="H178" s="44"/>
      <x:c r="I178" s="44"/>
      <x:c r="J178" s="44"/>
      <x:c r="K178" s="44"/>
    </x:row>
    <x:row r="179">
      <x:c r="C179" s="21"/>
      <x:c r="G179" s="44"/>
      <x:c r="H179" s="44"/>
      <x:c r="I179" s="44"/>
      <x:c r="J179" s="44"/>
      <x:c r="K179" s="44"/>
    </x:row>
    <x:row r="180">
      <x:c r="C180" s="21"/>
      <x:c r="G180" s="44"/>
      <x:c r="H180" s="44"/>
      <x:c r="I180" s="44"/>
      <x:c r="J180" s="44"/>
      <x:c r="K180" s="44"/>
    </x:row>
    <x:row r="181">
      <x:c r="C181" s="21"/>
      <x:c r="G181" s="44"/>
      <x:c r="H181" s="44"/>
      <x:c r="I181" s="44"/>
      <x:c r="J181" s="44"/>
      <x:c r="K181" s="44"/>
    </x:row>
    <x:row r="182">
      <x:c r="C182" s="21"/>
      <x:c r="G182" s="44"/>
      <x:c r="H182" s="44"/>
      <x:c r="I182" s="44"/>
      <x:c r="J182" s="44"/>
      <x:c r="K182" s="44"/>
    </x:row>
    <x:row r="183">
      <x:c r="C183" s="21"/>
      <x:c r="G183" s="44"/>
      <x:c r="H183" s="44"/>
      <x:c r="I183" s="44"/>
      <x:c r="J183" s="44"/>
      <x:c r="K183" s="44"/>
    </x:row>
    <x:row r="184">
      <x:c r="C184" s="21"/>
      <x:c r="G184" s="44"/>
      <x:c r="H184" s="44"/>
      <x:c r="I184" s="44"/>
      <x:c r="J184" s="44"/>
      <x:c r="K184" s="44"/>
    </x:row>
    <x:row r="185">
      <x:c r="C185" s="21"/>
      <x:c r="G185" s="44"/>
      <x:c r="H185" s="44"/>
      <x:c r="I185" s="44"/>
      <x:c r="J185" s="44"/>
      <x:c r="K185" s="44"/>
    </x:row>
    <x:row r="186">
      <x:c r="C186" s="21"/>
      <x:c r="G186" s="44"/>
      <x:c r="H186" s="44"/>
      <x:c r="I186" s="44"/>
      <x:c r="J186" s="44"/>
      <x:c r="K186" s="44"/>
    </x:row>
    <x:row r="187">
      <x:c r="C187" s="21"/>
      <x:c r="G187" s="44"/>
      <x:c r="H187" s="44"/>
      <x:c r="I187" s="44"/>
      <x:c r="J187" s="44"/>
      <x:c r="K187" s="44"/>
    </x:row>
    <x:row r="188">
      <x:c r="C188" s="21"/>
      <x:c r="G188" s="44"/>
      <x:c r="H188" s="44"/>
      <x:c r="I188" s="44"/>
      <x:c r="J188" s="44"/>
      <x:c r="K188" s="44"/>
    </x:row>
    <x:row r="189">
      <x:c r="C189" s="21"/>
      <x:c r="G189" s="44"/>
      <x:c r="H189" s="44"/>
      <x:c r="I189" s="44"/>
      <x:c r="J189" s="44"/>
      <x:c r="K189" s="44"/>
    </x:row>
    <x:row r="190">
      <x:c r="C190" s="21"/>
      <x:c r="G190" s="44"/>
      <x:c r="H190" s="44"/>
      <x:c r="I190" s="44"/>
      <x:c r="J190" s="44"/>
      <x:c r="K190" s="44"/>
    </x:row>
    <x:row r="191">
      <x:c r="C191" s="21"/>
      <x:c r="G191" s="44"/>
      <x:c r="H191" s="44"/>
      <x:c r="I191" s="44"/>
      <x:c r="J191" s="44"/>
      <x:c r="K191" s="44"/>
    </x:row>
    <x:row r="192">
      <x:c r="C192" s="21"/>
      <x:c r="G192" s="44"/>
      <x:c r="H192" s="44"/>
      <x:c r="I192" s="44"/>
      <x:c r="J192" s="44"/>
      <x:c r="K192" s="44"/>
    </x:row>
    <x:row r="193">
      <x:c r="C193" s="21"/>
      <x:c r="G193" s="44"/>
      <x:c r="H193" s="44"/>
      <x:c r="I193" s="44"/>
      <x:c r="J193" s="44"/>
      <x:c r="K193" s="44"/>
    </x:row>
    <x:row r="194">
      <x:c r="C194" s="21"/>
      <x:c r="G194" s="44"/>
      <x:c r="H194" s="44"/>
      <x:c r="I194" s="44"/>
      <x:c r="J194" s="44"/>
      <x:c r="K194" s="44"/>
    </x:row>
    <x:row r="195">
      <x:c r="C195" s="21"/>
      <x:c r="G195" s="44"/>
      <x:c r="H195" s="44"/>
      <x:c r="I195" s="44"/>
      <x:c r="J195" s="44"/>
      <x:c r="K195" s="44"/>
    </x:row>
    <x:row r="196">
      <x:c r="C196" s="21"/>
      <x:c r="G196" s="44"/>
      <x:c r="H196" s="44"/>
      <x:c r="I196" s="44"/>
      <x:c r="J196" s="44"/>
      <x:c r="K196" s="44"/>
    </x:row>
    <x:row r="197">
      <x:c r="C197" s="21"/>
      <x:c r="G197" s="44"/>
      <x:c r="H197" s="44"/>
      <x:c r="I197" s="44"/>
      <x:c r="J197" s="44"/>
      <x:c r="K197" s="44"/>
    </x:row>
    <x:row r="198">
      <x:c r="C198" s="21"/>
      <x:c r="G198" s="44"/>
      <x:c r="H198" s="44"/>
      <x:c r="I198" s="44"/>
      <x:c r="J198" s="44"/>
      <x:c r="K198" s="44"/>
    </x:row>
    <x:row r="199">
      <x:c r="C199" s="21"/>
      <x:c r="G199" s="44"/>
      <x:c r="H199" s="44"/>
      <x:c r="I199" s="44"/>
      <x:c r="J199" s="44"/>
      <x:c r="K199" s="44"/>
    </x:row>
    <x:row r="200">
      <x:c r="C200" s="21"/>
      <x:c r="G200" s="44"/>
      <x:c r="H200" s="44"/>
      <x:c r="I200" s="44"/>
      <x:c r="J200" s="44"/>
      <x:c r="K200" s="44"/>
    </x:row>
    <x:row r="201">
      <x:c r="C201" s="21"/>
      <x:c r="G201" s="44"/>
      <x:c r="H201" s="44"/>
      <x:c r="I201" s="44"/>
      <x:c r="J201" s="44"/>
      <x:c r="K201" s="44"/>
    </x:row>
    <x:row r="202">
      <x:c r="C202" s="21"/>
      <x:c r="G202" s="44"/>
      <x:c r="H202" s="44"/>
      <x:c r="I202" s="44"/>
      <x:c r="J202" s="44"/>
      <x:c r="K202" s="44"/>
    </x:row>
    <x:row r="203">
      <x:c r="C203" s="21"/>
      <x:c r="G203" s="44"/>
      <x:c r="H203" s="44"/>
      <x:c r="I203" s="44"/>
      <x:c r="J203" s="44"/>
      <x:c r="K203" s="44"/>
    </x:row>
    <x:row r="204">
      <x:c r="C204" s="21"/>
      <x:c r="G204" s="44"/>
      <x:c r="H204" s="44"/>
      <x:c r="I204" s="44"/>
      <x:c r="J204" s="44"/>
      <x:c r="K204" s="44"/>
    </x:row>
    <x:row r="205">
      <x:c r="C205" s="21"/>
      <x:c r="G205" s="44"/>
      <x:c r="H205" s="44"/>
      <x:c r="I205" s="44"/>
      <x:c r="J205" s="44"/>
      <x:c r="K205" s="44"/>
    </x:row>
    <x:row r="206">
      <x:c r="C206" s="21"/>
      <x:c r="G206" s="44"/>
      <x:c r="H206" s="44"/>
      <x:c r="I206" s="44"/>
      <x:c r="J206" s="44"/>
      <x:c r="K206" s="44"/>
    </x:row>
    <x:row r="207">
      <x:c r="C207" s="21"/>
      <x:c r="G207" s="44"/>
      <x:c r="H207" s="44"/>
      <x:c r="I207" s="44"/>
      <x:c r="J207" s="44"/>
      <x:c r="K207" s="44"/>
    </x:row>
    <x:row r="208">
      <x:c r="C208" s="21"/>
      <x:c r="G208" s="44"/>
      <x:c r="H208" s="44"/>
      <x:c r="I208" s="44"/>
      <x:c r="J208" s="44"/>
      <x:c r="K208" s="44"/>
    </x:row>
    <x:row r="209">
      <x:c r="C209" s="21"/>
      <x:c r="G209" s="44"/>
      <x:c r="H209" s="44"/>
      <x:c r="I209" s="44"/>
      <x:c r="J209" s="44"/>
      <x:c r="K209" s="44"/>
    </x:row>
    <x:row r="210">
      <x:c r="C210" s="21"/>
      <x:c r="G210" s="44"/>
      <x:c r="H210" s="44"/>
      <x:c r="I210" s="44"/>
      <x:c r="J210" s="44"/>
      <x:c r="K210" s="44"/>
    </x:row>
    <x:row r="211">
      <x:c r="C211" s="21"/>
      <x:c r="G211" s="44"/>
      <x:c r="H211" s="44"/>
      <x:c r="I211" s="44"/>
      <x:c r="J211" s="44"/>
      <x:c r="K211" s="44"/>
    </x:row>
    <x:row r="212">
      <x:c r="C212" s="21"/>
      <x:c r="G212" s="44"/>
      <x:c r="H212" s="44"/>
      <x:c r="I212" s="44"/>
      <x:c r="J212" s="44"/>
      <x:c r="K212" s="44"/>
    </x:row>
    <x:row r="213">
      <x:c r="C213" s="21"/>
      <x:c r="G213" s="44"/>
      <x:c r="H213" s="44"/>
      <x:c r="I213" s="44"/>
      <x:c r="J213" s="44"/>
      <x:c r="K213" s="44"/>
    </x:row>
    <x:row r="214">
      <x:c r="C214" s="21"/>
      <x:c r="G214" s="44"/>
      <x:c r="H214" s="44"/>
      <x:c r="I214" s="44"/>
      <x:c r="J214" s="44"/>
      <x:c r="K214" s="44"/>
    </x:row>
    <x:row r="215">
      <x:c r="C215" s="21"/>
      <x:c r="G215" s="44"/>
      <x:c r="H215" s="44"/>
      <x:c r="I215" s="44"/>
      <x:c r="J215" s="44"/>
      <x:c r="K215" s="44"/>
    </x:row>
    <x:row r="216">
      <x:c r="C216" s="21"/>
      <x:c r="G216" s="44"/>
      <x:c r="H216" s="44"/>
      <x:c r="I216" s="44"/>
      <x:c r="J216" s="44"/>
      <x:c r="K216" s="44"/>
    </x:row>
    <x:row r="217">
      <x:c r="C217" s="21"/>
      <x:c r="G217" s="44"/>
      <x:c r="H217" s="44"/>
      <x:c r="I217" s="44"/>
      <x:c r="J217" s="44"/>
      <x:c r="K217" s="44"/>
    </x:row>
    <x:row r="218">
      <x:c r="C218" s="21"/>
      <x:c r="G218" s="44"/>
      <x:c r="H218" s="44"/>
      <x:c r="I218" s="44"/>
      <x:c r="J218" s="44"/>
      <x:c r="K218" s="44"/>
    </x:row>
    <x:row r="219">
      <x:c r="C219" s="21"/>
      <x:c r="G219" s="44"/>
      <x:c r="H219" s="44"/>
      <x:c r="I219" s="44"/>
      <x:c r="J219" s="44"/>
      <x:c r="K219" s="44"/>
    </x:row>
    <x:row r="220">
      <x:c r="C220" s="21"/>
      <x:c r="G220" s="44"/>
      <x:c r="H220" s="44"/>
      <x:c r="I220" s="44"/>
      <x:c r="J220" s="44"/>
      <x:c r="K220" s="44"/>
    </x:row>
    <x:row r="221">
      <x:c r="C221" s="21"/>
      <x:c r="G221" s="44"/>
      <x:c r="H221" s="44"/>
      <x:c r="I221" s="44"/>
      <x:c r="J221" s="44"/>
      <x:c r="K221" s="44"/>
    </x:row>
    <x:row r="222">
      <x:c r="C222" s="21"/>
      <x:c r="G222" s="44"/>
      <x:c r="H222" s="44"/>
      <x:c r="I222" s="44"/>
      <x:c r="J222" s="44"/>
      <x:c r="K222" s="44"/>
    </x:row>
    <x:row r="223">
      <x:c r="C223" s="21"/>
      <x:c r="G223" s="44"/>
      <x:c r="H223" s="44"/>
      <x:c r="I223" s="44"/>
      <x:c r="J223" s="44"/>
      <x:c r="K223" s="44"/>
    </x:row>
    <x:row r="224">
      <x:c r="C224" s="21"/>
      <x:c r="G224" s="44"/>
      <x:c r="H224" s="44"/>
      <x:c r="I224" s="44"/>
      <x:c r="J224" s="44"/>
      <x:c r="K224" s="44"/>
    </x:row>
    <x:row r="225">
      <x:c r="C225" s="21"/>
      <x:c r="G225" s="44"/>
      <x:c r="H225" s="44"/>
      <x:c r="I225" s="44"/>
      <x:c r="J225" s="44"/>
      <x:c r="K225" s="44"/>
    </x:row>
    <x:row r="226">
      <x:c r="C226" s="21"/>
      <x:c r="G226" s="44"/>
      <x:c r="H226" s="44"/>
      <x:c r="I226" s="44"/>
      <x:c r="J226" s="44"/>
      <x:c r="K226" s="44"/>
    </x:row>
    <x:row r="227">
      <x:c r="C227" s="21"/>
      <x:c r="G227" s="44"/>
      <x:c r="H227" s="44"/>
      <x:c r="I227" s="44"/>
      <x:c r="J227" s="44"/>
      <x:c r="K227" s="44"/>
    </x:row>
    <x:row r="228">
      <x:c r="C228" s="21"/>
      <x:c r="G228" s="44"/>
      <x:c r="H228" s="44"/>
      <x:c r="I228" s="44"/>
      <x:c r="J228" s="44"/>
      <x:c r="K228" s="44"/>
    </x:row>
    <x:row r="229">
      <x:c r="C229" s="21"/>
      <x:c r="G229" s="44"/>
      <x:c r="H229" s="44"/>
      <x:c r="I229" s="44"/>
      <x:c r="J229" s="44"/>
      <x:c r="K229" s="44"/>
    </x:row>
    <x:row r="230">
      <x:c r="C230" s="21"/>
      <x:c r="G230" s="44"/>
      <x:c r="H230" s="44"/>
      <x:c r="I230" s="44"/>
      <x:c r="J230" s="44"/>
      <x:c r="K230" s="44"/>
    </x:row>
    <x:row r="231">
      <x:c r="C231" s="21"/>
      <x:c r="G231" s="44"/>
      <x:c r="H231" s="44"/>
      <x:c r="I231" s="44"/>
      <x:c r="J231" s="44"/>
      <x:c r="K231" s="44"/>
    </x:row>
    <x:row r="232">
      <x:c r="C232" s="21"/>
      <x:c r="G232" s="44"/>
      <x:c r="H232" s="44"/>
      <x:c r="I232" s="44"/>
      <x:c r="J232" s="44"/>
      <x:c r="K232" s="44"/>
    </x:row>
    <x:row r="233">
      <x:c r="C233" s="21"/>
      <x:c r="G233" s="44"/>
      <x:c r="H233" s="44"/>
      <x:c r="I233" s="44"/>
      <x:c r="J233" s="44"/>
      <x:c r="K233" s="44"/>
    </x:row>
    <x:row r="234">
      <x:c r="C234" s="21"/>
      <x:c r="G234" s="44"/>
      <x:c r="H234" s="44"/>
      <x:c r="I234" s="44"/>
      <x:c r="J234" s="44"/>
      <x:c r="K234" s="44"/>
    </x:row>
    <x:row r="235">
      <x:c r="C235" s="21"/>
      <x:c r="G235" s="44"/>
      <x:c r="H235" s="44"/>
      <x:c r="I235" s="44"/>
      <x:c r="J235" s="44"/>
      <x:c r="K235" s="44"/>
    </x:row>
    <x:row r="236">
      <x:c r="C236" s="21"/>
      <x:c r="G236" s="44"/>
      <x:c r="H236" s="44"/>
      <x:c r="I236" s="44"/>
      <x:c r="J236" s="44"/>
      <x:c r="K236" s="44"/>
    </x:row>
    <x:row r="237">
      <x:c r="C237" s="21"/>
      <x:c r="G237" s="44"/>
      <x:c r="H237" s="44"/>
      <x:c r="I237" s="44"/>
      <x:c r="J237" s="44"/>
      <x:c r="K237" s="44"/>
    </x:row>
    <x:row r="238">
      <x:c r="C238" s="21"/>
      <x:c r="G238" s="44"/>
      <x:c r="H238" s="44"/>
      <x:c r="I238" s="44"/>
      <x:c r="J238" s="44"/>
      <x:c r="K238" s="44"/>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53541032c81a4934"/>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0</x:v>
      </x:c>
      <x:c r="J14" s="27" t="n">
        <x:v>0</x:v>
      </x:c>
      <x:c r="K14" s="27" t="n">
        <x:f>I14+J14</x:f>
        <x:v>0</x:v>
      </x:c>
      <x:c r="L14" s="31" t="str">
        <x:f>IF(K14=0,"",I14/K14)</x:f>
      </x:c>
      <x:c r="M14" s="29" t="str">
        <x:v>Expert enhancer only; never originating proof.</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29f6bfb8722346c1"/>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61.36</x:v>
      </x:c>
      <x:c r="K6" s="46" t="n">
        <x:f>I6*J6</x:f>
        <x:v>1072.5397657752142</x:v>
      </x:c>
      <x:c r="L6" s="46" t="n">
        <x:f>K6-H6</x:f>
        <x:v>72.53976577521416</x:v>
      </x:c>
      <x:c r="M6" s="48" t="n">
        <x:f>L6/H6</x:f>
        <x:v>0.07253976577521416</x:v>
      </x:c>
      <x:c r="N6" s="30"/>
      <x:c r="O6" s="32"/>
      <x:c r="P6" s="32" t="str">
        <x:f>IF(OR(I6="",O6=""),"",I6*O6)</x:f>
      </x:c>
      <x:c r="Q6" s="32" t="str">
        <x:f>IF(P6="","",P6-H6)</x:f>
      </x:c>
      <x:c r="R6" s="29" t="str">
        <x:v>09/11/26: +7.25%. Confirmed the supply-risk thesis and was the cleanest expression. Formal Entry Window stayed WAIT because this paper entry chased a headline move.</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154.86</x:v>
      </x:c>
      <x:c r="K7" s="46" t="n">
        <x:f>I7*J7</x:f>
        <x:v>1070.9543568464733</x:v>
      </x:c>
      <x:c r="L7" s="46" t="n">
        <x:f>K7-H7</x:f>
        <x:v>70.95435684647327</x:v>
      </x:c>
      <x:c r="M7" s="48" t="n">
        <x:f>L7/H7</x:f>
        <x:v>0.07095435684647328</x:v>
      </x:c>
      <x:c r="N7" s="30"/>
      <x:c r="O7" s="32"/>
      <x:c r="P7" s="32" t="str">
        <x:f>IF(OR(I7="",O7=""),"",I7*O7)</x:f>
      </x:c>
      <x:c r="Q7" s="32" t="str">
        <x:f>IF(P7="","",P7-H7)</x:f>
      </x:c>
      <x:c r="R7" s="29" t="str">
        <x:v>09/11/26: +7.10%. Confirmed the crude-price direction nearly as well as BNO. Formal Entry Window stayed WAIT because this paper entry chased a headline move.</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195.75</x:v>
      </x:c>
      <x:c r="K8" s="46" t="n">
        <x:f>I8*J8</x:f>
        <x:v>1009.8534874122987</x:v>
      </x:c>
      <x:c r="L8" s="46" t="n">
        <x:f>K8-H8</x:f>
        <x:v>9.853487412298705</x:v>
      </x:c>
      <x:c r="M8" s="48" t="n">
        <x:f>L8/H8</x:f>
        <x:v>0.009853487412298705</x:v>
      </x:c>
      <x:c r="N8" s="30"/>
      <x:c r="O8" s="32"/>
      <x:c r="P8" s="32" t="str">
        <x:f>IF(OR(I8="",O8=""),"",I8*O8)</x:f>
      </x:c>
      <x:c r="Q8" s="32" t="str">
        <x:f>IF(P8="","",P8-H8)</x:f>
      </x:c>
      <x:c r="R8" s="29" t="str">
        <x:v>09/11/26: +0.99%. Producer equities lagged both direct crude funds, showing expression risk even while the underlying oil thesis worked.</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cad03705b27343c6"/>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x:c r="B13" s="28"/>
      <x:c r="C13" s="27"/>
      <x:c r="D13" s="29"/>
      <x:c r="E13" s="29"/>
      <x:c r="F13" s="29"/>
      <x:c r="G13" s="29"/>
      <x:c r="H13" s="29"/>
      <x:c r="I13" s="29"/>
      <x:c r="J13" s="29"/>
    </x:row>
    <x:row r="14">
      <x:c r="A14" s="27"/>
      <x:c r="B14" s="28"/>
      <x:c r="C14" s="27"/>
      <x:c r="D14" s="29"/>
      <x:c r="E14" s="29"/>
      <x:c r="F14" s="29"/>
      <x:c r="G14" s="29"/>
      <x:c r="H14" s="29"/>
      <x:c r="I14" s="29"/>
      <x:c r="J14" s="29"/>
    </x:row>
    <x:row r="15">
      <x:c r="A15" s="27"/>
      <x:c r="B15" s="28"/>
      <x:c r="C15" s="27"/>
      <x:c r="D15" s="29"/>
      <x:c r="E15" s="29"/>
      <x:c r="F15" s="29"/>
      <x:c r="G15" s="29"/>
      <x:c r="H15" s="29"/>
      <x:c r="I15" s="29"/>
      <x:c r="J15" s="29"/>
    </x:row>
    <x:row r="16">
      <x:c r="A16" s="27"/>
      <x:c r="B16" s="28"/>
      <x:c r="C16" s="27"/>
      <x:c r="D16" s="29"/>
      <x:c r="E16" s="29"/>
      <x:c r="F16" s="29"/>
      <x:c r="G16" s="29"/>
      <x:c r="H16" s="29"/>
      <x:c r="I16" s="29"/>
      <x:c r="J16" s="29"/>
    </x:row>
    <x:row r="17">
      <x:c r="A17" s="27"/>
      <x:c r="B17" s="28"/>
      <x:c r="C17" s="27"/>
      <x:c r="D17" s="29"/>
      <x:c r="E17" s="29"/>
      <x:c r="F17" s="29"/>
      <x:c r="G17" s="29"/>
      <x:c r="H17" s="29"/>
      <x:c r="I17" s="29"/>
      <x:c r="J17" s="29"/>
    </x:row>
    <x:row r="18">
      <x:c r="A18" s="27"/>
      <x:c r="B18" s="28"/>
      <x:c r="C18" s="27"/>
      <x:c r="D18" s="29"/>
      <x:c r="E18" s="29"/>
      <x:c r="F18" s="29"/>
      <x:c r="G18" s="29"/>
      <x:c r="H18" s="29"/>
      <x:c r="I18" s="29"/>
      <x:c r="J18" s="29"/>
    </x:row>
    <x:row r="19">
      <x:c r="A19" s="27"/>
      <x:c r="B19" s="28"/>
      <x:c r="C19" s="27"/>
      <x:c r="D19" s="29"/>
      <x:c r="E19" s="29"/>
      <x:c r="F19" s="29"/>
      <x:c r="G19" s="29"/>
      <x:c r="H19" s="29"/>
      <x:c r="I19" s="29"/>
      <x:c r="J19" s="29"/>
    </x:row>
    <x:row r="20">
      <x:c r="A20" s="27"/>
      <x:c r="B20" s="28"/>
      <x:c r="C20" s="27"/>
      <x:c r="D20" s="29"/>
      <x:c r="E20" s="29"/>
      <x:c r="F20" s="29"/>
      <x:c r="G20" s="29"/>
      <x:c r="H20" s="29"/>
      <x:c r="I20" s="29"/>
      <x:c r="J20" s="29"/>
    </x:row>
    <x:row r="21">
      <x:c r="A21" s="27"/>
      <x:c r="B21" s="28"/>
      <x:c r="C21" s="27"/>
      <x:c r="D21" s="29"/>
      <x:c r="E21" s="29"/>
      <x:c r="F21" s="29"/>
      <x:c r="G21" s="29"/>
      <x:c r="H21" s="29"/>
      <x:c r="I21" s="29"/>
      <x:c r="J21" s="29"/>
    </x:row>
    <x:row r="22">
      <x:c r="A22" s="27"/>
      <x:c r="B22" s="28"/>
      <x:c r="C22" s="27"/>
      <x:c r="D22" s="29"/>
      <x:c r="E22" s="29"/>
      <x:c r="F22" s="29"/>
      <x:c r="G22" s="29"/>
      <x:c r="H22" s="29"/>
      <x:c r="I22" s="29"/>
      <x:c r="J22" s="29"/>
    </x:row>
    <x:row r="23">
      <x:c r="A23" s="27"/>
      <x:c r="B23" s="28"/>
      <x:c r="C23" s="27"/>
      <x:c r="D23" s="29"/>
      <x:c r="E23" s="29"/>
      <x:c r="F23" s="29"/>
      <x:c r="G23" s="29"/>
      <x:c r="H23" s="29"/>
      <x:c r="I23" s="29"/>
      <x:c r="J23" s="29"/>
    </x:row>
    <x:row r="24">
      <x:c r="A24" s="27"/>
      <x:c r="B24" s="28"/>
      <x:c r="C24" s="27"/>
      <x:c r="D24" s="29"/>
      <x:c r="E24" s="29"/>
      <x:c r="F24" s="29"/>
      <x:c r="G24" s="29"/>
      <x:c r="H24" s="29"/>
      <x:c r="I24" s="29"/>
      <x:c r="J24" s="29"/>
    </x:row>
    <x:row r="25">
      <x:c r="A25" s="27"/>
      <x:c r="B25" s="28"/>
      <x:c r="C25" s="27"/>
      <x:c r="D25" s="29"/>
      <x:c r="E25" s="29"/>
      <x:c r="F25" s="29"/>
      <x:c r="G25" s="29"/>
      <x:c r="H25" s="29"/>
      <x:c r="I25" s="29"/>
      <x:c r="J25" s="29"/>
    </x:row>
    <x:row r="26">
      <x:c r="A26" s="27"/>
      <x:c r="B26" s="28"/>
      <x:c r="C26" s="27"/>
      <x:c r="D26" s="29"/>
      <x:c r="E26" s="29"/>
      <x:c r="F26" s="29"/>
      <x:c r="G26" s="29"/>
      <x:c r="H26" s="29"/>
      <x:c r="I26" s="29"/>
      <x:c r="J26" s="29"/>
    </x:row>
    <x:row r="27">
      <x:c r="A27" s="27"/>
      <x:c r="B27" s="28"/>
      <x:c r="C27" s="27"/>
      <x:c r="D27" s="29"/>
      <x:c r="E27" s="29"/>
      <x:c r="F27" s="29"/>
      <x:c r="G27" s="29"/>
      <x:c r="H27" s="29"/>
      <x:c r="I27" s="29"/>
      <x:c r="J27" s="29"/>
    </x:row>
    <x:row r="28">
      <x:c r="A28" s="27"/>
      <x:c r="B28" s="28"/>
      <x:c r="C28" s="27"/>
      <x:c r="D28" s="29"/>
      <x:c r="E28" s="29"/>
      <x:c r="F28" s="29"/>
      <x:c r="G28" s="29"/>
      <x:c r="H28" s="29"/>
      <x:c r="I28" s="29"/>
      <x:c r="J28" s="29"/>
    </x:row>
    <x:row r="29">
      <x:c r="A29" s="27"/>
      <x:c r="B29" s="28"/>
      <x:c r="C29" s="27"/>
      <x:c r="D29" s="29"/>
      <x:c r="E29" s="29"/>
      <x:c r="F29" s="29"/>
      <x:c r="G29" s="29"/>
      <x:c r="H29" s="29"/>
      <x:c r="I29" s="29"/>
      <x:c r="J29" s="29"/>
    </x:row>
    <x:row r="30">
      <x:c r="A30" s="27"/>
      <x:c r="B30" s="28"/>
      <x:c r="C30" s="27"/>
      <x:c r="D30" s="29"/>
      <x:c r="E30" s="29"/>
      <x:c r="F30" s="29"/>
      <x:c r="G30" s="29"/>
      <x:c r="H30" s="29"/>
      <x:c r="I30" s="29"/>
      <x:c r="J30" s="29"/>
    </x:row>
    <x:row r="31">
      <x:c r="A31" s="27"/>
      <x:c r="B31" s="28"/>
      <x:c r="C31" s="27"/>
      <x:c r="D31" s="29"/>
      <x:c r="E31" s="29"/>
      <x:c r="F31" s="29"/>
      <x:c r="G31" s="29"/>
      <x:c r="H31" s="29"/>
      <x:c r="I31" s="29"/>
      <x:c r="J31" s="29"/>
    </x:row>
    <x:row r="32">
      <x:c r="A32" s="27"/>
      <x:c r="B32" s="28"/>
      <x:c r="C32" s="27"/>
      <x:c r="D32" s="29"/>
      <x:c r="E32" s="29"/>
      <x:c r="F32" s="29"/>
      <x:c r="G32" s="29"/>
      <x:c r="H32" s="29"/>
      <x:c r="I32" s="29"/>
      <x:c r="J32" s="29"/>
    </x:row>
    <x:row r="33">
      <x:c r="A33" s="27"/>
      <x:c r="B33" s="28"/>
      <x:c r="C33" s="27"/>
      <x:c r="D33" s="29"/>
      <x:c r="E33" s="29"/>
      <x:c r="F33" s="29"/>
      <x:c r="G33" s="29"/>
      <x:c r="H33" s="29"/>
      <x:c r="I33" s="29"/>
      <x:c r="J33" s="29"/>
    </x:row>
    <x:row r="34">
      <x:c r="A34" s="27"/>
      <x:c r="B34" s="28"/>
      <x:c r="C34" s="27"/>
      <x:c r="D34" s="29"/>
      <x:c r="E34" s="29"/>
      <x:c r="F34" s="29"/>
      <x:c r="G34" s="29"/>
      <x:c r="H34" s="29"/>
      <x:c r="I34" s="29"/>
      <x:c r="J34" s="29"/>
    </x:row>
    <x:row r="35">
      <x:c r="A35" s="27"/>
      <x:c r="B35" s="28"/>
      <x:c r="C35" s="27"/>
      <x:c r="D35" s="29"/>
      <x:c r="E35" s="29"/>
      <x:c r="F35" s="29"/>
      <x:c r="G35" s="29"/>
      <x:c r="H35" s="29"/>
      <x:c r="I35" s="29"/>
      <x:c r="J35" s="29"/>
    </x:row>
    <x:row r="36">
      <x:c r="A36" s="27"/>
      <x:c r="B36" s="28"/>
      <x:c r="C36" s="27"/>
      <x:c r="D36" s="29"/>
      <x:c r="E36" s="29"/>
      <x:c r="F36" s="29"/>
      <x:c r="G36" s="29"/>
      <x:c r="H36" s="29"/>
      <x:c r="I36" s="29"/>
      <x:c r="J36" s="29"/>
    </x:row>
    <x:row r="37">
      <x:c r="A37" s="27"/>
      <x:c r="B37" s="28"/>
      <x:c r="C37" s="27"/>
      <x:c r="D37" s="29"/>
      <x:c r="E37" s="29"/>
      <x:c r="F37" s="29"/>
      <x:c r="G37" s="29"/>
      <x:c r="H37" s="29"/>
      <x:c r="I37" s="29"/>
      <x:c r="J37" s="29"/>
    </x:row>
    <x:row r="38">
      <x:c r="A38" s="27"/>
      <x:c r="B38" s="28"/>
      <x:c r="C38" s="27"/>
      <x:c r="D38" s="29"/>
      <x:c r="E38" s="29"/>
      <x:c r="F38" s="29"/>
      <x:c r="G38" s="29"/>
      <x:c r="H38" s="29"/>
      <x:c r="I38" s="29"/>
      <x:c r="J38" s="29"/>
    </x:row>
    <x:row r="39">
      <x:c r="A39" s="27"/>
      <x:c r="B39" s="28"/>
      <x:c r="C39" s="27"/>
      <x:c r="D39" s="29"/>
      <x:c r="E39" s="29"/>
      <x:c r="F39" s="29"/>
      <x:c r="G39" s="29"/>
      <x:c r="H39" s="29"/>
      <x:c r="I39" s="29"/>
      <x:c r="J39" s="29"/>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32c0d76442e94e56"/>
  </x:tableParts>
</x:worksheet>
</file>