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4119047101547c1" /></Relationships>
</file>

<file path=xl/workbook.xml><?xml version="1.0" encoding="utf-8"?>
<x:workbook xmlns:x="http://schemas.openxmlformats.org/spreadsheetml/2006/main">
  <x:sheets>
    <x:sheet xmlns:r="http://schemas.openxmlformats.org/officeDocument/2006/relationships" name="Summary" sheetId="1" r:id="Rb2215020c085428e"/>
    <x:sheet xmlns:r="http://schemas.openxmlformats.org/officeDocument/2006/relationships" name="Thesis Ledger" sheetId="2" r:id="Rd908aa46874d49b3"/>
    <x:sheet xmlns:r="http://schemas.openxmlformats.org/officeDocument/2006/relationships" name="Evidence Log" sheetId="3" r:id="Rb6ce600650f54dba"/>
    <x:sheet xmlns:r="http://schemas.openxmlformats.org/officeDocument/2006/relationships" name="Source Registry" sheetId="4" r:id="Rc35408f0fbce4744"/>
    <x:sheet xmlns:r="http://schemas.openxmlformats.org/officeDocument/2006/relationships" name="Paper Trades" sheetId="5" r:id="R947e7c324a7645ea"/>
    <x:sheet xmlns:r="http://schemas.openxmlformats.org/officeDocument/2006/relationships" name="Scan Runs" sheetId="6" r:id="R514a3755c696442f"/>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2af79d537d64aaf" /><Relationship Type="http://schemas.openxmlformats.org/officeDocument/2006/relationships/theme" Target="/xl/theme/theme1.xml" Id="R872cdbd5ea454781" /><Relationship Type="http://schemas.openxmlformats.org/officeDocument/2006/relationships/sharedStrings" Target="/xl/sharedStrings.xml" Id="R7be1f0fdfa824d76" /><Relationship Type="http://schemas.openxmlformats.org/officeDocument/2006/relationships/worksheet" Target="/xl/worksheets/sheet1.xml" Id="Rb2215020c085428e" /><Relationship Type="http://schemas.openxmlformats.org/officeDocument/2006/relationships/worksheet" Target="/xl/worksheets/sheet2.xml" Id="Rd908aa46874d49b3" /><Relationship Type="http://schemas.openxmlformats.org/officeDocument/2006/relationships/worksheet" Target="/xl/worksheets/sheet3.xml" Id="Rb6ce600650f54dba" /><Relationship Type="http://schemas.openxmlformats.org/officeDocument/2006/relationships/worksheet" Target="/xl/worksheets/sheet4.xml" Id="Rc35408f0fbce4744" /><Relationship Type="http://schemas.openxmlformats.org/officeDocument/2006/relationships/worksheet" Target="/xl/worksheets/sheet5.xml" Id="R947e7c324a7645ea" /><Relationship Type="http://schemas.openxmlformats.org/officeDocument/2006/relationships/worksheet" Target="/xl/worksheets/sheet6.xml" Id="R514a3755c696442f"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875127c9b0643f8" /></Relationships>
</file>

<file path=xl/worksheets/_rels/sheet3.xml.rels>&#65279;<?xml version="1.0" encoding="utf-8"?><Relationships xmlns="http://schemas.openxmlformats.org/package/2006/relationships"><Relationship Type="http://schemas.openxmlformats.org/officeDocument/2006/relationships/table" Target="/xl/tables/table2.xml" Id="R5b165e94faf44583" /></Relationships>
</file>

<file path=xl/worksheets/_rels/sheet4.xml.rels>&#65279;<?xml version="1.0" encoding="utf-8"?><Relationships xmlns="http://schemas.openxmlformats.org/package/2006/relationships"><Relationship Type="http://schemas.openxmlformats.org/officeDocument/2006/relationships/table" Target="/xl/tables/table3.xml" Id="R392409c10f0d4fd1" /></Relationships>
</file>

<file path=xl/worksheets/_rels/sheet5.xml.rels>&#65279;<?xml version="1.0" encoding="utf-8"?><Relationships xmlns="http://schemas.openxmlformats.org/package/2006/relationships"><Relationship Type="http://schemas.openxmlformats.org/officeDocument/2006/relationships/table" Target="/xl/tables/table4.xml" Id="R9eac3b53ae9b4ec4" /></Relationships>
</file>

<file path=xl/worksheets/_rels/sheet6.xml.rels>&#65279;<?xml version="1.0" encoding="utf-8"?><Relationships xmlns="http://schemas.openxmlformats.org/package/2006/relationships"><Relationship Type="http://schemas.openxmlformats.org/officeDocument/2006/relationships/table" Target="/xl/tables/table5.xml" Id="R4465fd187f6d4c06"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16</x:v>
      </x:c>
      <x:c r="C6" s="1"/>
      <x:c r="D6" s="1"/>
      <x:c r="E6" s="1"/>
      <x:c r="F6" s="1"/>
      <x:c r="G6" s="1"/>
      <x:c r="H6" s="1"/>
      <x:c r="I6" s="1"/>
      <x:c r="J6" s="1"/>
    </x:row>
    <x:row r="7">
      <x:c r="A7" s="1" t="str">
        <x:v>Open theses</x:v>
      </x:c>
      <x:c r="B7" s="40" t="n">
        <x:f>COUNTIFS('Thesis Ledger'!A6:A200,"&lt;&gt;",'Thesis Ledger'!F6:F200,"&lt;&gt;Closed",'Thesis Ledger'!F6:F200,"&lt;&gt;Invalidated")</x:f>
        <x:v>14</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4</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4</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46303</x:v>
      </x:c>
      <x:c r="X14" s="43"/>
      <x:c r="Y14" s="29"/>
      <x:c r="Z14" s="29"/>
      <x:c r="AA14" s="29"/>
      <x:c r="AB14" s="29"/>
      <x:c r="AC14" s="29"/>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2026-10-08T12:00:00.000Z</x:v>
      </x:c>
      <x:c r="X16" s="43"/>
      <x:c r="Y16" s="29"/>
      <x:c r="Z16" s="29"/>
      <x:c r="AA16" s="29"/>
      <x:c r="AB16" s="29"/>
      <x:c r="AC16" s="29"/>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x:v>
      </x:c>
      <x:c r="AE16" s="31" t="str">
        <x:f>IF(COUNTA(Y16:AC16)=0,"",COUNTIF(Y16:AC16,"Yes")/COUNTA(Y16:AC16))</x:f>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Developing</x:v>
      </x:c>
      <x:c r="G20" s="27" t="str">
        <x:v>Government financing and energy policy</x:v>
      </x:c>
      <x:c r="H20" s="27" t="str">
        <x:v>Vistra nuclear generation capacity, capital cost and cash flow</x:v>
      </x:c>
      <x:c r="I20" s="27" t="str">
        <x:v>Up</x:v>
      </x:c>
      <x:c r="J20" s="27" t="str">
        <x:v>One to five years</x:v>
      </x:c>
      <x:c r="K20" s="27" t="n">
        <x:v>3</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2026-10-06T12:00:00.000Z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6875127c9b0643f8"/>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5b165e94faf44583"/>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392409c10f0d4fd1"/>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63.1</x:v>
      </x:c>
      <x:c r="K6" s="46" t="n">
        <x:f>I6*J6</x:f>
        <x:v>1102.9540290159064</x:v>
      </x:c>
      <x:c r="L6" s="46" t="n">
        <x:f>K6-H6</x:f>
        <x:v>102.95402901590637</x:v>
      </x:c>
      <x:c r="M6" s="48" t="n">
        <x:f>L6/H6</x:f>
        <x:v>0.10295402901590638</x:v>
      </x:c>
      <x:c r="N6" s="30"/>
      <x:c r="O6" s="32"/>
      <x:c r="P6" s="32" t="str">
        <x:f>IF(OR(I6="",O6=""),"",I6*O6)</x:f>
      </x:c>
      <x:c r="Q6" s="32" t="str">
        <x:f>IF(P6="","",P6-H6)</x:f>
      </x:c>
      <x:c r="R6" s="29" t="str">
        <x:v>10/02/26 close: $63.10; position value $1,102.95; +$102.95 (+10.30%). BNO gained 0.24% and held most of the prior session's surge even as emergency fuel-stock releases and recovered Middle East crude flows weakened the scarcity premium.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147.37</x:v>
      </x:c>
      <x:c r="K7" s="46" t="n">
        <x:f>I7*J7</x:f>
        <x:v>1019.1562932226833</x:v>
      </x:c>
      <x:c r="L7" s="46" t="n">
        <x:f>K7-H7</x:f>
        <x:v>19.156293222683303</x:v>
      </x:c>
      <x:c r="M7" s="48" t="n">
        <x:f>L7/H7</x:f>
        <x:v>0.019156293222683304</x:v>
      </x:c>
      <x:c r="N7" s="30"/>
      <x:c r="O7" s="32"/>
      <x:c r="P7" s="32" t="str">
        <x:f>IF(OR(I7="",O7=""),"",I7*O7)</x:f>
      </x:c>
      <x:c r="Q7" s="32" t="str">
        <x:f>IF(P7="","",P7-H7)</x:f>
      </x:c>
      <x:c r="R7" s="29" t="str">
        <x:v>10/02/26 close: $147.37; position value $1,019.16; +$19.16 (+1.92%). USO fell 1.77% as European diesel and IEA crude stock releases offset part of the geopolitical premium; WTI settled at $91.11.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184.93</x:v>
      </x:c>
      <x:c r="K8" s="46" t="n">
        <x:f>I8*J8</x:f>
        <x:v>954.034255055716</x:v>
      </x:c>
      <x:c r="L8" s="46" t="n">
        <x:f>K8-H8</x:f>
        <x:v>-45.96574494428398</x:v>
      </x:c>
      <x:c r="M8" s="48" t="n">
        <x:f>L8/H8</x:f>
        <x:v>-0.04596574494428398</x:v>
      </x:c>
      <x:c r="N8" s="30"/>
      <x:c r="O8" s="32"/>
      <x:c r="P8" s="32" t="str">
        <x:f>IF(OR(I8="",O8=""),"",I8*O8)</x:f>
      </x:c>
      <x:c r="Q8" s="32" t="str">
        <x:f>IF(P8="","",P8-H8)</x:f>
      </x:c>
      <x:c r="R8" s="29" t="str">
        <x:v>10/02/26 close: $184.93; position value $954.03; -$45.97 (-4.60%). XOP gained 0.34% but remains below entry and continues to lag both direct crude funds, confirming the indirect expression failure.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9eac3b53ae9b4ec4"/>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4465fd187f6d4c06"/>
  </x:tableParts>
</x:worksheet>
</file>