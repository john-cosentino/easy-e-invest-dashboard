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f1d8f4709304037" /></Relationships>
</file>

<file path=xl/workbook.xml><?xml version="1.0" encoding="utf-8"?>
<x:workbook xmlns:x="http://schemas.openxmlformats.org/spreadsheetml/2006/main">
  <x:sheets>
    <x:sheet xmlns:r="http://schemas.openxmlformats.org/officeDocument/2006/relationships" name="Summary" sheetId="1" r:id="R1b4acd59d0bb4c2f"/>
    <x:sheet xmlns:r="http://schemas.openxmlformats.org/officeDocument/2006/relationships" name="Thesis Ledger" sheetId="2" r:id="Raaf6b0c78bb241a7"/>
    <x:sheet xmlns:r="http://schemas.openxmlformats.org/officeDocument/2006/relationships" name="Evidence Log" sheetId="3" r:id="Rca1b1d6f4c3b42ba"/>
    <x:sheet xmlns:r="http://schemas.openxmlformats.org/officeDocument/2006/relationships" name="Source Registry" sheetId="4" r:id="R253b5aa6418d482e"/>
    <x:sheet xmlns:r="http://schemas.openxmlformats.org/officeDocument/2006/relationships" name="Paper Trades" sheetId="5" r:id="Rd2468ad0e8164ac5"/>
    <x:sheet xmlns:r="http://schemas.openxmlformats.org/officeDocument/2006/relationships" name="Scan Runs" sheetId="6" r:id="Re2de751275224981"/>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20bf242d394274" /><Relationship Type="http://schemas.openxmlformats.org/officeDocument/2006/relationships/theme" Target="/xl/theme/theme1.xml" Id="Rb32d133e346d4100" /><Relationship Type="http://schemas.openxmlformats.org/officeDocument/2006/relationships/sharedStrings" Target="/xl/sharedStrings.xml" Id="R69be3c7408444f42" /><Relationship Type="http://schemas.openxmlformats.org/officeDocument/2006/relationships/worksheet" Target="/xl/worksheets/sheet1.xml" Id="R1b4acd59d0bb4c2f" /><Relationship Type="http://schemas.openxmlformats.org/officeDocument/2006/relationships/worksheet" Target="/xl/worksheets/sheet2.xml" Id="Raaf6b0c78bb241a7" /><Relationship Type="http://schemas.openxmlformats.org/officeDocument/2006/relationships/worksheet" Target="/xl/worksheets/sheet3.xml" Id="Rca1b1d6f4c3b42ba" /><Relationship Type="http://schemas.openxmlformats.org/officeDocument/2006/relationships/worksheet" Target="/xl/worksheets/sheet4.xml" Id="R253b5aa6418d482e" /><Relationship Type="http://schemas.openxmlformats.org/officeDocument/2006/relationships/worksheet" Target="/xl/worksheets/sheet5.xml" Id="Rd2468ad0e8164ac5" /><Relationship Type="http://schemas.openxmlformats.org/officeDocument/2006/relationships/worksheet" Target="/xl/worksheets/sheet6.xml" Id="Re2de751275224981"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26412749a844257" /></Relationships>
</file>

<file path=xl/worksheets/_rels/sheet3.xml.rels>&#65279;<?xml version="1.0" encoding="utf-8"?><Relationships xmlns="http://schemas.openxmlformats.org/package/2006/relationships"><Relationship Type="http://schemas.openxmlformats.org/officeDocument/2006/relationships/table" Target="/xl/tables/table2.xml" Id="R355bb6d60ef54ea1" /></Relationships>
</file>

<file path=xl/worksheets/_rels/sheet4.xml.rels>&#65279;<?xml version="1.0" encoding="utf-8"?><Relationships xmlns="http://schemas.openxmlformats.org/package/2006/relationships"><Relationship Type="http://schemas.openxmlformats.org/officeDocument/2006/relationships/table" Target="/xl/tables/table3.xml" Id="Rf711ac84d4444f3f" /></Relationships>
</file>

<file path=xl/worksheets/_rels/sheet5.xml.rels>&#65279;<?xml version="1.0" encoding="utf-8"?><Relationships xmlns="http://schemas.openxmlformats.org/package/2006/relationships"><Relationship Type="http://schemas.openxmlformats.org/officeDocument/2006/relationships/table" Target="/xl/tables/table4.xml" Id="Rcd6cdd81a3944fc5" /></Relationships>
</file>

<file path=xl/worksheets/_rels/sheet6.xml.rels>&#65279;<?xml version="1.0" encoding="utf-8"?><Relationships xmlns="http://schemas.openxmlformats.org/package/2006/relationships"><Relationship Type="http://schemas.openxmlformats.org/officeDocument/2006/relationships/table" Target="/xl/tables/table5.xml" Id="Rac49a1e1b7e84972"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11</x:v>
      </x:c>
      <x:c r="C6" s="1"/>
      <x:c r="D6" s="1"/>
      <x:c r="E6" s="1"/>
      <x:c r="F6" s="1"/>
      <x:c r="G6" s="1"/>
      <x:c r="H6" s="1"/>
      <x:c r="I6" s="1"/>
      <x:c r="J6" s="1"/>
    </x:row>
    <x:row r="7">
      <x:c r="A7" s="1" t="str">
        <x:v>Open theses</x:v>
      </x:c>
      <x:c r="B7" s="40" t="n">
        <x:f>COUNTIFS('Thesis Ledger'!A6:A200,"&lt;&gt;",'Thesis Ledger'!F6:F200,"&lt;&gt;Closed",'Thesis Ledger'!F6:F200,"&lt;&gt;Invalidated")</x:f>
        <x:v>9</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Congressional control remains unsettled. The September 20 review found no new independent House or Senate control evidence after the September 19 campaign-coordination reporting. Current policy developments affect the macro and sector backdrop but do not establish an election outcome.</x:v>
      </x:c>
      <x:c r="O8" s="29" t="str">
        <x:v>Expected changes in fiscal, regulatory and sector policy could alter risk appetite and relative performance.</x:v>
      </x:c>
      <x:c r="P8" s="29" t="str">
        <x:v>Aggregate earnings estimates remain supportive, and XLI showed relative resilience at the September 18 close. Sunday U.S.-China talks address tariffs, AI and critical-mineral flows, but no agreement had been announced and analysts expected incremental steps rather than a breakthrough.</x:v>
      </x:c>
      <x:c r="Q8" s="29" t="str">
        <x:v>The strongest contradiction is now broader than the oil shock: on September 20, Minneapolis Fed President Neel Kashkari said inflation remains too high across the economy even excluding energy and food, reinforcing the risk that restrictive rates persist even if crude eases. Friday's final tape also showed narrow technology leadership, negative exchange breadth and RSP/IWM/XBI underperformance while the 10-year yield exceeded 5%.</x:v>
      </x:c>
      <x:c r="R8" s="29"/>
      <x:c r="S8" s="29" t="str">
        <x:v>No new liquid-market confirmation is available because U.S. markets are closed. September 18 remains the latest close: SPY +0.17% at the index level while equal weight, small caps and biotech lagged; XLI showed relative resilience, CPER rose as XLB fell, and the 10-year Treasury yield topped 5%. This is not durable election-related broadening.</x:v>
      </x:c>
      <x:c r="T8" s="29" t="str">
        <x:v>RSP versus SPY remains the central breadth test. XLI is the closest conditional sector watch but needs multi-session follow-through, stable rates and clarity on data-center and trade-policy costs. CPER should be watched separately from XLB and not chased. IWM, XBI, XLV and XLF remain unconfirmed. No automatic entry.</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The election trigger did not advance on September 20, and U.S. markets supplied no new confirmation while closed. Kashkari's statement that inflation remains broad beyond oil strengthens the inflation-to-rates contradiction and means lower crude alone may not unlock the breadth mechanism. U.S.-China talks are a policy modifier, not a congressional-control trigger. Classification remains Developing; confidence and trading-edge fields are unchanged.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U.S. diesel inventories fell to 107.9 million barrels by September 11, the lowest comparable September level in EIA records dating to 1982. EIA expects distillate stocks to remain below the five-year low through the end of 2026 and most of 2027, extending the scarcity mechanism beyond the initial shock.</x:v>
      </x:c>
      <x:c r="Q14" s="29" t="str">
        <x:v>Record margins should encourage refinery output, China is increasing exports, Saudi ship-to-ship transfers are restoring some crude feedstock, biodiesel substitution can cap fossil-diesel demand, and policy intervention remains possible. The longer expected shortage strengthens the economics but also increases demand-destruction and supply-response risk.</x:v>
      </x:c>
      <x:c r="R14" s="29"/>
      <x:c r="S14" s="29" t="str">
        <x:v>Physical confirmation remains exceptional: the U.S. diesel crack reached a record $118.62 per barrel on September 14 and inventories are historically low. Early September 21 equity pricing was mixed, with CRAK lower and major U.S. refiners split, so the equity expression has not supplied a better entry signal.</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The expected scarcity horizon strengthened on September 21 because EIA projects U.S. distillate inventories below the five-year low through most of 2027. Stage, confidence and trading edge remain unchanged. Entry Window remains WAIT because record cracks invite supply response and demand destruction, while early refining-equity pricing did not confirm a cleaner reward-to-invalidation setup.</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Gulf ship-to-ship transfers at about 2.5 million barrels per day in September versus 1.4 million in August, with benchmark Gulf-to-China VLCC freight above $30 per barrel. The Wall Street Journal separately reported supertanker hire above $1 million per day. Trafigura's planned Volare fleet and listing confirm an industry capital response.</x:v>
      </x:c>
      <x:c r="Q16" s="29" t="str">
        <x:v>Diplomacy or reopening Hormuz would release shuttle capacity quickly. Producer-owned fleets can reduce third-party charter demand, deeper crude discounts shift part of the cost back to producers, and eight Volare newbuilds plus the wider orderbook can create later oversupply. Tanker equities are volatile and already reflect elevated rates.</x:v>
      </x:c>
      <x:c r="R16" s="29"/>
      <x:c r="S16" s="29" t="str">
        <x:v>The freight variable is confirmed, but early September 21 public-equity pricing was mixed: FRO and BOAT were lower while DHT was higher. That divergence and record spot rates argue against treating the economic signal as a clean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New Strong thesis at confidence 4/5 and trading edge 1/5. Multiple independent records confirm the freight variable and mechanism. Entry Window is WAIT because spot rates are already at records, early equity confirmation is mixed and diplomacy could release capacity abruptly. Next check: sustained VLCC rates, listed-tanker cash conversion, offering documents for Volare and any route normalization.</x:v>
      </x:c>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f26412749a844257"/>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355bb6d60ef54ea1"/>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f711ac84d4444f3f"/>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60.55</x:v>
      </x:c>
      <x:c r="K6" s="46" t="n">
        <x:f>I6*J6</x:f>
        <x:v>1058.381401852823</x:v>
      </x:c>
      <x:c r="L6" s="46" t="n">
        <x:f>K6-H6</x:f>
        <x:v>58.381401852823046</x:v>
      </x:c>
      <x:c r="M6" s="48" t="n">
        <x:f>L6/H6</x:f>
        <x:v>0.05838140185282305</x:v>
      </x:c>
      <x:c r="N6" s="30"/>
      <x:c r="O6" s="32"/>
      <x:c r="P6" s="32" t="str">
        <x:f>IF(OR(I6="",O6=""),"",I6*O6)</x:f>
      </x:c>
      <x:c r="Q6" s="32" t="str">
        <x:f>IF(P6="","",P6-H6)</x:f>
      </x:c>
      <x:c r="R6" s="29" t="str">
        <x:v>09/18/26 close: $60.55; position value $1,058.38; +$58.38 (+5.84%). BNO remained the cleanest Brent-linked expression and finished the evaluation horizon profitably. It declined 0.59% today as China pressed Iran to curb Houthi attacks and Saudi Arabia pursued partial pipeline restoration, while Hormuz traffic remained severely restricted.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153.87</x:v>
      </x:c>
      <x:c r="K7" s="46" t="n">
        <x:f>I7*J7</x:f>
        <x:v>1064.1078838174274</x:v>
      </x:c>
      <x:c r="L7" s="46" t="n">
        <x:f>K7-H7</x:f>
        <x:v>64.10788381742736</x:v>
      </x:c>
      <x:c r="M7" s="48" t="n">
        <x:f>L7/H7</x:f>
        <x:v>0.06410788381742737</x:v>
      </x:c>
      <x:c r="N7" s="30"/>
      <x:c r="O7" s="32"/>
      <x:c r="P7" s="32" t="str">
        <x:f>IF(OR(I7="",O7=""),"",I7*O7)</x:f>
      </x:c>
      <x:c r="Q7" s="32" t="str">
        <x:f>IF(P7="","",P7-H7)</x:f>
      </x:c>
      <x:c r="R7" s="29" t="str">
        <x:v>09/18/26 close: $153.87; position value $1,064.11; +$64.11 (+6.41%). USO confirmed the predicted crude-price direction over the evaluation horizon. It declined 0.93% today as repair and diplomatic developments reduced part of the immediate scarcity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190.65</x:v>
      </x:c>
      <x:c r="K8" s="46" t="n">
        <x:f>I8*J8</x:f>
        <x:v>983.5431283532811</x:v>
      </x:c>
      <x:c r="L8" s="46" t="n">
        <x:f>K8-H8</x:f>
        <x:v>-16.456871646718923</x:v>
      </x:c>
      <x:c r="M8" s="48" t="n">
        <x:f>L8/H8</x:f>
        <x:v>-0.016456871646718923</x:v>
      </x:c>
      <x:c r="N8" s="30"/>
      <x:c r="O8" s="32"/>
      <x:c r="P8" s="32" t="str">
        <x:f>IF(OR(I8="",O8=""),"",I8*O8)</x:f>
      </x:c>
      <x:c r="Q8" s="32" t="str">
        <x:f>IF(P8="","",P8-H8)</x:f>
      </x:c>
      <x:c r="R8" s="29" t="str">
        <x:v>09/18/26 close: $190.65; position value $983.54; -$16.46 (-1.65%). XOP failed to confirm the thesis as an indirect producer-equity expression and materially trailed BNO and USO,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cd6cdd81a3944fc5"/>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ac49a1e1b7e84972"/>
  </x:tableParts>
</x:worksheet>
</file>