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8160ae38fc54fdc" /></Relationships>
</file>

<file path=xl/workbook.xml><?xml version="1.0" encoding="utf-8"?>
<x:workbook xmlns:x="http://schemas.openxmlformats.org/spreadsheetml/2006/main">
  <x:sheets>
    <x:sheet xmlns:r="http://schemas.openxmlformats.org/officeDocument/2006/relationships" name="Summary" sheetId="1" r:id="R2a5fabb1adc7492d"/>
    <x:sheet xmlns:r="http://schemas.openxmlformats.org/officeDocument/2006/relationships" name="Thesis Ledger" sheetId="2" r:id="Rcba30e2c052c4b07"/>
    <x:sheet xmlns:r="http://schemas.openxmlformats.org/officeDocument/2006/relationships" name="Evidence Log" sheetId="3" r:id="Ra2d4f567eaa84272"/>
    <x:sheet xmlns:r="http://schemas.openxmlformats.org/officeDocument/2006/relationships" name="Source Registry" sheetId="4" r:id="R1f69f1ba53b8478a"/>
    <x:sheet xmlns:r="http://schemas.openxmlformats.org/officeDocument/2006/relationships" name="Paper Trades" sheetId="5" r:id="Rec6bb42b90364277"/>
    <x:sheet xmlns:r="http://schemas.openxmlformats.org/officeDocument/2006/relationships" name="Scan Runs" sheetId="6" r:id="R8b56bc236d3546b2"/>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000daf8e74d4c82" /><Relationship Type="http://schemas.openxmlformats.org/officeDocument/2006/relationships/theme" Target="/xl/theme/theme1.xml" Id="R0650efeb1cd74131" /><Relationship Type="http://schemas.openxmlformats.org/officeDocument/2006/relationships/sharedStrings" Target="/xl/sharedStrings.xml" Id="Re72cc6a29670442e" /><Relationship Type="http://schemas.openxmlformats.org/officeDocument/2006/relationships/worksheet" Target="/xl/worksheets/sheet1.xml" Id="R2a5fabb1adc7492d" /><Relationship Type="http://schemas.openxmlformats.org/officeDocument/2006/relationships/worksheet" Target="/xl/worksheets/sheet2.xml" Id="Rcba30e2c052c4b07" /><Relationship Type="http://schemas.openxmlformats.org/officeDocument/2006/relationships/worksheet" Target="/xl/worksheets/sheet3.xml" Id="Ra2d4f567eaa84272" /><Relationship Type="http://schemas.openxmlformats.org/officeDocument/2006/relationships/worksheet" Target="/xl/worksheets/sheet4.xml" Id="R1f69f1ba53b8478a" /><Relationship Type="http://schemas.openxmlformats.org/officeDocument/2006/relationships/worksheet" Target="/xl/worksheets/sheet5.xml" Id="Rec6bb42b90364277" /><Relationship Type="http://schemas.openxmlformats.org/officeDocument/2006/relationships/worksheet" Target="/xl/worksheets/sheet6.xml" Id="R8b56bc236d3546b2"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86c3a857bf44078" /></Relationships>
</file>

<file path=xl/worksheets/_rels/sheet3.xml.rels>&#65279;<?xml version="1.0" encoding="utf-8"?><Relationships xmlns="http://schemas.openxmlformats.org/package/2006/relationships"><Relationship Type="http://schemas.openxmlformats.org/officeDocument/2006/relationships/table" Target="/xl/tables/table2.xml" Id="Rdc3df28b909b428e" /></Relationships>
</file>

<file path=xl/worksheets/_rels/sheet4.xml.rels>&#65279;<?xml version="1.0" encoding="utf-8"?><Relationships xmlns="http://schemas.openxmlformats.org/package/2006/relationships"><Relationship Type="http://schemas.openxmlformats.org/officeDocument/2006/relationships/table" Target="/xl/tables/table3.xml" Id="Ra1f46f16567f468b" /></Relationships>
</file>

<file path=xl/worksheets/_rels/sheet5.xml.rels>&#65279;<?xml version="1.0" encoding="utf-8"?><Relationships xmlns="http://schemas.openxmlformats.org/package/2006/relationships"><Relationship Type="http://schemas.openxmlformats.org/officeDocument/2006/relationships/table" Target="/xl/tables/table4.xml" Id="R898084a8b362433f" /></Relationships>
</file>

<file path=xl/worksheets/_rels/sheet6.xml.rels>&#65279;<?xml version="1.0" encoding="utf-8"?><Relationships xmlns="http://schemas.openxmlformats.org/package/2006/relationships"><Relationship Type="http://schemas.openxmlformats.org/officeDocument/2006/relationships/table" Target="/xl/tables/table5.xml" Id="R93393f96d5e146b7"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21</x:v>
      </x:c>
      <x:c r="C6" s="1"/>
      <x:c r="D6" s="1"/>
      <x:c r="E6" s="1"/>
      <x:c r="F6" s="1"/>
      <x:c r="G6" s="1"/>
      <x:c r="H6" s="1"/>
      <x:c r="I6" s="1"/>
      <x:c r="J6" s="1"/>
    </x:row>
    <x:row r="7">
      <x:c r="A7" s="1" t="str">
        <x:v>Open theses</x:v>
      </x:c>
      <x:c r="B7" s="40" t="n">
        <x:f>COUNTIFS('Thesis Ledger'!A6:A200,"&lt;&gt;",'Thesis Ledger'!F6:F200,"&lt;&gt;Closed",'Thesis Ledger'!F6:F200,"&lt;&gt;Invalidated")</x:f>
        <x:v>19</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46321</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str">
        <x:f>IF(COUNTIF(Y26:AC26,"&lt;&gt;")=0,"",COUNTIF(Y26:AC26,"Yes")/COUNTA(Y26:AC26))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a86c3a857bf44078"/>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sheetData>
  <x:mergeCells>
    <x:mergeCell ref="A2:K2"/>
  </x:mergeCells>
  <x:pageMargins left="0.7" right="0.7" top="0.75" bottom="0.75" header="0.3" footer="0.3"/>
  <x:tableParts count="1">
    <x:tablePart xmlns:r="http://schemas.openxmlformats.org/officeDocument/2006/relationships" r:id="Rdc3df28b909b428e"/>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a1f46f16567f468b"/>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67.19</x:v>
      </x:c>
      <x:c r="K6" s="46" t="n">
        <x:f>I6*J6</x:f>
        <x:v>1174.4450270931657</x:v>
      </x:c>
      <x:c r="L6" s="46" t="n">
        <x:f>K6-H6</x:f>
        <x:v>174.44502709316566</x:v>
      </x:c>
      <x:c r="M6" s="48" t="n">
        <x:f>L6/H6</x:f>
        <x:v>0.17444502709316567</x:v>
      </x:c>
      <x:c r="N6" s="30"/>
      <x:c r="O6" s="32"/>
      <x:c r="P6" s="32" t="str">
        <x:f>IF(OR(I6="",O6=""),"",I6*O6)</x:f>
      </x:c>
      <x:c r="Q6" s="32" t="str">
        <x:f>IF(P6="","",P6-H6)</x:f>
      </x:c>
      <x:c r="R6" s="29" t="str">
        <x:v>10/16/26 close: $67.19; position value $1,174.45; +$174.45 (+17.44%). BNO gained 3.59% as Brent settled at $109.86 after escalating Middle East supply fears. Direct Brent exposure remains the strongest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161.76</x:v>
      </x:c>
      <x:c r="K7" s="46" t="n">
        <x:f>I7*J7</x:f>
        <x:v>1118.6721991701245</x:v>
      </x:c>
      <x:c r="L7" s="46" t="n">
        <x:f>K7-H7</x:f>
        <x:v>118.67219917012449</x:v>
      </x:c>
      <x:c r="M7" s="48" t="n">
        <x:f>L7/H7</x:f>
        <x:v>0.11867219917012449</x:v>
      </x:c>
      <x:c r="N7" s="30"/>
      <x:c r="O7" s="32"/>
      <x:c r="P7" s="32" t="str">
        <x:f>IF(OR(I7="",O7=""),"",I7*O7)</x:f>
      </x:c>
      <x:c r="Q7" s="32" t="str">
        <x:f>IF(P7="","",P7-H7)</x:f>
      </x:c>
      <x:c r="R7" s="29" t="str">
        <x:v>10/16/26 close: $161.76; position value $1,118.67; +$118.67 (+11.87%). USO gained 2.83% as WTI settled at $101.41 amid lower Gulf crude flows and renewed supply-risk pricing.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200.38</x:v>
      </x:c>
      <x:c r="K8" s="46" t="n">
        <x:f>I8*J8</x:f>
        <x:v>1033.7391663227404</x:v>
      </x:c>
      <x:c r="L8" s="46" t="n">
        <x:f>K8-H8</x:f>
        <x:v>33.7391663227404</x:v>
      </x:c>
      <x:c r="M8" s="48" t="n">
        <x:f>L8/H8</x:f>
        <x:v>0.033739166322740405</x:v>
      </x:c>
      <x:c r="N8" s="30"/>
      <x:c r="O8" s="32"/>
      <x:c r="P8" s="32" t="str">
        <x:f>IF(OR(I8="",O8=""),"",I8*O8)</x:f>
      </x:c>
      <x:c r="Q8" s="32" t="str">
        <x:f>IF(P8="","",P8-H8)</x:f>
      </x:c>
      <x:c r="R8" s="29" t="str">
        <x:v>10/16/26 close: $200.38; position value $1,033.74; +$33.74 (+3.37%). XOP gained 2.82% but still trails both direct crude funds, confirming the producer-equity expression is less clean.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898084a8b362433f"/>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93393f96d5e146b7"/>
  </x:tableParts>
</x:worksheet>
</file>