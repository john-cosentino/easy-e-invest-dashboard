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12adf0c4071402c" /></Relationships>
</file>

<file path=xl/workbook.xml><?xml version="1.0" encoding="utf-8"?>
<x:workbook xmlns:x="http://schemas.openxmlformats.org/spreadsheetml/2006/main">
  <x:sheets>
    <x:sheet xmlns:r="http://schemas.openxmlformats.org/officeDocument/2006/relationships" name="Summary" sheetId="1" r:id="R4b1d0a2e9f3949bd"/>
    <x:sheet xmlns:r="http://schemas.openxmlformats.org/officeDocument/2006/relationships" name="Thesis Ledger" sheetId="2" r:id="Re89a27c1a1d2465d"/>
    <x:sheet xmlns:r="http://schemas.openxmlformats.org/officeDocument/2006/relationships" name="Evidence Log" sheetId="3" r:id="R9dca687be98d40a6"/>
    <x:sheet xmlns:r="http://schemas.openxmlformats.org/officeDocument/2006/relationships" name="Source Registry" sheetId="4" r:id="R6960f9d0cc71455e"/>
    <x:sheet xmlns:r="http://schemas.openxmlformats.org/officeDocument/2006/relationships" name="Paper Trades" sheetId="5" r:id="R069915848e044ecf"/>
    <x:sheet xmlns:r="http://schemas.openxmlformats.org/officeDocument/2006/relationships" name="Scan Runs" sheetId="6" r:id="Re33d0b6d2a924185"/>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e3cc3e7bdc9411d" /><Relationship Type="http://schemas.openxmlformats.org/officeDocument/2006/relationships/theme" Target="/xl/theme/theme1.xml" Id="Rf951e9ebe4df4ca4" /><Relationship Type="http://schemas.openxmlformats.org/officeDocument/2006/relationships/sharedStrings" Target="/xl/sharedStrings.xml" Id="R5fe6f0da2c464ed8" /><Relationship Type="http://schemas.openxmlformats.org/officeDocument/2006/relationships/worksheet" Target="/xl/worksheets/sheet1.xml" Id="R4b1d0a2e9f3949bd" /><Relationship Type="http://schemas.openxmlformats.org/officeDocument/2006/relationships/worksheet" Target="/xl/worksheets/sheet2.xml" Id="Re89a27c1a1d2465d" /><Relationship Type="http://schemas.openxmlformats.org/officeDocument/2006/relationships/worksheet" Target="/xl/worksheets/sheet3.xml" Id="R9dca687be98d40a6" /><Relationship Type="http://schemas.openxmlformats.org/officeDocument/2006/relationships/worksheet" Target="/xl/worksheets/sheet4.xml" Id="R6960f9d0cc71455e" /><Relationship Type="http://schemas.openxmlformats.org/officeDocument/2006/relationships/worksheet" Target="/xl/worksheets/sheet5.xml" Id="R069915848e044ecf" /><Relationship Type="http://schemas.openxmlformats.org/officeDocument/2006/relationships/worksheet" Target="/xl/worksheets/sheet6.xml" Id="Re33d0b6d2a924185"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5f99af585474697" /></Relationships>
</file>

<file path=xl/worksheets/_rels/sheet3.xml.rels>&#65279;<?xml version="1.0" encoding="utf-8"?><Relationships xmlns="http://schemas.openxmlformats.org/package/2006/relationships"><Relationship Type="http://schemas.openxmlformats.org/officeDocument/2006/relationships/table" Target="/xl/tables/table2.xml" Id="Ra50b73eb0f144657" /></Relationships>
</file>

<file path=xl/worksheets/_rels/sheet4.xml.rels>&#65279;<?xml version="1.0" encoding="utf-8"?><Relationships xmlns="http://schemas.openxmlformats.org/package/2006/relationships"><Relationship Type="http://schemas.openxmlformats.org/officeDocument/2006/relationships/table" Target="/xl/tables/table3.xml" Id="R53e2e3d6491a4b3e" /></Relationships>
</file>

<file path=xl/worksheets/_rels/sheet5.xml.rels>&#65279;<?xml version="1.0" encoding="utf-8"?><Relationships xmlns="http://schemas.openxmlformats.org/package/2006/relationships"><Relationship Type="http://schemas.openxmlformats.org/officeDocument/2006/relationships/table" Target="/xl/tables/table4.xml" Id="R4675e6bc523b4da0" /></Relationships>
</file>

<file path=xl/worksheets/_rels/sheet6.xml.rels>&#65279;<?xml version="1.0" encoding="utf-8"?><Relationships xmlns="http://schemas.openxmlformats.org/package/2006/relationships"><Relationship Type="http://schemas.openxmlformats.org/officeDocument/2006/relationships/table" Target="/xl/tables/table5.xml" Id="Rf11a3420c4d6471e"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v>9</x:v>
      </x:c>
      <x:c r="C6" s="1"/>
      <x:c r="D6" s="1"/>
      <x:c r="E6" s="1"/>
      <x:c r="F6" s="1"/>
      <x:c r="G6" s="1"/>
      <x:c r="H6" s="1"/>
      <x:c r="I6" s="1"/>
      <x:c r="J6" s="1"/>
    </x:row>
    <x:row r="7">
      <x:c r="A7" s="1" t="str">
        <x:v>Open theses</x:v>
      </x:c>
      <x:c r="B7" s="40" t="n">
        <x:v>7</x:v>
      </x:c>
      <x:c r="C7" s="1"/>
      <x:c r="D7" s="1"/>
      <x:c r="E7" s="1"/>
      <x:c r="F7" s="1"/>
      <x:c r="G7" s="1"/>
      <x:c r="H7" s="1"/>
      <x:c r="I7" s="1"/>
      <x:c r="J7" s="1"/>
    </x:row>
    <x:row r="8">
      <x:c r="A8" s="1" t="str">
        <x:v>Evaluated theses</x:v>
      </x:c>
      <x:c r="B8" s="40" t="n">
        <x:f>COUNT('Thesis Ledger'!$AD$6:$AD$205)</x:f>
        <x:v>0</x:v>
      </x:c>
      <x:c r="C8" s="1"/>
      <x:c r="D8" s="1"/>
      <x:c r="E8" s="1"/>
      <x:c r="F8" s="1"/>
      <x:c r="G8" s="1"/>
      <x:c r="H8" s="1"/>
      <x:c r="I8" s="1"/>
      <x:c r="J8" s="1"/>
    </x:row>
    <x:row r="9">
      <x:c r="A9" s="1" t="str">
        <x:v>Average prediction score</x:v>
      </x:c>
      <x:c r="B9" s="41" t="str">
        <x:f>IFERROR(AVERAGE('Thesis Ledger'!$AD$6:$AD$205),"")</x:f>
      </x:c>
      <x:c r="C9" s="1"/>
      <x:c r="D9" s="1"/>
      <x:c r="E9" s="1"/>
      <x:c r="F9" s="1"/>
      <x:c r="G9" s="1"/>
      <x:c r="H9" s="1"/>
      <x:c r="I9" s="1"/>
      <x:c r="J9" s="1"/>
    </x:row>
    <x:row r="10">
      <x:c r="A10" s="35" t="str">
        <x:v>Preferred entry theses</x:v>
      </x:c>
      <x:c r="B10" s="42" t="n">
        <x:f>COUNTIF('Thesis Ledger'!$M$6:$M$205,"PREFERRED")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Saudi rerouting through Oman and expected East-West pipeline repair are improving adaptation. Brent settled 0.95% lower at $104.82 and WTI 0.5% lower at $101.91 on September 17. Negotiations, restored bypass capacity or normalized Hormuz traffic could compress the war premium quickly.</x:v>
      </x:c>
      <x:c r="R6" s="29" t="str">
        <x:v>Mr Global remains an enhancer only; no new independently logged enhancer changed the thesis.</x:v>
      </x:c>
      <x:c r="S6" s="29" t="str">
        <x:v>Mixed confirmation at the September 17 close: BNO is up 6.47% and USO 7.41% from the September 8 open, while XOP is down 0.64%. Brent at $104.82 and WTI at $101.91 remain elevated, but both fell as Saudi rerouting and repair expectations increased. The thesis remains intact while remaining trading edge stays limited.</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after the scheduled September 18 evaluation. Economic variable: Yes — the global crude supply-risk premium rose materially. Direction: Yes — Brent, WTI and direct crude funds moved higher. Timing: Yes — the change occurred inside the days-to-weeks horizon. Investment expression: Yes — at the September 17 close BNO was +6.47%, USO +7.41%, XOP -0.64%, and the three-position paper portfolio +4.41%; direct commodity funds worked while the conditional producer-equity expression did not confirm. Entry discipline: Yes — WAIT prevented a new headline-chasing entry after the breakout and before the subsequent pullback. No real trade was made. Ongoing refined-product scarcity remains tracked separately under EEI-2026-009.</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September 14 Reuters/Ipsos national survey showed a wider generic congressional-ballot gap than earlier surveys. This is evidence of changing national sentiment, not confirmation of House or Senate control; district- and state-level contests remain decisive.</x:v>
      </x:c>
      <x:c r="O8" s="29" t="str">
        <x:v>Expected changes in fiscal, regulatory and sector policy could alter risk appetite and relative performance.</x:v>
      </x:c>
      <x:c r="P8" s="29" t="str">
        <x:v>The first full post-Fed session materially improved market confirmation. Reuters reported all 11 S&amp;P 500 sectors higher, advancing issues ahead of decliners by 4.17-to-one on the NYSE and 3.5-to-one on Nasdaq, and VIX down to 15.70. IWM and XBI outperformed SPY while Brent and the 10-year Treasury yield eased. FactSet's September earnings review also showed aggregate Q3 and full-year 2026 EPS estimates rising rather than falling during July and August.</x:v>
      </x:c>
      <x:c r="Q8" s="29" t="str">
        <x:v>The move is not election-specific. Reuters attributed the rally to relief after the Fed decision and falling oil, while technology again led. At about 10:51 a.m. ET, RSP still lagged SPY, XLF was negative and XLI was only modestly higher. The Fed signaled that more tightening may be needed, and markets assigned roughly a 49% chance to another October increase. Congressional control remains unsettled, so the political-uncertainty trigger itself has not resolved.</x:v>
      </x:c>
      <x:c r="R8" s="29"/>
      <x:c r="S8" s="29" t="str">
        <x:v>At about 10:51 a.m. ET on September 17, SPY was up 0.95%, RSP 0.42%, IWM 1.14%, XLI 0.21%, XLB 0.58%, XLV 0.39%, XBI 3.69% and CPER 3.42%; XLF was down 0.45%. Reuters separately reported all sectors higher, strongly positive exchange breadth, VIX at 15.70, a lower 10-year yield and Brent near $102.90. This is the best broad risk-on session of the current review, but equal weight and financials still do not confirm a complete rotation.</x:v>
      </x:c>
      <x:c r="T8" s="29" t="str">
        <x:v>IWM and XBI deserve the closest conditional attention after outperforming SPY, but one post-Fed session is insufficient and both need follow-through. RSP versus SPY remains the core breadth test. XLB is a secondary watch; CPER's 3.4% intraday jump increases headline-chasing risk. XLI and XLV require renewed relative strength. XLF remains unconfirmed while the rate path and credit conditions are unsettled. SPY remains the broad-market expression if participation becomes sustained.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17 delivered a meaningful improvement in market breadth and volatility after the Fed decision and another drop in crude. Small caps and biotech outperformed, but equal weight still lagged SPY, financials declined and the rally was not tied to a resolved election or policy outcome. Classification remains Developing; the existing confidence and trading-edge fields are unchanged. Entry Window remains WAIT and inactive until the thesis becomes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ExxonMobil's 275,000-bpd Joliet refinery also remained offline after flooding and a power outage, removing roughly 11 million gallons per day of gasoline and diesel supply from the U.S. Midwest while global fuel markets were already tight.</x:v>
      </x:c>
      <x:c r="Q14" s="29" t="str">
        <x:v>Crude-supply adaptation through Saudi rerouting and expected pipeline repair could normalize feedstock availability. Aramco plans to restore roughly 1.0-1.5 million bpd of Gulf exports through ship-to-ship transfers near Oman, while Chinese refined-product exports rose 12.7% year over year in August. Demand destruction, subsidies, exports and refinery restarts can compress cracks quickly.</x:v>
      </x:c>
      <x:c r="R14" s="29"/>
      <x:c r="S14" s="29" t="str">
        <x:v>Strong cross-market confirmation: record diesel and gasoil futures, record Asian cracks, very low European inventories, refinery outages and regional export rationing all point to a product-specific shortage even as crude prices eased.</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18 added another meaningful physical confirmation: the 275,000-bpd Joliet refinery remained offline in an already constrained global fuel market. The thesis remains Actionable at confidence 5/5, trading edge 1/5 and Entry Window WAIT. Record cracks and strong refinery-share performance still create headline-chasing risk, while Saudi rerouting, pipeline repair, Chinese product exports and eventual refinery restarts are the main normalization paths.</x:v>
      </x:c>
      <x:c r="AE14" s="31" t="str">
        <x:f>IF(COUNTA(Y14:AC14)=0,"",COUNTIF(Y14:AC14,"Yes")/COUNTA(Y14:AC14))</x:f>
      </x:c>
    </x:row>
    <x:row r="15">
      <x:c r="A15" s="27"/>
      <x:c r="B15" s="27"/>
      <x:c r="C15" s="27"/>
      <x:c r="D15" s="30"/>
      <x:c r="E15" s="30"/>
      <x:c r="F15" s="27"/>
      <x:c r="G15" s="27"/>
      <x:c r="H15" s="27"/>
      <x:c r="I15" s="27"/>
      <x:c r="J15" s="27"/>
      <x:c r="K15" s="27"/>
      <x:c r="L15" s="27"/>
      <x:c r="M15" s="27"/>
      <x:c r="N15" s="29"/>
      <x:c r="O15" s="29"/>
      <x:c r="P15" s="29"/>
      <x:c r="Q15" s="29"/>
      <x:c r="R15" s="29"/>
      <x:c r="S15" s="29"/>
      <x:c r="T15" s="29"/>
      <x:c r="U15" s="29"/>
      <x:c r="V15" s="43"/>
      <x:c r="W15" s="43"/>
      <x:c r="X15" s="43"/>
      <x:c r="Y15" s="29"/>
      <x:c r="Z15" s="29"/>
      <x:c r="AA15" s="29"/>
      <x:c r="AB15" s="29"/>
      <x:c r="AC15" s="29"/>
      <x:c r="AD15" s="29"/>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a5f99af585474697"/>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C111" s="21"/>
      <x:c r="G111" s="44"/>
      <x:c r="H111" s="44"/>
      <x:c r="I111" s="44"/>
      <x:c r="J111" s="44"/>
      <x:c r="K111" s="44"/>
    </x:row>
    <x:row r="112">
      <x:c r="C112" s="21"/>
      <x:c r="G112" s="44"/>
      <x:c r="H112" s="44"/>
      <x:c r="I112" s="44"/>
      <x:c r="J112" s="44"/>
      <x:c r="K112" s="44"/>
    </x:row>
    <x:row r="113">
      <x:c r="C113" s="21"/>
      <x:c r="G113" s="44"/>
      <x:c r="H113" s="44"/>
      <x:c r="I113" s="44"/>
      <x:c r="J113" s="44"/>
      <x:c r="K113" s="44"/>
    </x:row>
    <x:row r="114">
      <x:c r="C114" s="21"/>
      <x:c r="G114" s="44"/>
      <x:c r="H114" s="44"/>
      <x:c r="I114" s="44"/>
      <x:c r="J114" s="44"/>
      <x:c r="K114" s="44"/>
    </x:row>
    <x:row r="115">
      <x:c r="C115" s="21"/>
      <x:c r="G115" s="44"/>
      <x:c r="H115" s="44"/>
      <x:c r="I115" s="44"/>
      <x:c r="J115" s="44"/>
      <x:c r="K115" s="44"/>
    </x:row>
    <x:row r="116">
      <x:c r="C116" s="21"/>
      <x:c r="G116" s="44"/>
      <x:c r="H116" s="44"/>
      <x:c r="I116" s="44"/>
      <x:c r="J116" s="44"/>
      <x:c r="K116" s="44"/>
    </x:row>
    <x:row r="117">
      <x:c r="C117" s="21"/>
      <x:c r="G117" s="44"/>
      <x:c r="H117" s="44"/>
      <x:c r="I117" s="44"/>
      <x:c r="J117" s="44"/>
      <x:c r="K117" s="44"/>
    </x:row>
    <x:row r="118">
      <x:c r="C118" s="21"/>
      <x:c r="G118" s="44"/>
      <x:c r="H118" s="44"/>
      <x:c r="I118" s="44"/>
      <x:c r="J118" s="44"/>
      <x:c r="K118" s="44"/>
    </x:row>
    <x:row r="119">
      <x:c r="C119" s="21"/>
      <x:c r="G119" s="44"/>
      <x:c r="H119" s="44"/>
      <x:c r="I119" s="44"/>
      <x:c r="J119" s="44"/>
      <x:c r="K119" s="44"/>
    </x:row>
    <x:row r="120">
      <x:c r="C120" s="21"/>
      <x:c r="G120" s="44"/>
      <x:c r="H120" s="44"/>
      <x:c r="I120" s="44"/>
      <x:c r="J120" s="44"/>
      <x:c r="K120" s="44"/>
    </x:row>
    <x:row r="121">
      <x:c r="C121" s="21"/>
      <x:c r="G121" s="44"/>
      <x:c r="H121" s="44"/>
      <x:c r="I121" s="44"/>
      <x:c r="J121" s="44"/>
      <x:c r="K121" s="44"/>
    </x:row>
    <x:row r="122">
      <x:c r="C122" s="21"/>
      <x:c r="G122" s="44"/>
      <x:c r="H122" s="44"/>
      <x:c r="I122" s="44"/>
      <x:c r="J122" s="44"/>
      <x:c r="K122" s="44"/>
    </x:row>
    <x:row r="123">
      <x:c r="C123" s="21"/>
      <x:c r="G123" s="44"/>
      <x:c r="H123" s="44"/>
      <x:c r="I123" s="44"/>
      <x:c r="J123" s="44"/>
      <x:c r="K123" s="44"/>
    </x:row>
    <x:row r="124">
      <x:c r="C124" s="21"/>
      <x:c r="G124" s="44"/>
      <x:c r="H124" s="44"/>
      <x:c r="I124" s="44"/>
      <x:c r="J124" s="44"/>
      <x:c r="K124" s="44"/>
    </x:row>
    <x:row r="125">
      <x:c r="C125" s="21"/>
      <x:c r="G125" s="44"/>
      <x:c r="H125" s="44"/>
      <x:c r="I125" s="44"/>
      <x:c r="J125" s="44"/>
      <x:c r="K125" s="44"/>
    </x:row>
    <x:row r="126">
      <x:c r="C126" s="21"/>
      <x:c r="G126" s="44"/>
      <x:c r="H126" s="44"/>
      <x:c r="I126" s="44"/>
      <x:c r="J126" s="44"/>
      <x:c r="K126" s="44"/>
    </x:row>
    <x:row r="127">
      <x:c r="C127" s="21"/>
      <x:c r="G127" s="44"/>
      <x:c r="H127" s="44"/>
      <x:c r="I127" s="44"/>
      <x:c r="J127" s="44"/>
      <x:c r="K127" s="44"/>
    </x:row>
    <x:row r="128">
      <x:c r="C128" s="21"/>
      <x:c r="G128" s="44"/>
      <x:c r="H128" s="44"/>
      <x:c r="I128" s="44"/>
      <x:c r="J128" s="44"/>
      <x:c r="K128" s="44"/>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a50b73eb0f144657"/>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53e2e3d6491a4b3e"/>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60.91</x:v>
      </x:c>
      <x:c r="K6" s="46" t="n">
        <x:f>I6*J6</x:f>
        <x:v>1064.6740080405523</x:v>
      </x:c>
      <x:c r="L6" s="46" t="n">
        <x:f>K6-H6</x:f>
        <x:v>64.67400804055228</x:v>
      </x:c>
      <x:c r="M6" s="48" t="n">
        <x:f>L6/H6</x:f>
        <x:v>0.06467400804055227</x:v>
      </x:c>
      <x:c r="N6" s="30"/>
      <x:c r="O6" s="32"/>
      <x:c r="P6" s="32" t="str">
        <x:f>IF(OR(I6="",O6=""),"",I6*O6)</x:f>
      </x:c>
      <x:c r="Q6" s="32" t="str">
        <x:f>IF(P6="","",P6-H6)</x:f>
      </x:c>
      <x:c r="R6" s="29" t="str">
        <x:v>09/17/26 close: $60.91; position value $1,064.67; +$64.67 (+6.47%). BNO remains the cleanest Brent-linked expression. It fell 1.30% today as Saudi rerouting through Oman and expected pipeline repairs reduced immediate scarcity fears, while the physical supply disruption remained unresolved. Entry Window remains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155.31</x:v>
      </x:c>
      <x:c r="K7" s="46" t="n">
        <x:f>I7*J7</x:f>
        <x:v>1074.0663900414938</x:v>
      </x:c>
      <x:c r="L7" s="46" t="n">
        <x:f>K7-H7</x:f>
        <x:v>74.06639004149383</x:v>
      </x:c>
      <x:c r="M7" s="48" t="n">
        <x:f>L7/H7</x:f>
        <x:v>0.07406639004149383</x:v>
      </x:c>
      <x:c r="N7" s="30"/>
      <x:c r="O7" s="32"/>
      <x:c r="P7" s="32" t="str">
        <x:f>IF(OR(I7="",O7=""),"",I7*O7)</x:f>
      </x:c>
      <x:c r="Q7" s="32" t="str">
        <x:f>IF(P7="","",P7-H7)</x:f>
      </x:c>
      <x:c r="R7" s="29" t="str">
        <x:v>09/17/26 close: $155.31; position value $1,074.07; +$74.07 (+7.41%). USO continues to confirm the predicted crude-price direction. It fell 0.55% today as new export workarounds offset some shortage risk. Entry Window remains WAIT because the paper entry followed a large headline move and reversal risk remains high.</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192.59</x:v>
      </x:c>
      <x:c r="K8" s="46" t="n">
        <x:f>I8*J8</x:f>
        <x:v>993.5513825835741</x:v>
      </x:c>
      <x:c r="L8" s="46" t="n">
        <x:f>K8-H8</x:f>
        <x:v>-6.448617416425918</x:v>
      </x:c>
      <x:c r="M8" s="48" t="n">
        <x:f>L8/H8</x:f>
        <x:v>-0.006448617416425918</x:v>
      </x:c>
      <x:c r="N8" s="30"/>
      <x:c r="O8" s="32"/>
      <x:c r="P8" s="32" t="str">
        <x:f>IF(OR(I8="",O8=""),"",I8*O8)</x:f>
      </x:c>
      <x:c r="Q8" s="32" t="str">
        <x:f>IF(P8="","",P8-H8)</x:f>
      </x:c>
      <x:c r="R8" s="29" t="str">
        <x:v>09/17/26 close: $192.59; position value $993.55; -$6.45 (-0.64%). XOP recovered 0.41% today but remains below entry and materially trails BNO and USO, confirming that producer equities are a weaker indirect expression of this crude-supply thesis.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4675e6bc523b4da0"/>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x:v>
      </x:c>
    </x:row>
    <x:row r="21">
      <x:c r="A21" s="27"/>
      <x:c r="B21" s="28"/>
      <x:c r="C21" s="27"/>
      <x:c r="D21" s="29"/>
      <x:c r="E21" s="29"/>
      <x:c r="F21" s="29"/>
      <x:c r="G21" s="29"/>
      <x:c r="H21" s="29"/>
      <x:c r="I21" s="29"/>
      <x:c r="J21" s="29"/>
    </x:row>
    <x:row r="22">
      <x:c r="A22" s="27"/>
      <x:c r="B22" s="28"/>
      <x:c r="C22" s="27"/>
      <x:c r="D22" s="29"/>
      <x:c r="E22" s="29"/>
      <x:c r="F22" s="29"/>
      <x:c r="G22" s="29"/>
      <x:c r="H22" s="29"/>
      <x:c r="I22" s="29"/>
      <x:c r="J22" s="29"/>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f11a3420c4d6471e"/>
  </x:tableParts>
</x:worksheet>
</file>