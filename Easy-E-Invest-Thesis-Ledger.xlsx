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2f60418c3ee4537" /></Relationships>
</file>

<file path=xl/workbook.xml><?xml version="1.0" encoding="utf-8"?>
<x:workbook xmlns:x="http://schemas.openxmlformats.org/spreadsheetml/2006/main">
  <x:sheets>
    <x:sheet xmlns:r="http://schemas.openxmlformats.org/officeDocument/2006/relationships" name="Summary" sheetId="1" r:id="R927eb7f379514390"/>
    <x:sheet xmlns:r="http://schemas.openxmlformats.org/officeDocument/2006/relationships" name="Thesis Ledger" sheetId="2" r:id="R3d7fe09655a6431d"/>
    <x:sheet xmlns:r="http://schemas.openxmlformats.org/officeDocument/2006/relationships" name="Evidence Log" sheetId="3" r:id="R81d20de96d744bfc"/>
    <x:sheet xmlns:r="http://schemas.openxmlformats.org/officeDocument/2006/relationships" name="Source Registry" sheetId="4" r:id="R1bf17565c83e466c"/>
    <x:sheet xmlns:r="http://schemas.openxmlformats.org/officeDocument/2006/relationships" name="Paper Trades" sheetId="5" r:id="R62f32060a35f48a9"/>
    <x:sheet xmlns:r="http://schemas.openxmlformats.org/officeDocument/2006/relationships" name="Scan Runs" sheetId="6" r:id="R7788f549faab437c"/>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40aabd41d9749b9" /><Relationship Type="http://schemas.openxmlformats.org/officeDocument/2006/relationships/theme" Target="/xl/theme/theme1.xml" Id="R76202bd788f3406e" /><Relationship Type="http://schemas.openxmlformats.org/officeDocument/2006/relationships/sharedStrings" Target="/xl/sharedStrings.xml" Id="R33198472f8eb45b4" /><Relationship Type="http://schemas.openxmlformats.org/officeDocument/2006/relationships/worksheet" Target="/xl/worksheets/sheet1.xml" Id="R927eb7f379514390" /><Relationship Type="http://schemas.openxmlformats.org/officeDocument/2006/relationships/worksheet" Target="/xl/worksheets/sheet2.xml" Id="R3d7fe09655a6431d" /><Relationship Type="http://schemas.openxmlformats.org/officeDocument/2006/relationships/worksheet" Target="/xl/worksheets/sheet3.xml" Id="R81d20de96d744bfc" /><Relationship Type="http://schemas.openxmlformats.org/officeDocument/2006/relationships/worksheet" Target="/xl/worksheets/sheet4.xml" Id="R1bf17565c83e466c" /><Relationship Type="http://schemas.openxmlformats.org/officeDocument/2006/relationships/worksheet" Target="/xl/worksheets/sheet5.xml" Id="R62f32060a35f48a9" /><Relationship Type="http://schemas.openxmlformats.org/officeDocument/2006/relationships/worksheet" Target="/xl/worksheets/sheet6.xml" Id="R7788f549faab437c"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4cd3c52e8ac4ff3" /></Relationships>
</file>

<file path=xl/worksheets/_rels/sheet3.xml.rels>&#65279;<?xml version="1.0" encoding="utf-8"?><Relationships xmlns="http://schemas.openxmlformats.org/package/2006/relationships"><Relationship Type="http://schemas.openxmlformats.org/officeDocument/2006/relationships/table" Target="/xl/tables/table2.xml" Id="R752c5c0e514048d4" /></Relationships>
</file>

<file path=xl/worksheets/_rels/sheet4.xml.rels>&#65279;<?xml version="1.0" encoding="utf-8"?><Relationships xmlns="http://schemas.openxmlformats.org/package/2006/relationships"><Relationship Type="http://schemas.openxmlformats.org/officeDocument/2006/relationships/table" Target="/xl/tables/table3.xml" Id="R3eaef1ae0660482f" /></Relationships>
</file>

<file path=xl/worksheets/_rels/sheet5.xml.rels>&#65279;<?xml version="1.0" encoding="utf-8"?><Relationships xmlns="http://schemas.openxmlformats.org/package/2006/relationships"><Relationship Type="http://schemas.openxmlformats.org/officeDocument/2006/relationships/table" Target="/xl/tables/table4.xml" Id="Rae167cd8115b4934" /></Relationships>
</file>

<file path=xl/worksheets/_rels/sheet6.xml.rels>&#65279;<?xml version="1.0" encoding="utf-8"?><Relationships xmlns="http://schemas.openxmlformats.org/package/2006/relationships"><Relationship Type="http://schemas.openxmlformats.org/officeDocument/2006/relationships/table" Target="/xl/tables/table5.xml" Id="Rf88f04fd33a1489b"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18</x:v>
      </x:c>
      <x:c r="C6" s="1"/>
      <x:c r="D6" s="1"/>
      <x:c r="E6" s="1"/>
      <x:c r="F6" s="1"/>
      <x:c r="G6" s="1"/>
      <x:c r="H6" s="1"/>
      <x:c r="I6" s="1"/>
      <x:c r="J6" s="1"/>
    </x:row>
    <x:row r="7">
      <x:c r="A7" s="1" t="str">
        <x:v>Open theses</x:v>
      </x:c>
      <x:c r="B7" s="40" t="n">
        <x:f>COUNTIFS('Thesis Ledger'!A6:A200,"&lt;&gt;",'Thesis Ledger'!F6:F200,"&lt;&gt;Closed",'Thesis Ledger'!F6:F200,"&lt;&gt;Invalidated")</x:f>
        <x:v>16</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54cd3c52e8ac4ff3"/>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752c5c0e514048d4"/>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3eaef1ae0660482f"/>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63.99</x:v>
      </x:c>
      <x:c r="K6" s="46" t="n">
        <x:f>I6*J6</x:f>
        <x:v>1118.5107498689042</x:v>
      </x:c>
      <x:c r="L6" s="46" t="n">
        <x:f>K6-H6</x:f>
        <x:v>118.51074986890421</x:v>
      </x:c>
      <x:c r="M6" s="48" t="n">
        <x:f>L6/H6</x:f>
        <x:v>0.11851074986890421</x:v>
      </x:c>
      <x:c r="N6" s="30"/>
      <x:c r="O6" s="32"/>
      <x:c r="P6" s="32" t="str">
        <x:f>IF(OR(I6="",O6=""),"",I6*O6)</x:f>
      </x:c>
      <x:c r="Q6" s="32" t="str">
        <x:f>IF(P6="","",P6-H6)</x:f>
      </x:c>
      <x:c r="R6" s="29" t="str">
        <x:v>10/09/26 close: $63.99; position value $1,118.51; +$118.51 (+11.85%). BNO gained 0.55% as Brent settled at $104.72. Direct Brent exposure remains the strongest cumulative expression, but productive U.S.-Iran talks and alternative export routes keep the extended hold headline-sensitive.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148.2</x:v>
      </x:c>
      <x:c r="K7" s="46" t="n">
        <x:f>I7*J7</x:f>
        <x:v>1024.8962655601658</x:v>
      </x:c>
      <x:c r="L7" s="46" t="n">
        <x:f>K7-H7</x:f>
        <x:v>24.89626556016583</x:v>
      </x:c>
      <x:c r="M7" s="48" t="n">
        <x:f>L7/H7</x:f>
        <x:v>0.02489626556016583</x:v>
      </x:c>
      <x:c r="N7" s="30"/>
      <x:c r="O7" s="32"/>
      <x:c r="P7" s="32" t="str">
        <x:f>IF(OR(I7="",O7=""),"",I7*O7)</x:f>
      </x:c>
      <x:c r="Q7" s="32" t="str">
        <x:f>IF(P7="","",P7-H7)</x:f>
      </x:c>
      <x:c r="R7" s="29" t="str">
        <x:v>10/09/26 close: $148.20; position value $1,024.90; +$24.90 (+2.49%). USO gained 0.42% as WTI settled at $91.85. U.S. Gulf hurricane shut-ins supported the session, while the smaller cumulative gain versus BNO continues to show expression differences.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191.52</x:v>
      </x:c>
      <x:c r="K8" s="46" t="n">
        <x:f>I8*J8</x:f>
        <x:v>988.0313660751135</x:v>
      </x:c>
      <x:c r="L8" s="46" t="n">
        <x:f>K8-H8</x:f>
        <x:v>-11.96863392488649</x:v>
      </x:c>
      <x:c r="M8" s="48" t="n">
        <x:f>L8/H8</x:f>
        <x:v>-0.01196863392488649</x:v>
      </x:c>
      <x:c r="N8" s="30"/>
      <x:c r="O8" s="32"/>
      <x:c r="P8" s="32" t="str">
        <x:f>IF(OR(I8="",O8=""),"",I8*O8)</x:f>
      </x:c>
      <x:c r="Q8" s="32" t="str">
        <x:f>IF(P8="","",P8-H8)</x:f>
      </x:c>
      <x:c r="R8" s="29" t="str">
        <x:v>10/09/26 close: $191.52; position value $988.03; -$11.97 (-1.20%). XOP fell 1.02% despite higher crude, reinforcing that producer equities were the weakest and least direct expression of the original supply-risk thesis.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ae167cd8115b493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f88f04fd33a1489b"/>
  </x:tableParts>
</x:worksheet>
</file>