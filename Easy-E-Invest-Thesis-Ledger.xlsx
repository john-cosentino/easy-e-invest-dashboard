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4a6029a4f0d46c8" /></Relationships>
</file>

<file path=xl/workbook.xml><?xml version="1.0" encoding="utf-8"?>
<x:workbook xmlns:x="http://schemas.openxmlformats.org/spreadsheetml/2006/main">
  <x:sheets>
    <x:sheet xmlns:r="http://schemas.openxmlformats.org/officeDocument/2006/relationships" name="Summary" sheetId="1" r:id="Rfb55db32b4024987"/>
    <x:sheet xmlns:r="http://schemas.openxmlformats.org/officeDocument/2006/relationships" name="Thesis Ledger" sheetId="2" r:id="R116d08c66774457f"/>
    <x:sheet xmlns:r="http://schemas.openxmlformats.org/officeDocument/2006/relationships" name="Evidence Log" sheetId="3" r:id="R875a6398770e4414"/>
    <x:sheet xmlns:r="http://schemas.openxmlformats.org/officeDocument/2006/relationships" name="Source Registry" sheetId="4" r:id="Rd68a38a1bf374147"/>
    <x:sheet xmlns:r="http://schemas.openxmlformats.org/officeDocument/2006/relationships" name="Paper Trades" sheetId="5" r:id="Rb2cf1d30af8d4903"/>
    <x:sheet xmlns:r="http://schemas.openxmlformats.org/officeDocument/2006/relationships" name="Scan Runs" sheetId="6" r:id="R19441f37ea3d41dd"/>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ecfe843ce644c9b" /><Relationship Type="http://schemas.openxmlformats.org/officeDocument/2006/relationships/theme" Target="/xl/theme/theme1.xml" Id="Rafbcd47724394e42" /><Relationship Type="http://schemas.openxmlformats.org/officeDocument/2006/relationships/sharedStrings" Target="/xl/sharedStrings.xml" Id="Re39dd6e85575478a" /><Relationship Type="http://schemas.openxmlformats.org/officeDocument/2006/relationships/worksheet" Target="/xl/worksheets/sheet1.xml" Id="Rfb55db32b4024987" /><Relationship Type="http://schemas.openxmlformats.org/officeDocument/2006/relationships/worksheet" Target="/xl/worksheets/sheet2.xml" Id="R116d08c66774457f" /><Relationship Type="http://schemas.openxmlformats.org/officeDocument/2006/relationships/worksheet" Target="/xl/worksheets/sheet3.xml" Id="R875a6398770e4414" /><Relationship Type="http://schemas.openxmlformats.org/officeDocument/2006/relationships/worksheet" Target="/xl/worksheets/sheet4.xml" Id="Rd68a38a1bf374147" /><Relationship Type="http://schemas.openxmlformats.org/officeDocument/2006/relationships/worksheet" Target="/xl/worksheets/sheet5.xml" Id="Rb2cf1d30af8d4903" /><Relationship Type="http://schemas.openxmlformats.org/officeDocument/2006/relationships/worksheet" Target="/xl/worksheets/sheet6.xml" Id="R19441f37ea3d41dd"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31f8d9d205f42f7" /></Relationships>
</file>

<file path=xl/worksheets/_rels/sheet3.xml.rels>&#65279;<?xml version="1.0" encoding="utf-8"?><Relationships xmlns="http://schemas.openxmlformats.org/package/2006/relationships"><Relationship Type="http://schemas.openxmlformats.org/officeDocument/2006/relationships/table" Target="/xl/tables/table2.xml" Id="R2d94a65770f74aca" /></Relationships>
</file>

<file path=xl/worksheets/_rels/sheet4.xml.rels>&#65279;<?xml version="1.0" encoding="utf-8"?><Relationships xmlns="http://schemas.openxmlformats.org/package/2006/relationships"><Relationship Type="http://schemas.openxmlformats.org/officeDocument/2006/relationships/table" Target="/xl/tables/table3.xml" Id="R2df3422f416a4cb6" /></Relationships>
</file>

<file path=xl/worksheets/_rels/sheet5.xml.rels>&#65279;<?xml version="1.0" encoding="utf-8"?><Relationships xmlns="http://schemas.openxmlformats.org/package/2006/relationships"><Relationship Type="http://schemas.openxmlformats.org/officeDocument/2006/relationships/table" Target="/xl/tables/table4.xml" Id="Ra5112f12e4f640b3" /></Relationships>
</file>

<file path=xl/worksheets/_rels/sheet6.xml.rels>&#65279;<?xml version="1.0" encoding="utf-8"?><Relationships xmlns="http://schemas.openxmlformats.org/package/2006/relationships"><Relationship Type="http://schemas.openxmlformats.org/officeDocument/2006/relationships/table" Target="/xl/tables/table5.xml" Id="R26ed558977c4420c"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26</x:v>
      </x:c>
      <x:c r="C6" s="1"/>
      <x:c r="D6" s="1"/>
      <x:c r="E6" s="1"/>
      <x:c r="F6" s="1"/>
      <x:c r="G6" s="1"/>
      <x:c r="H6" s="1"/>
      <x:c r="I6" s="1"/>
      <x:c r="J6" s="1"/>
    </x:row>
    <x:row r="7">
      <x:c r="A7" s="1" t="str">
        <x:v>Open theses</x:v>
      </x:c>
      <x:c r="B7" s="40" t="n">
        <x:f>COUNTIFS('Thesis Ledger'!A6:A200,"&lt;&gt;",'Thesis Ledger'!F6:F200,"&lt;&gt;Closed",'Thesis Ledger'!F6:F200,"&lt;&gt;Invalidated")</x:f>
        <x:v>24</x:v>
      </x:c>
      <x:c r="C7" s="1"/>
      <x:c r="D7" s="1"/>
      <x:c r="E7" s="1"/>
      <x:c r="F7" s="1"/>
      <x:c r="G7" s="1"/>
      <x:c r="H7" s="1"/>
      <x:c r="I7" s="1"/>
      <x:c r="J7" s="1"/>
    </x:row>
    <x:row r="8">
      <x:c r="A8" s="1" t="str">
        <x:v>Evaluated theses</x:v>
      </x:c>
      <x:c r="B8" s="40" t="n">
        <x:f>COUNT('Thesis Ledger'!AE6:AE200)</x:f>
        <x:v>6</x:v>
      </x:c>
      <x:c r="C8" s="1"/>
      <x:c r="D8" s="1"/>
      <x:c r="E8" s="1"/>
      <x:c r="F8" s="1"/>
      <x:c r="G8" s="1"/>
      <x:c r="H8" s="1"/>
      <x:c r="I8" s="1"/>
      <x:c r="J8" s="1"/>
    </x:row>
    <x:row r="9">
      <x:c r="A9" s="1" t="str">
        <x:v>Average prediction score</x:v>
      </x:c>
      <x:c r="B9" s="55" t="n">
        <x:f>IFERROR(AVERAGE('Thesis Ledger'!AE6:AE200),"")</x:f>
        <x:v>0.6</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REJECT 2026-10-27</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At 9:32 a.m. ET regular-session checkpoint (15-minute-delayed public feed), BA traded at $184.65 after Q3 results. Boeing reported positive free cash flow and better Defense revenue and margin, but the adjusted loss was worse than expected and commercial production problems still dominated the market read. The PAC-3 action remains an undefinitized ceiling without disclosed funded obligations.</x:v>
      </x:c>
      <x:c r="T23" s="29" t="str">
        <x:v>REJECT a Boeing paper entry. The PAC-3 demand mechanism remains plausible, but the listed equity is dominated by commercial-aircraft execution, debt and fixed-price program risk. Reopen only after definitization, funded obligations, backlog recognition and evidence of profitable defense conversion.</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2026-11-27T14:30:00.000Z</x:v>
      </x:c>
      <x:c r="X23" s="43"/>
      <x:c r="Y23" s="29"/>
      <x:c r="Z23" s="29"/>
      <x:c r="AA23" s="29"/>
      <x:c r="AB23" s="29"/>
      <x:c r="AC23" s="29"/>
      <x:c r="AD23" s="29" t="str">
        <x:v>October 27 due review: convert the legacy WAIT to REJECT. Q3 Defense revenue and margin improved and free cash flow turned positive, but the adjusted loss missed expectations, commercial production problems persist and the PAC-3 ceiling remains undefinitized and unfunded in the public record. BA was $184.65 at 9:32 a.m. ET regular-session checkpoint (15-minute-delayed public feed). Status stays Developing at confidence 3/5 and edge 1/5. Frozen prediction preserved.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REJECT 2026-10-17</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TRV closed October 16 at $389.54 after opening at $370.00 and trading as high as $390.91. It finished 6.72% above the proposed $365 entry and only 2.30% below its 52-week high, on more than twice average volume. The fundamental thesis remains supported, but the original entry edge was consumed.</x:v>
      </x:c>
      <x:c r="T26" s="29" t="str">
        <x:v>REJECT the stale $365 proposal and do not chase at $389.54. If TRV is reconsidered, use a fresh regular-session quote and label it ACTIONABLE NOW only when the current market price still offers acceptable downside-to-reward; no limit-order alert is intended for the user.</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d">
        <x:v>2026-11-26T14:30:00.000Z</x:v>
      </x:c>
      <x:c r="X26" s="43"/>
      <x:c r="Y26" s="29"/>
      <x:c r="Z26" s="29"/>
      <x:c r="AA26" s="29"/>
      <x:c r="AB26" s="29"/>
      <x:c r="AC26" s="29" t="str">
        <x:v>8:33 a.m. ET premarket checkpoint review: TRV's last official close was $398.28. The prior $365 proposal remains withdrawn and no position exists. Strong underwriting evidence persists, but the reference price still fails the original valuation discipline and no new catalyst justifies a market-price chase. Review again after the next operating update or a materially better price.</x:v>
      </x:c>
      <x:c r="AD26" s="29" t="str">
        <x:v>New October 16 thesis. Proposed pending order, not an actual position. Review on October 23: execute only with qualifying price and complete execution/capital evidence, renew only with new evidence, or reject. Frozen initial prediction preserved. October 17 execution-preference review: REJECT and withdraw the proposed $365 pending order. The user does not intend to use limit orders, TRV closed at $389.54, and a stale setup cannot be converted into a market-price chase. Recheck only with a fresh regular-session quote and acceptable current-price risk/reward. No position or fill exists. October 19 review: REJECT remains in force. No fresh regular-session quote was available before this scan, the $365 proposal stays withdrawn and no position exists. Next evidence checkpoint October 26; reassess only with a current-price risk/reward case.</x:v>
      </x:c>
      <x:c r="AE26" s="31" t="n">
        <x:f>IF(COUNTIF(Y26:AC26,"&lt;&gt;")=0,"",COUNTIF(Y26:AC26,"Yes")/COUNTA(Y26:AC26))</x:f>
        <x:v>0</x:v>
      </x:c>
    </x:row>
    <x:row r="27">
      <x:c r="A27" s="27" t="str">
        <x:v>EEI-2026-022</x:v>
      </x:c>
      <x:c r="B27" s="27" t="str">
        <x:v>AT&amp;T connectivity growth and valuation dislocation</x:v>
      </x:c>
      <x:c r="C27" s="27" t="str">
        <x:v>Communication services and telecom</x:v>
      </x:c>
      <x:c r="D27" s="30" t="d">
        <x:v>2026-10-21T13:46:46.000Z</x:v>
      </x:c>
      <x:c r="E27" s="30" t="d">
        <x:v>2026-10-21T13:46:46.000Z</x:v>
      </x:c>
      <x:c r="F27" s="27" t="str">
        <x:v>Developing</x:v>
      </x:c>
      <x:c r="G27" s="27" t="str">
        <x:v>Earnings, guidance and valuation dislocation</x:v>
      </x:c>
      <x:c r="H27" s="27" t="str">
        <x:v>Advanced Connectivity service revenue, subscribers, free cash flow and net leverage</x:v>
      </x:c>
      <x:c r="I27" s="27" t="str">
        <x:v>Up</x:v>
      </x:c>
      <x:c r="J27" s="27" t="str">
        <x:v>Six to eighteen months</x:v>
      </x:c>
      <x:c r="K27" s="27" t="n">
        <x:v>3</x:v>
      </x:c>
      <x:c r="L27" s="27" t="n">
        <x:v>2</x:v>
      </x:c>
      <x:c r="M27" s="27" t="str">
        <x:v>REJECT 2026-10-23</x:v>
      </x:c>
      <x:c r="N27" s="29" t="str">
        <x:v>AT&amp;T reported faster revenue, adjusted EPS, EBITDA and Advanced Connectivity growth, raised 2026 adjusted-EPS guidance to about $2.40 and reiterated at least $18B of free cash flow. The shares traded at $22.01 at 9:31 a.m. ET (15-minute-delayed public feed), within the precommitted $23.50 no-chase ceiling.</x:v>
      </x:c>
      <x:c r="O27" s="29" t="str">
        <x:v>Fiber, fixed wireless and postpaid subscriber additions should expand higher-quality connectivity revenue and cash generation. At the observed price, the equity is valued below ten times raised adjusted EPS and carries a meaningful dividend-plus-buyback yield before growth, providing potential rerating room if debt reduction and legacy-cost removal hold.</x:v>
      </x:c>
      <x:c r="P27" s="29" t="str">
        <x:v>AT&amp;T's primary Q3 release reported revenue of $32.3B, up 5.3%; adjusted EPS of $0.65; adjusted EBITDA of $12.5B, up 5.4%; operating cash flow of $10.5B; free cash flow of $5.0B; Advanced Connectivity service revenue up 6.1%; and 442,000 fiber, 327,000 fixed-wireless and 379,000 postpaid-phone net additions. Reuters independently confirmed the revenue and EPS beats and raised outlook.</x:v>
      </x:c>
      <x:c r="Q27" s="29" t="str">
        <x:v>Net debt remained $149.8B and total debt $159.6B; management does not expect to reach roughly 2.5 times leverage until 2029. Legacy revenue fell 24.5%, Mexico produced a $2.6B impairment, capital intensity remains high, and the initial market reaction was negative despite the beat. On October 22, Reuters reported that SpaceX was discussing access to at least 80,000 U.S. cell sites, potentially enabling a fourth nationwide carrier and creating a direct long-horizon contradiction to AT&amp;T's competitive-position assumptions.</x:v>
      </x:c>
      <x:c r="R27" s="29"/>
      <x:c r="S27" s="29" t="str">
        <x:v>AT&amp;T, Verizon and T-Mobile fell roughly 4.2%-5% in extended trading after the SpaceX report. The broad industry reaction confirms that investors viewed the potential entrant as material, but it was not a regular-session executable price and the underlying talks were unconfirmed by the named companies.</x:v>
      </x:c>
      <x:c r="T27" s="29" t="str">
        <x:v>T common equity. No paper position exists and the prior $300 proposal was never filled. Reject a current entry. Reopen only after a fresh regular-session quote and evidence that the reported site-access talks either fail to mature or do not impair AT&amp;T's subscriber economics; require continued Advanced Connectivity growth and no deterioration in free cash flow or leverage guidance.</x:v>
      </x:c>
      <x:c r="U27" s="29" t="str">
        <x:v>A daily close below $21.50; a cut to 2026 free-cash-flow or adjusted-EPS guidance; weakening Advanced Connectivity service growth or subscriber additions; or deterioration in the net-debt path.</x:v>
      </x:c>
      <x:c r="V27" s="43" t="str">
        <x:v>2026-10-21: Advanced Connectivity growth, subscriber additions and at least $18B of free cash flow should support per-share value over six to eighteen months if leverage trends down and legacy declines remain contained. Initial paper decision: proposed $300 exploratory market-price entry near $22.01; do not chase above $23.50. No fill without capital and sizing rules.</x:v>
      </x:c>
      <x:c r="W27" s="43" t="d">
        <x:v>2026-11-26T14:30:00.000Z</x:v>
      </x:c>
      <x:c r="X27" s="43"/>
      <x:c r="Y27" s="29"/>
      <x:c r="Z27" s="29"/>
      <x:c r="AA27" s="29"/>
      <x:c r="AB27" s="29"/>
      <x:c r="AC27" s="29" t="str">
        <x:v>8:33 a.m. ET premarket checkpoint review: T's last official close was $20.93. The October 21 proposal remains unfilled and the October 23 rejection remains in force. The SpaceX buildout report is not a signed network, but no primary evidence has removed the competitive threat; no AT&amp;T paper position exists.</x:v>
      </x:c>
      <x:c r="AD27" s="29" t="str">
        <x:v>Opened Strong at confidence 4/5 and trading edge 3/5. The October 21 ACTIONABLE NOW proposal was never a fill because capital and sizing rules were unavailable; its October 22 premarket watch expired unfilled. October 23 review: downgrade to Developing, confidence 3/5 and edge 2/5, and classify the current entry as REJECT after new reporting that SpaceX is seeking access to at least 80,000 U.S. sites for a possible fourth national carrier. The report is not a signed contract and a buildout could take years and more than $80B, so the economic thesis is weakened rather than invalidated. Paper Trades remains unchanged. No real trade is authorized.</x:v>
      </x:c>
      <x:c r="AE27" s="31" t="n">
        <x:f>IF(COUNTIF(Y27:AC27,"&lt;&gt;")=0,"",COUNTIF(Y27:AC27,"Yes")/COUNTA(Y27:AC27))</x:f>
        <x:v>0</x:v>
      </x:c>
    </x:row>
    <x:row r="28">
      <x:c r="A28" s="27" t="str">
        <x:v>EEI-2026-023</x:v>
      </x:c>
      <x:c r="B28" s="27" t="str">
        <x:v>Verizon subscriber acceleration and AI-fiber monetization</x:v>
      </x:c>
      <x:c r="C28" s="27" t="str">
        <x:v>Communication services and digital infrastructure</x:v>
      </x:c>
      <x:c r="D28" s="30" t="d">
        <x:v>2026-10-26T12:33:04.000Z</x:v>
      </x:c>
      <x:c r="E28" s="30" t="d">
        <x:v>2026-10-26T12:33:04.000Z</x:v>
      </x:c>
      <x:c r="F28" s="27" t="str">
        <x:v>Strong</x:v>
      </x:c>
      <x:c r="G28" s="27" t="str">
        <x:v>Earnings, raised guidance and commercial infrastructure agreement</x:v>
      </x:c>
      <x:c r="H28" s="27" t="str">
        <x:v>Postpaid subscriber growth, free cash flow and leverage-adjusted per-share value</x:v>
      </x:c>
      <x:c r="I28" s="27" t="str">
        <x:v>Up</x:v>
      </x:c>
      <x:c r="J28" s="27" t="str">
        <x:v>Six to twelve months</x:v>
      </x:c>
      <x:c r="K28" s="27" t="n">
        <x:v>4</x:v>
      </x:c>
      <x:c r="L28" s="27" t="n">
        <x:v>3</x:v>
      </x:c>
      <x:c r="M28" s="27" t="str">
        <x:v>REJECT 2026-10-27</x:v>
      </x:c>
      <x:c r="N28" s="29" t="str">
        <x:v>Verizon reported 406,000 postpaid phone net additions, raised 2026 adjusted-EPS and free-cash-flow growth guidance, and signed a framework with Amazon Web Services representing more than $2 billion of AI-infrastructure opportunity. The regular-session quote remained below a predefined no-chase ceiling.</x:v>
      </x:c>
      <x:c r="O28" s="29" t="str">
        <x:v>Sustained subscriber gains and service-revenue growth can lift EBITDA and free cash flow, while an AWS fiber build can add long-duration infrastructure demand. If free cash flow grows faster than debt and dividends, leverage and per-share value can improve over six to twelve months.</x:v>
      </x:c>
      <x:c r="P28" s="29" t="str">
        <x:v>Primary results show service revenue of $23.5 billion (+2.9%), adjusted EBITDA of $13.8 billion (+8.0%), adjusted EPS of $1.31 (+8.3%) and free cash flow of $7.8 billion (+12.1%). Verizon raised full-year adjusted EPS to $5.04-$5.06, postpaid phone net additions to 1.1-1.2 million and free-cash-flow growth to nearly 12%. The AWS framework exceeds $2 billion.</x:v>
      </x:c>
      <x:c r="Q28" s="29" t="str">
        <x:v>Quarterly revenue of $34.3 billion missed consensus, net unsecured debt was $123.7 billion and net debt to adjusted EBITDA was 2.3 times. Capital intensity remains high, the stock still carries telecom-disruption risk, and SpaceX's reported U.S. wireless ambitions could pressure long-run subscriber economics. The AWS framework must convert to revenue and attractive returns.</x:v>
      </x:c>
      <x:c r="R28" s="29"/>
      <x:c r="S28" s="29" t="str">
        <x:v>The October 26 proposal expired unfilled. At 9:32 a.m. ET regular-session checkpoint (15-minute-delayed public feed), VZ traded at $43.25. The fundamental evidence remains supportive, but the quote is close to or below the frozen $43.40 daily-close invalidation threshold and no new evidence justifies renewing the expired proposal.</x:v>
      </x:c>
      <x:c r="T28" s="29" t="str">
        <x:v>No Verizon position exists. Reject renewal of the expired proposal. Reassess only after a confirmed daily close above $43.40 with subscriber, free-cash-flow and debt evidence intact; use a fresh regular-session quote and a new finite decision.</x:v>
      </x:c>
      <x:c r="U28" s="29" t="str">
        <x:v>Withdraw the proposal above $45.25. Exit or invalidate on a daily close below $43.40, a cut to 2026 adjusted-EPS or free-cash-flow guidance, worsening subscriber economics, a materially weaker debt path, or evidence that competitive or buildout spending erodes returns.</x:v>
      </x:c>
      <x:c r="V28" s="43" t="str">
        <x:v>2026-10-26: Verizon's subscriber acceleration, raised guidance and AWS AI-fiber framework should support service revenue, free cash flow and per-share value over six to twelve months if debt trends improve and competition remains manageable. Initial paper decision: propose a $300 research-test entry only at or below $45.25 through October 26 close; no fill without capital and sizing rules.</x:v>
      </x:c>
      <x:c r="W28" s="43" t="d">
        <x:v>2026-11-26T14:30:00.000Z</x:v>
      </x:c>
      <x:c r="X28" s="43"/>
      <x:c r="Y28" s="29"/>
      <x:c r="Z28" s="29"/>
      <x:c r="AA28" s="29"/>
      <x:c r="AB28" s="29"/>
      <x:c r="AC28" s="29"/>
      <x:c r="AD28" s="29" t="str">
        <x:v>October 27 expiry review: the October 26 $300 proposal expired unfilled and is now REJECT, not WAIT. At 9:32 a.m. ET regular-session checkpoint (15-minute-delayed public feed), VZ was $43.25, near or below the frozen $43.40 daily-close invalidation level. The thesis remains Strong 4/5 with edge 3/5 pending a closing-price test; no position or fill exists and the frozen prediction was not altered.</x:v>
      </x:c>
      <x:c r="AE28" s="31"/>
    </x:row>
    <x:row r="29">
      <x:c r="A29" s="27" t="str">
        <x:v>EEI-2026-024</x:v>
      </x:c>
      <x:c r="B29" s="27" t="str">
        <x:v>SoFi earnings inflection and valuation reset</x:v>
      </x:c>
      <x:c r="C29" s="27" t="str">
        <x:v>Financials and fintech</x:v>
      </x:c>
      <x:c r="D29" s="30" t="d">
        <x:v>2026-10-27T13:32:55.000Z</x:v>
      </x:c>
      <x:c r="E29" s="30" t="d">
        <x:v>2026-10-27T13:32:55.000Z</x:v>
      </x:c>
      <x:c r="F29" s="27" t="str">
        <x:v>Strong</x:v>
      </x:c>
      <x:c r="G29" s="27" t="str">
        <x:v>Earnings, raised guidance and valuation dislocation</x:v>
      </x:c>
      <x:c r="H29" s="27" t="str">
        <x:v>Revenue, member growth, credit performance and earnings per share</x:v>
      </x:c>
      <x:c r="I29" s="27" t="str">
        <x:v>Up</x:v>
      </x:c>
      <x:c r="J29" s="27" t="str">
        <x:v>Six to twelve months</x:v>
      </x:c>
      <x:c r="K29" s="27" t="n">
        <x:v>4</x:v>
      </x:c>
      <x:c r="L29" s="27" t="n">
        <x:v>3</x:v>
      </x:c>
      <x:c r="M29" s="27" t="str">
        <x:v>REJECT 2026-10-27</x:v>
      </x:c>
      <x:c r="N29" s="29" t="str">
        <x:v>SoFi reported record Q3 revenue and profit, raised 2026 guidance and introduced a 2027 outlook implying 27% adjusted-revenue growth and $0.90 EPS. The shares remained far below their year-to-date high, creating a potential earnings-growth versus valuation dislocation.</x:v>
      </x:c>
      <x:c r="O29" s="29" t="str">
        <x:v>Member and product growth, higher fee-based revenue, cheaper deposits and operating leverage can raise net income and per-share value. The mechanism requires personal-loan credit to remain controlled and technology-platform weakness not to spread into consolidated growth.</x:v>
      </x:c>
      <x:c r="P29" s="29" t="str">
        <x:v>SoFi reported $1.385B of GAAP revenue, up 44%, $241M of net income, $0.18 diluted EPS, $469.8M of adjusted EBITDA, 17.1M members and $570.6M of fee-based revenue. It guided to $5.04B of 2026 adjusted revenue and $0.61 EPS, and approximately $6.4B and $0.90 EPS for 2027. Personal-loan charge-offs improved and deposits reached $51.3B.</x:v>
      </x:c>
      <x:c r="Q29" s="29" t="str">
        <x:v>Technology Platform revenue fell 24% year over year to $87.4M and contribution profit fell 56%, largely after a major client left. The thesis remains exposed to consumer credit, rate sensitivity, personal-loan concentration, stock-based compensation, dilution and execution against ambitious 2027 guidance.</x:v>
      </x:c>
      <x:c r="R29" s="29"/>
      <x:c r="S29" s="29" t="str">
        <x:v>At 9:32 a.m. ET regular-session checkpoint (15-minute-delayed public feed), SOFI traded at $15.86 in the regular session. The quote exceeded the $15.25 no-chase ceiling; at that ceiling the company's 2027 EPS outlook implies about 16.9 times earnings.</x:v>
      </x:c>
      <x:c r="T29" s="29" t="str">
        <x:v>REJECT an immediate paper entry at $15.86 because the quote exceeded the precommitted $15.25 no-chase ceiling. Reassess after an orderly consolidation or the next credit and technology-platform update; no live order.</x:v>
      </x:c>
      <x:c r="U29" s="29" t="str">
        <x:v>Exit or invalidate on a daily close below $13.75, a cut to 2027 revenue or EPS guidance, materially worsening personal-loan charge-offs or delinquencies, or technology-platform weakness spreading into consolidated growth. Do not chase above $15.25.</x:v>
      </x:c>
      <x:c r="V29" s="43" t="str">
        <x:v>2026-10-27: SoFi's member growth, fee mix, controlled credit and operating leverage should lift revenue and EPS over six to twelve months if the 2027 outlook converts and technology-platform weakness remains contained. Initial paper decision: reject an immediate entry above $15.25 and require an orderly consolidation or new evidence.</x:v>
      </x:c>
      <x:c r="W29" s="43" t="d">
        <x:v>2026-11-27T14:30:00.000Z</x:v>
      </x:c>
      <x:c r="X29" s="43"/>
      <x:c r="Y29" s="29"/>
      <x:c r="Z29" s="29"/>
      <x:c r="AA29" s="29"/>
      <x:c r="AB29" s="29"/>
      <x:c r="AC29" s="29"/>
      <x:c r="AD29" s="29" t="str">
        <x:v>Opened Strong at confidence 4/5 and trading edge 3/5. Primary results establish the earnings inflection and credit evidence, while an independent market report confirms materiality. The $15.86 regular-session quote exceeded the no-chase ceiling, so entry is rejected today. No actual position or fill exists because portfolio capital and sizing rules are unavailable. Review November 27.</x:v>
      </x:c>
      <x:c r="AE29" s="31"/>
    </x:row>
    <x:row r="30">
      <x:c r="A30" s="27" t="str">
        <x:v>EEI-2026-025</x:v>
      </x:c>
      <x:c r="B30" s="27" t="str">
        <x:v>NXP earnings growth and post-report valuation dislocation</x:v>
      </x:c>
      <x:c r="C30" s="27" t="str">
        <x:v>Semiconductors and automotive/industrial technology</x:v>
      </x:c>
      <x:c r="D30" s="30" t="d">
        <x:v>2026-10-28T13:34:00.000Z</x:v>
      </x:c>
      <x:c r="E30" s="30" t="d">
        <x:v>2026-10-28T13:34:00.000Z</x:v>
      </x:c>
      <x:c r="F30" s="27" t="str">
        <x:v>Strong</x:v>
      </x:c>
      <x:c r="G30" s="27" t="str">
        <x:v>Earnings, guidance, capital return and price dislocation</x:v>
      </x:c>
      <x:c r="H30" s="27" t="str">
        <x:v>Revenue, margins, free cash flow and per-share value</x:v>
      </x:c>
      <x:c r="I30" s="27" t="str">
        <x:v>Up</x:v>
      </x:c>
      <x:c r="J30" s="27" t="str">
        <x:v>Six to twelve months</x:v>
      </x:c>
      <x:c r="K30" s="27" t="n">
        <x:v>4</x:v>
      </x:c>
      <x:c r="L30" s="27" t="n">
        <x:v>3</x:v>
      </x:c>
      <x:c r="M30" s="27" t="str">
        <x:v>REJECT 2026-10-28</x:v>
      </x:c>
      <x:c r="N30" s="29" t="str">
        <x:v>NXP reported 19% year-over-year revenue growth, expanding profitability, $1.21B of quarterly non-GAAP free cash flow and a new $5B repurchase authorization, but the first verified regular-session quote was above the precommitted no-chase ceiling.</x:v>
      </x:c>
      <x:c r="O30" s="29" t="str">
        <x:v>Automotive and industrial growth, data-center infrastructure demand, operating leverage and repurchases can raise earnings and per-share value if current growth offsets automotive cyclicality, inventory risk and debt.</x:v>
      </x:c>
      <x:c r="P30" s="29" t="str">
        <x:v>Q3 revenue was $3.786B, up 19% year over year and 8% sequentially; non-GAAP gross margin was 58.6%; operating cash flow was $1.256B; non-GAAP free cash flow was $1.21B. Automotive rose 13%, industrial and IoT 39%, and communication infrastructure 54%. Q4 midpoint guidance implied 15% year-over-year revenue growth; net leverage fell to 1.3x.</x:v>
      </x:c>
      <x:c r="Q30" s="29" t="str">
        <x:v>Q4 midpoint growth was only 2% sequentially, mobile revenue fell 4%, inventory increased to 11 weeks from 9 weeks, gross debt remained about $11B and automotive demand is cyclical. The price gap warned that slower guidance was material.</x:v>
      </x:c>
      <x:c r="R30" s="29"/>
      <x:c r="S30" s="29" t="str">
        <x:v>At 9:34 a.m. ET on October 28, Google Finance showed NXPI at $244.00, above the $240 no-chase ceiling after a $253.50 prior close. The adverse reaction created value but not the precommitted entry asymmetry.</x:v>
      </x:c>
      <x:c r="T30" s="29" t="str">
        <x:v>REJECT immediate entry above $240. Reassess after consolidation or the November 28 review; no position, paper fill or pending order exists.</x:v>
      </x:c>
      <x:c r="U30" s="29" t="str">
        <x:v>Do not enter above $240. Invalidate on a daily close below $220, a guidance cut, sustained automotive or industrial reversal, materially higher leverage, or evidence inventory reflects demand deterioration.</x:v>
      </x:c>
      <x:c r="V30" s="43" t="str">
        <x:v>2026-10-28: NXP growth, margin expansion, free cash flow and capital return should lift earnings and per-share value over six to twelve months if cyclicality, inventory and debt remain controlled. Initial decision: reject at $244 because the verified quote exceeded the $240 ceiling; no fill.</x:v>
      </x:c>
      <x:c r="W30" s="43" t="d">
        <x:v>2026-11-28T14:30:00.000Z</x:v>
      </x:c>
      <x:c r="X30" s="43"/>
      <x:c r="Y30" s="29"/>
      <x:c r="Z30" s="29"/>
      <x:c r="AA30" s="29"/>
      <x:c r="AB30" s="29"/>
      <x:c r="AC30" s="29"/>
      <x:c r="AD30" s="29" t="str">
        <x:v>Opened Strong at 4/5 confidence and 3/5 edge. Primary results support the mechanism, but the regular-session quote exceeded the no-chase ceiling. Rejected, not WAIT; no actual position or simulated fill.</x:v>
      </x:c>
      <x:c r="AE30" s="31"/>
    </x:row>
    <x:row r="31">
      <x:c r="A31" s="27" t="str">
        <x:v>EEI-2026-026</x:v>
      </x:c>
      <x:c r="B31" s="27" t="str">
        <x:v>Alphabet AI-cloud growth versus search and cash-burn dislocation</x:v>
      </x:c>
      <x:c r="C31" s="27" t="str">
        <x:v>Communication services and AI infrastructure</x:v>
      </x:c>
      <x:c r="D31" s="30" t="d">
        <x:v>2026-10-29T13:31:20.000Z</x:v>
      </x:c>
      <x:c r="E31" s="30" t="d">
        <x:v>2026-10-29T13:31:20.000Z</x:v>
      </x:c>
      <x:c r="F31" s="27" t="str">
        <x:v>Strong</x:v>
      </x:c>
      <x:c r="G31" s="27" t="str">
        <x:v>Earnings, price dislocation and capital-intensity reset</x:v>
      </x:c>
      <x:c r="H31" s="27" t="str">
        <x:v>Search monetization, Cloud operating profit, free cash flow and per-share value</x:v>
      </x:c>
      <x:c r="I31" s="27" t="str">
        <x:v>Up</x:v>
      </x:c>
      <x:c r="J31" s="27" t="str">
        <x:v>Six to twelve months</x:v>
      </x:c>
      <x:c r="K31" s="27" t="n">
        <x:v>4</x:v>
      </x:c>
      <x:c r="L31" s="27" t="n">
        <x:v>3</x:v>
      </x:c>
      <x:c r="M31" s="27" t="str">
        <x:v>ACTIONABLE NOW 2026-10-29</x:v>
      </x:c>
      <x:c r="N31" s="29" t="str">
        <x:v>Alphabet revenue grew 25% and Cloud revenue 103%, but weaker-than-expected advertising and negative free cash flow drove a double-digit selloff. The verified regular-session quote was $285.77 versus a $295 no-chase ceiling.</x:v>
      </x:c>
      <x:c r="O31" s="29" t="str">
        <x:v>Cloud growth and operating leverage can offset slower Search monetization if AI Mode adds ads and the $561B Cloud backlog converts. The thesis depends on capital spending producing durable revenue and free-cash-flow recovery rather than permanently diluting returns.</x:v>
      </x:c>
      <x:c r="P31" s="29" t="str">
        <x:v>Q3 revenue was $127.6B, up 25%; Google Services revenue rose 11%; Search rose 12%; Google Cloud revenue rose 103% to $30.7B and Cloud operating income reached $11.1B. Consolidated operating income rose 30% and margin reached 31.8%. Cloud backlog was $561B.</x:v>
      </x:c>
      <x:c r="Q31" s="29" t="str">
        <x:v>Revenue, advertising and EPS missed consensus; net income fell 25%; free cash flow was negative $9.1B for a second negative quarter; 2027 capital spending is expected to rise materially from a projected $195B-$205B in 2026. Alphabet issued stock and $28.7B of notes, and AI Mode monetization remains unproven.</x:v>
      </x:c>
      <x:c r="R31" s="29"/>
      <x:c r="S31" s="29" t="str">
        <x:v>At 2026-10-29T13:31:20.000Z the regular-session quote was $285.77, at or below the $295 ceiling, implying about 14.4 times the $19.90 trailing EPS shown with the public quote. The selloff confirms concern about cash burn and Search monetization while creating a measurable valuation reset.</x:v>
      </x:c>
      <x:c r="T31" s="29" t="str">
        <x:v>PROPOSED PAPER ENTRY ONLY: $300 of GOOGL at $285.77 or better today, never above $295. Review November 29. No fill or position is recorded because the ledger contains no available-capital balance or sizing rule.</x:v>
      </x:c>
      <x:c r="U31" s="29" t="str">
        <x:v>Do not enter above $295. Exit or invalidate on a daily close below $270, another material Search growth deceleration, Cloud backlog or margin deterioration, further sustained negative free cash flow without improved monetization, or materially greater dilution/leverage.</x:v>
      </x:c>
      <x:c r="V31" s="43" t="str">
        <x:v>2026-10-29: Alphabet Cloud growth and operating leverage should support per-share value over six to twelve months if Search AI monetization improves and capital spending converts into free cash flow. Initial paper decision: propose a $300 exploratory entry at $285.77 or better, never above $295; no fill because capital rules are absent.</x:v>
      </x:c>
      <x:c r="W31" s="43" t="d">
        <x:v>2026-11-29T14:30:00.000Z</x:v>
      </x:c>
      <x:c r="X31" s="43"/>
      <x:c r="Y31" s="29"/>
      <x:c r="Z31" s="29"/>
      <x:c r="AA31" s="29"/>
      <x:c r="AB31" s="29"/>
      <x:c r="AC31" s="29"/>
      <x:c r="AD31" s="29" t="str">
        <x:v>Opened Strong at 4/5 confidence and 3/5 edge. A small exploratory proposal is justified by the verified price dislocation and primary operating evidence, but it is not a fill or existing position.</x:v>
      </x:c>
      <x:c r="AE31" s="31"/>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731f8d9d205f42f7"/>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row r="532">
      <x:c r="A532" t="str">
        <x:v>EV-2026-527</x:v>
      </x:c>
      <x:c r="B532" t="str">
        <x:v>EEI-2026-001</x:v>
      </x:c>
      <x:c r="C532" s="21" t="d">
        <x:v>2026-10-16T21:12:33.000Z</x:v>
      </x:c>
      <x:c r="D532" t="str">
        <x:v>Paper-trade outcome</x:v>
      </x:c>
      <x:c r="E532" t="str">
        <x:v>StockAnalysis</x:v>
      </x:c>
      <x:c r="F532" t="str">
        <x:v>Market data</x:v>
      </x:c>
      <x:c r="G532" s="44" t="str">
        <x:v>https://stockanalysis.com/etf/bno/history/</x:v>
      </x:c>
      <x:c r="H532" s="44" t="str">
        <x:v>BNO closed October 16 at $67.19 versus the fixed September 8 opening entry of $57.21. The $1,000 fractional-share paper position was worth $1,174.45, a gain of $174.45 or 17.44%.</x:v>
      </x:c>
      <x:c r="I532" s="44" t="str">
        <x:v>Confirms direct Brent expression</x:v>
      </x:c>
      <x:c r="J532" s="44" t="n">
        <x:v>4</x:v>
      </x:c>
      <x:c r="K532" s="44" t="str">
        <x:v>Official regular-session close used; totals retain unrounded fractional shares.</x:v>
      </x:c>
    </x:row>
    <x:row r="533">
      <x:c r="A533" t="str">
        <x:v>EV-2026-528</x:v>
      </x:c>
      <x:c r="B533" t="str">
        <x:v>EEI-2026-001</x:v>
      </x:c>
      <x:c r="C533" s="21" t="d">
        <x:v>2026-10-16T21:12:33.000Z</x:v>
      </x:c>
      <x:c r="D533" t="str">
        <x:v>Paper-trade outcome</x:v>
      </x:c>
      <x:c r="E533" t="str">
        <x:v>StockAnalysis</x:v>
      </x:c>
      <x:c r="F533" t="str">
        <x:v>Market data</x:v>
      </x:c>
      <x:c r="G533" s="44" t="str">
        <x:v>https://stockanalysis.com/etf/uso/history/</x:v>
      </x:c>
      <x:c r="H533" s="44" t="str">
        <x:v>USO closed October 16 at $161.76 versus the fixed September 8 opening entry of $144.60. The $1,000 fractional-share paper position was worth $1,118.67, a gain of $118.67 or 11.87%.</x:v>
      </x:c>
      <x:c r="I533" s="44" t="str">
        <x:v>Confirms direct WTI expression</x:v>
      </x:c>
      <x:c r="J533" s="44" t="n">
        <x:v>4</x:v>
      </x:c>
      <x:c r="K533" s="44" t="str">
        <x:v>Official regular-session close used; totals retain unrounded fractional shares.</x:v>
      </x:c>
    </x:row>
    <x:row r="534">
      <x:c r="A534" t="str">
        <x:v>EV-2026-529</x:v>
      </x:c>
      <x:c r="B534" t="str">
        <x:v>EEI-2026-001</x:v>
      </x:c>
      <x:c r="C534" s="21" t="d">
        <x:v>2026-10-16T21:12:33.000Z</x:v>
      </x:c>
      <x:c r="D534" t="str">
        <x:v>Paper-trade outcome</x:v>
      </x:c>
      <x:c r="E534" t="str">
        <x:v>StockAnalysis</x:v>
      </x:c>
      <x:c r="F534" t="str">
        <x:v>Market data</x:v>
      </x:c>
      <x:c r="G534" s="44" t="str">
        <x:v>https://stockanalysis.com/etf/xop/history/</x:v>
      </x:c>
      <x:c r="H534" s="44" t="str">
        <x:v>XOP closed October 16 at $200.38 versus the fixed September 8 opening entry of $193.84. The $1,000 fractional-share paper position was worth $1,033.74, a gain of $33.74 or 3.37%.</x:v>
      </x:c>
      <x:c r="I534" s="44" t="str">
        <x:v>Positive but still weakest expression</x:v>
      </x:c>
      <x:c r="J534" s="44" t="n">
        <x:v>4</x:v>
      </x:c>
      <x:c r="K534" s="44" t="str">
        <x:v>Official regular-session close used; the producer-equity ETF retains company and equity-market mapping risk.</x:v>
      </x:c>
    </x:row>
    <x:row r="535">
      <x:c r="A535" t="str">
        <x:v>EV-2026-530</x:v>
      </x:c>
      <x:c r="B535" t="str">
        <x:v>EEI-2026-001</x:v>
      </x:c>
      <x:c r="C535" s="21" t="d">
        <x:v>2026-10-16T21:12:33.000Z</x:v>
      </x:c>
      <x:c r="D535" t="str">
        <x:v>Market confirmation</x:v>
      </x:c>
      <x:c r="E535" t="str">
        <x:v>Reuters</x:v>
      </x:c>
      <x:c r="F535" t="str">
        <x:v>High-quality independent reporting</x:v>
      </x:c>
      <x:c r="G535" s="44" t="str">
        <x:v>https://www.reuters.com/business/autos-transportation/oil-edges-down-investors-weigh-possible-us-sanctions-shadow-fleet-2026-10-16/</x:v>
      </x:c>
      <x:c r="H535" s="44" t="str">
        <x:v>Brent settled October 16 at $109.86 and WTI at $101.41 after a missile aimed toward Yanbu was intercepted and intensified Iranian attacks sharply reduced Gulf crude flows. Russian refinery damage added a separate supply risk.</x:v>
      </x:c>
      <x:c r="I535" s="44" t="str">
        <x:v>Confirms the crude-scarcity and risk-premium mechanism</x:v>
      </x:c>
      <x:c r="J535" s="44" t="n">
        <x:v>5</x:v>
      </x:c>
      <x:c r="K535" s="44" t="str">
        <x:v>Yanbu infrastructure was reportedly undamaged, and part of the move reflected broader Russia-related refined-product risk.</x:v>
      </x:c>
    </x:row>
    <x:row r="536">
      <x:c r="A536" t="str">
        <x:v>EV-2026-531</x:v>
      </x:c>
      <x:c r="B536" t="str">
        <x:v>EEI-2026-001</x:v>
      </x:c>
      <x:c r="C536" s="21" t="d">
        <x:v>2026-10-16T21:12:33.000Z</x:v>
      </x:c>
      <x:c r="D536" t="str">
        <x:v>Counterweight</x:v>
      </x:c>
      <x:c r="E536" t="str">
        <x:v>Reuters / Baltic Exchange</x:v>
      </x:c>
      <x:c r="F536" t="str">
        <x:v>High-quality reporting citing market data</x:v>
      </x:c>
      <x:c r="G536" s="44" t="str">
        <x:v>https://www.reuters.com/business/energy/supertanker-rates-fall-record-highs-2026-10-16/</x:v>
      </x:c>
      <x:c r="H536" s="44" t="str">
        <x:v>Gulf of Oman-to-China VLCC freight rates eased to about 776 Worldscale from 841 the prior week as route demand softened and the U.S. considered easing some shadow-fleet sanctions, although rates remained near records.</x:v>
      </x:c>
      <x:c r="I536" s="44" t="str">
        <x:v>Mixed: potential transport relief, but persistent elevated friction</x:v>
      </x:c>
      <x:c r="J536" s="44" t="n">
        <x:v>5</x:v>
      </x:c>
      <x:c r="K536" s="44" t="str">
        <x:v>Lower freight can reflect weaker export volumes after attacks rather than normalized Hormuz access; sanctions policy remains under consideration.</x:v>
      </x:c>
    </x:row>
    <x:row r="537">
      <x:c r="A537" t="str">
        <x:v>EV-2026-532</x:v>
      </x:c>
      <x:c r="B537" t="str">
        <x:v>EEI-2026-021</x:v>
      </x:c>
      <x:c r="C537" s="21" t="d">
        <x:v>2026-10-17T12:06:36.000Z</x:v>
      </x:c>
      <x:c r="D537" t="str">
        <x:v>Travelers stale proposal withdrawn</x:v>
      </x:c>
      <x:c r="E537" t="str">
        <x:v>Travelers investor relations / public market data</x:v>
      </x:c>
      <x:c r="F537" t="str">
        <x:v>Issuer-hosted market data</x:v>
      </x:c>
      <x:c r="G537" s="44" t="str">
        <x:v>https://investor.travelers.com/investor-toolkit/historical-prices/default.aspx</x:v>
      </x:c>
      <x:c r="H537" s="44" t="str">
        <x:v>TRV closed October 16 at $389.54 after opening at $370.00 and reaching $390.91. It finished 6.72% above the proposed $365 entry and only 2.30% below its 52-week high. Decision: REJECT and withdraw the stale pending proposal; no fill or position exists.</x:v>
      </x:c>
      <x:c r="I537" s="44" t="str">
        <x:v>Entry decision changed from proposed pending order to rejection</x:v>
      </x:c>
      <x:c r="J537" s="44" t="n">
        <x:v>5</x:v>
      </x:c>
      <x:c r="K537" s="44" t="str">
        <x:v>Travelers' operating results remain strong and its trailing P/E was about 10.4, but the user intends to use market orders and the original price-dependent edge was no longer available. A future alert requires a fresh regular-session quote and acceptable current-price risk/reward.</x:v>
      </x:c>
    </x:row>
    <x:row r="538">
      <x:c r="A538" t="str">
        <x:v>EV-2026-533</x:v>
      </x:c>
      <x:c r="B538"/>
      <x:c r="C538" s="21" t="d">
        <x:v>2026-10-17T12:06:36.000Z</x:v>
      </x:c>
      <x:c r="D538" t="str">
        <x:v>Alcoa earnings candidate rejected</x:v>
      </x:c>
      <x:c r="E538" t="str">
        <x:v>Alcoa</x:v>
      </x:c>
      <x:c r="F538" t="str">
        <x:v>Primary issuer results</x:v>
      </x:c>
      <x:c r="G538" s="44" t="str">
        <x:v>https://investors.alcoa.com/press-releases/press-release-details/2026/Alcoa-Corporation-Reports-Third-Quarter-2026-Results/default.aspx</x:v>
      </x:c>
      <x:c r="H538" s="44" t="str">
        <x:v>Alcoa reported $483M of Q3 net income, $472M of free cash flow and improved production, while reaffirming output projections. AA closed Friday at $41.45, up 2.56%, at about 8.6 times trailing earnings.</x:v>
      </x:c>
      <x:c r="I538" s="44" t="str">
        <x:v>REJECT current entry; review with a live Monday quote only if economics and price remain favorable</x:v>
      </x:c>
      <x:c r="J538" s="44" t="n">
        <x:v>5</x:v>
      </x:c>
      <x:c r="K538" s="44" t="str">
        <x:v>Revenue fell 7% sequentially, adjusted EBITDA fell $112M sequentially, aluminum shipments and realized prices declined, Q4 costs are expected to rise, and debt issued for the AliGroup acquisition lifted gross debt to $4.82B. The weekend quote is not executable.</x:v>
      </x:c>
    </x:row>
    <x:row r="539">
      <x:c r="A539" t="str">
        <x:v>EV-2026-534</x:v>
      </x:c>
      <x:c r="B539"/>
      <x:c r="C539" s="21" t="d">
        <x:v>2026-10-17T12:06:36.000Z</x:v>
      </x:c>
      <x:c r="D539" t="str">
        <x:v>J.B. Hunt earnings candidate rejected</x:v>
      </x:c>
      <x:c r="E539" t="str">
        <x:v>J.B. Hunt</x:v>
      </x:c>
      <x:c r="F539" t="str">
        <x:v>Primary issuer results</x:v>
      </x:c>
      <x:c r="G539" s="44" t="str">
        <x:v>https://www.jbhunt.com/our-company/newsroom/2026/10/q3-2026-earnings</x:v>
      </x:c>
      <x:c r="H539" s="44" t="str">
        <x:v>J.B. Hunt reported revenue up 20% to $3.68B, operating income up 2% and EPS up 3%. Intermodal operating income rose 18%, but JBHT closed Friday at $228.78, down 2.77%, at about 32.5 times trailing earnings.</x:v>
      </x:c>
      <x:c r="I539" s="44" t="str">
        <x:v>REJECT current entry</x:v>
      </x:c>
      <x:c r="J539" s="44" t="n">
        <x:v>5</x:v>
      </x:c>
      <x:c r="K539" s="44" t="str">
        <x:v>Margin conversion was weak: Dedicated operating income fell 22%, Final Mile fell 76% and Truckload fell 6%. The company had about $4M cash versus $1.12B debt, and higher fuel, insurance, medical and purchased-transportation costs remain unresolved.</x:v>
      </x:c>
    </x:row>
    <x:row r="540">
      <x:c r="A540" t="str">
        <x:v>EV-2026-535</x:v>
      </x:c>
      <x:c r="B540"/>
      <x:c r="C540" s="21" t="d">
        <x:v>2026-10-17T12:06:36.000Z</x:v>
      </x:c>
      <x:c r="D540" t="str">
        <x:v>October 16 federal contract screen</x:v>
      </x:c>
      <x:c r="E540" t="str">
        <x:v>U.S. Department of War</x:v>
      </x:c>
      <x:c r="F540" t="str">
        <x:v>Primary government award announcement</x:v>
      </x:c>
      <x:c r="G540" s="44" t="str">
        <x:v>https://www.war.gov/News/Contracts/Contract/Article/4627497/contracts-for-oct-16-2026/</x:v>
      </x:c>
      <x:c r="H540" s="44" t="str">
        <x:v>Three private small businesses received competitive Combat Air Force Contracted Air Support IDIQs with a shared $5.4B ceiling: KestrelX FA4890-27-D-0003, A2G International FA4890-27-D-0002 and Fleet Adversary Support and Training FA4890-27-D-0001. Only $3,000 was obligated at award; performance runs through October 8, 2029.</x:v>
      </x:c>
      <x:c r="I540" s="44" t="str">
        <x:v>No public-equity thesis</x:v>
      </x:c>
      <x:c r="J540" s="44" t="n">
        <x:v>5</x:v>
      </x:c>
      <x:c r="K540" s="44" t="str">
        <x:v>The recipients are private and the ceiling is not funded revenue. A separate $80M Boeing MQ-25A action was too small relative to company revenue and backlog to create a distinct thesis.</x:v>
      </x:c>
    </x:row>
    <x:row r="541">
      <x:c r="A541" t="str">
        <x:v>EV-2026-536</x:v>
      </x:c>
      <x:c r="B541"/>
      <x:c r="C541" s="21" t="d">
        <x:v>2026-10-17T12:06:36.000Z</x:v>
      </x:c>
      <x:c r="D541" t="str">
        <x:v>Friday cross-asset and sector screen</x:v>
      </x:c>
      <x:c r="E541" t="str">
        <x:v>Associated Press / public market data</x:v>
      </x:c>
      <x:c r="F541" t="str">
        <x:v>Independent reporting and observable market data</x:v>
      </x:c>
      <x:c r="G541" s="44" t="str">
        <x:v>https://apnews.com/article/c27809783ae3230b44c26e5ee4bea056</x:v>
      </x:c>
      <x:c r="H541" s="44" t="str">
        <x:v>The S&amp;P 500 fell 1.09% and Nasdaq 2.15% Friday. Technology fell 3.03%, while energy rose 2.56%, staples 1.10% and utilities 1.38%; HYG fell 0.34% and TLT was nearly flat. The rotation confirms narrow risk-off pressure rather than a broad new entry signal.</x:v>
      </x:c>
      <x:c r="I541" s="44" t="str">
        <x:v>No new actionable-now candidate while markets are closed</x:v>
      </x:c>
      <x:c r="J541" s="44" t="n">
        <x:v>4</x:v>
      </x:c>
      <x:c r="K541" s="44" t="str">
        <x:v>Energy and defensives had already moved, credit weakened modestly and no regular-session quote is available on Saturday. The next executable assessment requires fresh Monday price discovery.</x:v>
      </x:c>
    </x:row>
    <x:row r="542">
      <x:c r="A542" t="str">
        <x:v>EV-2026-537</x:v>
      </x:c>
      <x:c r="B542" t="str">
        <x:v>EEI-2026-001</x:v>
      </x:c>
      <x:c r="C542" s="21" t="d">
        <x:v>2026-10-17T12:06:36.000Z</x:v>
      </x:c>
      <x:c r="D542" t="str">
        <x:v>Portfolio and SPY benchmark checkpoint</x:v>
      </x:c>
      <x:c r="E542" t="str">
        <x:v>StockAnalysis / public market data</x:v>
      </x:c>
      <x:c r="F542" t="str">
        <x:v>Official-close market data</x:v>
      </x:c>
      <x:c r="G542" s="44" t="str">
        <x:v>https://stockanalysis.com/etf/spy/history/</x:v>
      </x:c>
      <x:c r="H542" s="44" t="str">
        <x:v>At October 16 closes the three actual paper positions were worth $3,326.86, up $326.86 or 10.90% on $3,000. SPY fell from its September 8 open of $769.07 to $763.25, about -0.76% over the same unadjusted price window.</x:v>
      </x:c>
      <x:c r="I542" s="44" t="str">
        <x:v>Paper portfolio outperformed SPY by about 11.65 percentage points</x:v>
      </x:c>
      <x:c r="J542" s="44" t="n">
        <x:v>4</x:v>
      </x:c>
      <x:c r="K542" s="44" t="str">
        <x:v>The result is concentrated in one energy-shock thesis, excludes transaction costs and taxes, and uses fractional shares. SPY paid a dividend during the period, so the unadjusted price comparison understates benchmark total return.</x:v>
      </x:c>
    </x:row>
    <x:row r="543">
      <x:c r="A543" t="str">
        <x:v>EV-2026-538</x:v>
      </x:c>
      <x:c r="B543"/>
      <x:c r="C543" s="21" t="d">
        <x:v>2026-10-18T12:10:53.000Z</x:v>
      </x:c>
      <x:c r="D543" t="str">
        <x:v>Week-ahead earnings event queue</x:v>
      </x:c>
      <x:c r="E543" t="str">
        <x:v>Associated Press</x:v>
      </x:c>
      <x:c r="F543" t="str">
        <x:v>Independent news calendar</x:v>
      </x:c>
      <x:c r="G543" s="44" t="str">
        <x:v>https://apnews.com/article/earnings-inflation-technology-housing-employment-3982e18ed2061f793aa921b6addade05</x:v>
      </x:c>
      <x:c r="H543" s="44" t="str">
        <x:v>Major scheduled reports include GM and Netflix Tuesday, United Airlines Wednesday, and Tesla, Meta and IBM later in the week. Friday closing prices were recorded as non-executable context only. Decision: no pre-earnings paper entry; reassess after primary results and a live regular-session quote.</x:v>
      </x:c>
      <x:c r="I543" s="44" t="str">
        <x:v>No paper entry; event watch with post-results review</x:v>
      </x:c>
      <x:c r="J543" s="44" t="n">
        <x:v>4</x:v>
      </x:c>
      <x:c r="K543" s="44" t="str">
        <x:v>Binary guidance risk is high, and inflation, fuel, labor and margin sensitivity could dominate company-specific catalysts. Sunday quotes are not executable.</x:v>
      </x:c>
    </x:row>
    <x:row r="544">
      <x:c r="A544" t="str">
        <x:v>EV-2026-539</x:v>
      </x:c>
      <x:c r="B544"/>
      <x:c r="C544" s="21" t="d">
        <x:v>2026-10-18T12:10:53.000Z</x:v>
      </x:c>
      <x:c r="D544" t="str">
        <x:v>Weekend cross-asset snapshot</x:v>
      </x:c>
      <x:c r="E544" t="str">
        <x:v>Public market data</x:v>
      </x:c>
      <x:c r="F544" t="str">
        <x:v>Official-close market data</x:v>
      </x:c>
      <x:c r="G544" s="44" t="str">
        <x:v>https://finance.yahoo.com/quote/SPY/</x:v>
      </x:c>
      <x:c r="H544" s="44" t="str">
        <x:v>Friday's close showed QQQ down 2.47%, IWM down 1.66% and XLK down 3.02%, while XLE gained 2.56%, XLP 1.10% and XLF 0.44%. HYG fell 0.34%, TLT gained 0.08% and GLD fell 0.17%. Decision: no new entry from a one-session rotation without live price confirmation.</x:v>
      </x:c>
      <x:c r="I544" s="44" t="str">
        <x:v>No new paper action</x:v>
      </x:c>
      <x:c r="J544" s="44" t="n">
        <x:v>4</x:v>
      </x:c>
      <x:c r="K544" s="44" t="str">
        <x:v>The move is a single-session snapshot, largely captured in the prior scan, and markets were closed. It does not establish durable breadth or an executable entry.</x:v>
      </x:c>
    </x:row>
    <x:row r="545">
      <x:c r="A545" t="str">
        <x:v>EV-2026-540</x:v>
      </x:c>
      <x:c r="B545" t="str">
        <x:v>EEI-2026-009</x:v>
      </x:c>
      <x:c r="C545" s="21" t="d">
        <x:v>2026-10-18T12:10:53.000Z</x:v>
      </x:c>
      <x:c r="D545" t="str">
        <x:v>Energy inflation evidence remains incremental</x:v>
      </x:c>
      <x:c r="E545" t="str">
        <x:v>Reuters</x:v>
      </x:c>
      <x:c r="F545" t="str">
        <x:v>Independent reporting with official inventory references</x:v>
      </x:c>
      <x:c r="G545" s="44" t="str">
        <x:v>https://www.reuters.com/business/energy/oil-prices-fall-investors-weigh-supply-outlook-middle-east-tensions-2026-10-15/</x:v>
      </x:c>
      <x:c r="H545" s="44" t="str">
        <x:v>Brent closed October 15 at $105.92 and WTI at $97.97 after an 8.6 million-barrel U.S. crude draw. Refining constraints and sanctions continue to support the existing refined-products inflation mechanism, but no new classification or entry decision was warranted Sunday.</x:v>
      </x:c>
      <x:c r="I545" s="44" t="str">
        <x:v>Existing thesis supported; no Entry Window change</x:v>
      </x:c>
      <x:c r="J545" s="44" t="n">
        <x:v>4</x:v>
      </x:c>
      <x:c r="K545" s="44" t="str">
        <x:v>Potential IEA product releases, easing sanctions enforcement and shadow-fleet adaptation could relieve supply stress. Natural-gas inventories remained above the five-year average and warm-weather forecasts pressured gas prices.</x:v>
      </x:c>
    </x:row>
    <x:row r="546">
      <x:c r="A546" t="str">
        <x:v>EV-2026-541</x:v>
      </x:c>
      <x:c r="B546"/>
      <x:c r="C546" s="21" t="d">
        <x:v>2026-10-18T12:10:53.000Z</x:v>
      </x:c>
      <x:c r="D546" t="str">
        <x:v>Public Motley Fool list screened and rejected as a trigger</x:v>
      </x:c>
      <x:c r="E546" t="str">
        <x:v>The Motley Fool</x:v>
      </x:c>
      <x:c r="F546" t="str">
        <x:v>Free editorial idea-generation source only</x:v>
      </x:c>
      <x:c r="G546" s="44" t="str">
        <x:v>https://www.fool.com/investing/top-stocks-to-buy-and-hold/</x:v>
      </x:c>
      <x:c r="H546" s="44" t="str">
        <x:v>The public page, last substantively updated September 3, presented a generic long-term list including Airbnb, CrowdStrike, MercadoLibre and Berkshire Hathaway. It disclosed relevant Fool/author positions and recommendations but supplied no new dated catalyst that justified a distinct thesis.</x:v>
      </x:c>
      <x:c r="I546" s="44" t="str">
        <x:v>REJECT new thesis; no paper action</x:v>
      </x:c>
      <x:c r="J546" s="44" t="n">
        <x:v>3</x:v>
      </x:c>
      <x:c r="K546" s="44" t="str">
        <x:v>The article is broad evergreen editorial content rather than an official paid-service recommendation. Promotional framing and company mentions are not independent confirmation, and no fresh primary catalyst was identified.</x:v>
      </x:c>
    </x:row>
    <x:row r="547">
      <x:c r="A547" t="str">
        <x:v>EV-2026-542</x:v>
      </x:c>
      <x:c r="B547"/>
      <x:c r="C547" s="21" t="d">
        <x:v>2026-10-19T12:46:22.000Z</x:v>
      </x:c>
      <x:c r="D547" t="str">
        <x:v>Cleveland-Cliffs earnings and steel-cycle candidate</x:v>
      </x:c>
      <x:c r="E547" t="str">
        <x:v>Cleveland-Cliffs</x:v>
      </x:c>
      <x:c r="F547" t="str">
        <x:v>Primary issuer results</x:v>
      </x:c>
      <x:c r="G547" s="44" t="str">
        <x:v>https://www.clevelandcliffs.com/investors/news-events/press-releases/detail/705/cleveland-cliffs-reports-third-quarter-2026-results</x:v>
      </x:c>
      <x:c r="H547" s="44" t="str">
        <x:v>Q3 revenue rose to $5.6B, adjusted EBITDA reached $612M versus $286M in Q2, average steel selling price increased to $1,177 per ton and management guided Q4 adjusted EBITDA to about $715M and 2027 adjusted EBITDA above $4B. Decision: REJECT a pre-open paper entry; no fill or position. Reassess only after regular-session price discovery establishes a non-headline base.</x:v>
      </x:c>
      <x:c r="I547" s="44" t="str">
        <x:v>REJECT current entry; strong catalyst but adverse entry asymmetry</x:v>
      </x:c>
      <x:c r="J547" s="44" t="n">
        <x:v>5</x:v>
      </x:c>
      <x:c r="K547" s="44" t="str">
        <x:v>Long-term debt was $7.645B versus $7.253B at year-end, cash was only $77M, nine-month net loss was $198M and 2027 guidance is price- and contract-dependent. Reuters reported a 13.8% premarket jump, so headline-chasing risk is high.</x:v>
      </x:c>
    </x:row>
    <x:row r="548">
      <x:c r="A548" t="str">
        <x:v>EV-2026-543</x:v>
      </x:c>
      <x:c r="B548"/>
      <x:c r="C548" s="21" t="d">
        <x:v>2026-10-19T09:44:00.000Z</x:v>
      </x:c>
      <x:c r="D548" t="str">
        <x:v>Cleveland-Cliffs market-reaction modifier</x:v>
      </x:c>
      <x:c r="E548" t="str">
        <x:v>Reuters</x:v>
      </x:c>
      <x:c r="F548" t="str">
        <x:v>Independent market reporting</x:v>
      </x:c>
      <x:c r="G548" s="44" t="str">
        <x:v>https://www.reuters.com/business/wall-st-futures-climb-ai-stocks-rebound-oil-yields-fall-2026-10-19/</x:v>
      </x:c>
      <x:c r="H548" s="44" t="str">
        <x:v>CLF was indicated 13.8% higher before the open after the earnings beat. The move confirms attention to the catalyst but consumes much of the immediate trading edge before executable regular-session price discovery.</x:v>
      </x:c>
      <x:c r="I548" s="44" t="str">
        <x:v>Supports rejection of a headline chase</x:v>
      </x:c>
      <x:c r="J548" s="44" t="n">
        <x:v>4</x:v>
      </x:c>
      <x:c r="K548" s="44" t="str">
        <x:v>Premarket indications are not executable regular-session quotes and can reverse after the open. Fundamental valuation may still become attractive if the stock builds an orderly base and debt reduction materializes.</x:v>
      </x:c>
    </x:row>
    <x:row r="549">
      <x:c r="A549" t="str">
        <x:v>EV-2026-544</x:v>
      </x:c>
      <x:c r="B549"/>
      <x:c r="C549" s="21" t="d">
        <x:v>2026-10-19T12:46:22.000Z</x:v>
      </x:c>
      <x:c r="D549" t="str">
        <x:v>Fifth Third earnings candidate</x:v>
      </x:c>
      <x:c r="E549" t="str">
        <x:v>Fifth Third Bancorp</x:v>
      </x:c>
      <x:c r="F549" t="str">
        <x:v>Primary issuer results</x:v>
      </x:c>
      <x:c r="G549" s="44" t="str">
        <x:v>https://ir.53.com/news/news-details/2026/Fifth-Third-Bancorp-Reports-Third-Quarter-2026-Earnings/default.aspx</x:v>
      </x:c>
      <x:c r="H549" s="44" t="str">
        <x:v>Adjusted EPS of $1.13 beat the $1.09 public consensus; NII rose 3% sequentially to $2.276B, deposits rose 3%, wholesale funding fell 10%, CET1 improved to 10.02% and the NCO ratio was 0.31%. Decision: REJECT a fresh pre-open entry and require post-call, regular-session confirmation.</x:v>
      </x:c>
      <x:c r="I549" s="44" t="str">
        <x:v>REJECT current entry; integration economics need more proof</x:v>
      </x:c>
      <x:c r="J549" s="44" t="n">
        <x:v>5</x:v>
      </x:c>
      <x:c r="K549" s="44" t="str">
        <x:v>Reported EPS was $0.90, essentially flat year over year; NIM slipped 2 bps sequentially, noninterest income fell 5%, merger-related charges were about $1.04B year to date and nonperforming assets rose to $1.160B from $1.075B in Q2. The beat was modest rather than a step-change.</x:v>
      </x:c>
    </x:row>
    <x:row r="550">
      <x:c r="A550" t="str">
        <x:v>EV-2026-545</x:v>
      </x:c>
      <x:c r="B550"/>
      <x:c r="C550" s="21" t="d">
        <x:v>2026-10-19T13:00:00.000Z</x:v>
      </x:c>
      <x:c r="D550" t="str">
        <x:v>Motley Fool UnitedHealth trigger</x:v>
      </x:c>
      <x:c r="E550" t="str">
        <x:v>The Motley Fool / David Jagielski, CPA</x:v>
      </x:c>
      <x:c r="F550" t="str">
        <x:v>Free editorial idea-generation source only</x:v>
      </x:c>
      <x:c r="G550" s="44" t="str">
        <x:v>https://www.fool.com/investing/2026/10/19/is-unitedhealth-group-stock-a-buy-after-another-solid-quarter/</x:v>
      </x:c>
      <x:c r="H550" s="44" t="str">
        <x:v>Free Oct. 19 editorial at 8:00 a.m. ET argued UNH remained attractive after a Q3 beat and raised 2026 guidance, with a long-term value, stability and dividend thesis. Expected variable: adjusted EPS and medical-cost profitability over multiple years. Author disclosed no position; The Motley Fool recommends UNH, while the article said UNH was not on the current Stock Advisor top-10 list. The piece is a trigger, not confirmation.</x:v>
      </x:c>
      <x:c r="I550" s="44" t="str">
        <x:v>REJECT escalation from editorial alone</x:v>
      </x:c>
      <x:c r="J550" s="44" t="n">
        <x:v>3</x:v>
      </x:c>
      <x:c r="K550" s="44" t="str">
        <x:v>The article used already-public Oct. 13 results and a stock that had rallied about 22% year to date. Promotional Stock Advisor performance language is not evidence and was excluded from the thesis assessment.</x:v>
      </x:c>
    </x:row>
    <x:row r="551">
      <x:c r="A551" t="str">
        <x:v>EV-2026-546</x:v>
      </x:c>
      <x:c r="B551"/>
      <x:c r="C551" s="21" t="d">
        <x:v>2026-10-19T12:46:22.000Z</x:v>
      </x:c>
      <x:c r="D551" t="str">
        <x:v>UnitedHealth primary follow-through</x:v>
      </x:c>
      <x:c r="E551" t="str">
        <x:v>UnitedHealth Group / SEC</x:v>
      </x:c>
      <x:c r="F551" t="str">
        <x:v>Primary issuer and SEC-filed results</x:v>
      </x:c>
      <x:c r="G551" s="44" t="str">
        <x:v>https://www.unitedhealthgroup.com/newsroom/2026/2026-10-13-uhg-reports-third-quarter-2026-results.html</x:v>
      </x:c>
      <x:c r="H551" s="44" t="str">
        <x:v>Q3 revenue was $112.7B, operating income $6.6B, adjusted EPS $4.69 and operating cash flow $5.1B; full-year adjusted EPS guidance rose to at least $20.50. Decision: REJECT a new paper entry at this scan; the catalyst is six days old and no fresh regular-session quote was available.</x:v>
      </x:c>
      <x:c r="I551" s="44" t="str">
        <x:v>Primary confirmation of turnaround; no new thesis or paper action</x:v>
      </x:c>
      <x:c r="J551" s="44" t="n">
        <x:v>5</x:v>
      </x:c>
      <x:c r="K551" s="44" t="str">
        <x:v>Revenue was slightly below the prior-year quarter, operating income fell from $8.0B in Q2, debt-to-capital was 41.7%, and medical-cost, regulatory, legal and membership risks remain. The October 16 close of $401.43 already reflected post-earnings repricing.</x:v>
      </x:c>
    </x:row>
    <x:row r="552">
      <x:c r="A552" t="str">
        <x:v>EV-2026-547</x:v>
      </x:c>
      <x:c r="B552"/>
      <x:c r="C552" s="21" t="d">
        <x:v>2026-10-19T12:46:22.000Z</x:v>
      </x:c>
      <x:c r="D552" t="str">
        <x:v>Government-award and insider channel screen</x:v>
      </x:c>
      <x:c r="E552" t="str">
        <x:v>USAspending.gov / SEC EDGAR</x:v>
      </x:c>
      <x:c r="F552" t="str">
        <x:v>Primary public-record screen</x:v>
      </x:c>
      <x:c r="G552" s="44" t="str">
        <x:v>https://www.usaspending.gov/</x:v>
      </x:c>
      <x:c r="H552" s="44" t="str">
        <x:v>The accessible federal-award feed was led by routine modifications including SAIC 47QFCA21F0001 P00082 ($12.30M), CACI 36C10B26F0143 P00002 ($11.84M) and Accenture 47QFRA21F0029 P00039 ($11.41M). A new Amazon Web Services order, 15JPSS26F00001521 modification 0, was $3.21M and immaterial to Amazon. Separately, Ryan Cohen's Oct. 13 Form 4 showed $22.77M of GME purchases at $26.75-$27.00, but no independent operating catalyst qualified.</x:v>
      </x:c>
      <x:c r="I552" s="44" t="str">
        <x:v>No new public-equity thesis</x:v>
      </x:c>
      <x:c r="J552" s="44" t="n">
        <x:v>4</x:v>
      </x:c>
      <x:c r="K552" s="44" t="str">
        <x:v>Award values were small relative to parent-company revenue and most were modifications rather than new awards. Competition, total potential value and full performance details were not available in the accessible screen. Insider buying alone does not establish revenue or cash-flow improvement, and GME remains unusually sentiment-sensitive.</x:v>
      </x:c>
    </x:row>
    <x:row r="553">
      <x:c r="A553" t="str">
        <x:v>EV-2026-548</x:v>
      </x:c>
      <x:c r="B553" t="str">
        <x:v>EEI-2026-009</x:v>
      </x:c>
      <x:c r="C553" s="21" t="d">
        <x:v>2026-10-19T09:44:00.000Z</x:v>
      </x:c>
      <x:c r="D553" t="str">
        <x:v>Energy and cross-asset pre-open update</x:v>
      </x:c>
      <x:c r="E553" t="str">
        <x:v>Reuters</x:v>
      </x:c>
      <x:c r="F553" t="str">
        <x:v>Independent market reporting</x:v>
      </x:c>
      <x:c r="G553" s="44" t="str">
        <x:v>https://www.reuters.com/business/wall-st-futures-climb-ai-stocks-rebound-oil-yields-fall-2026-10-19/</x:v>
      </x:c>
      <x:c r="H553" s="44" t="str">
        <x:v>Brent fell about 1.3% toward $108.50 after a partial Russian-sanctions waiver, while a new tanker mine incident and elevated shipping and insurance constraints kept physical-supply risk high. Nasdaq futures rose about 1.05% and the 10-year Treasury yield eased to 5.0812%. Decision: existing energy-inflation thesis remains supported but unchanged; no fresh paper entry.</x:v>
      </x:c>
      <x:c r="I553" s="44" t="str">
        <x:v>Incremental support and contradiction; no classification change</x:v>
      </x:c>
      <x:c r="J553" s="44" t="n">
        <x:v>4</x:v>
      </x:c>
      <x:c r="K553" s="44" t="str">
        <x:v>The sanctions waiver and lower oil price show policy can relieve the risk premium, while the equity rebound was premarket and concentrated in AI-linked names. The existing paper portfolio is already concentrated in crude and energy exposure.</x:v>
      </x:c>
    </x:row>
    <x:row r="554">
      <x:c r="A554" t="str">
        <x:v>EV-2026-549</x:v>
      </x:c>
      <x:c r="B554" t="str">
        <x:v>EEI-2026-021</x:v>
      </x:c>
      <x:c r="C554" s="21" t="d">
        <x:v>2026-10-19T12:46:22.000Z</x:v>
      </x:c>
      <x:c r="D554" t="str">
        <x:v>Travelers rejected-setup checkpoint</x:v>
      </x:c>
      <x:c r="E554" t="str">
        <x:v>Easy E Invest decision record</x:v>
      </x:c>
      <x:c r="F554" t="str">
        <x:v>Methodology decision</x:v>
      </x:c>
      <x:c r="G554" s="44" t="str">
        <x:v>https://investor.travelers.com/investor-toolkit/historical-prices/default.aspx</x:v>
      </x:c>
      <x:c r="H554" s="44" t="str">
        <x:v>The withdrawn $365 proposal remains rejected and no position exists. With no fresh regular-session quote available before the scan, no new paper decision was manufactured. Next review: October 26, using a current quote and explicit reward-to-invalidation test.</x:v>
      </x:c>
      <x:c r="I554" s="44" t="str">
        <x:v>REJECT remains; next review dated</x:v>
      </x:c>
      <x:c r="J554" s="44" t="n">
        <x:v>4</x:v>
      </x:c>
      <x:c r="K554" s="44" t="str">
        <x:v>Travelers' operating thesis remains supported, but the October 16 close of $389.54 had already consumed the original setup. Missing pre-open execution evidence is an operational limitation, not a negative fundamental judgment.</x:v>
      </x:c>
    </x:row>
    <x:row r="555">
      <x:c r="A555" t="str">
        <x:v>EV-2026-550</x:v>
      </x:c>
      <x:c r="B555" t="str">
        <x:v>EEI-2026-001</x:v>
      </x:c>
      <x:c r="C555" s="21" t="d">
        <x:v>2026-10-19T21:05:33.000Z</x:v>
      </x:c>
      <x:c r="D555" t="str">
        <x:v>Paper-trade outcome</x:v>
      </x:c>
      <x:c r="E555" t="str">
        <x:v>StockAnalysis</x:v>
      </x:c>
      <x:c r="F555" t="str">
        <x:v>Market data</x:v>
      </x:c>
      <x:c r="G555" s="44" t="str">
        <x:v>https://stockanalysis.com/etf/bno/history/</x:v>
      </x:c>
      <x:c r="H555" s="44" t="str">
        <x:v>BNO closed October 19 at $67.12 versus the fixed September 8 opening entry of $57.21. The $1,000 fractional-share paper position was worth $1,173.22, a gain of $173.22 or 17.32%.</x:v>
      </x:c>
      <x:c r="I555" s="44" t="str">
        <x:v>Confirms direct Brent expression</x:v>
      </x:c>
      <x:c r="J555" s="44" t="n">
        <x:v>4</x:v>
      </x:c>
      <x:c r="K555" s="44" t="str">
        <x:v>Official regular-session close used; totals retain unrounded fractional shares.</x:v>
      </x:c>
    </x:row>
    <x:row r="556">
      <x:c r="A556" t="str">
        <x:v>EV-2026-551</x:v>
      </x:c>
      <x:c r="B556" t="str">
        <x:v>EEI-2026-001</x:v>
      </x:c>
      <x:c r="C556" s="21" t="d">
        <x:v>2026-10-19T21:05:33.000Z</x:v>
      </x:c>
      <x:c r="D556" t="str">
        <x:v>Paper-trade outcome</x:v>
      </x:c>
      <x:c r="E556" t="str">
        <x:v>StockAnalysis</x:v>
      </x:c>
      <x:c r="F556" t="str">
        <x:v>Market data</x:v>
      </x:c>
      <x:c r="G556" s="44" t="str">
        <x:v>https://stockanalysis.com/etf/uso/history/</x:v>
      </x:c>
      <x:c r="H556" s="44" t="str">
        <x:v>USO closed October 19 at $160.81 versus the fixed September 8 opening entry of $144.60. The $1,000 fractional-share paper position was worth $1,112.10, a gain of $112.10 or 11.21%.</x:v>
      </x:c>
      <x:c r="I556" s="44" t="str">
        <x:v>Confirms direct WTI expression</x:v>
      </x:c>
      <x:c r="J556" s="44" t="n">
        <x:v>4</x:v>
      </x:c>
      <x:c r="K556" s="44" t="str">
        <x:v>Official regular-session close used; the fund's futures exposure can diverge from a single expiring WTI contract.</x:v>
      </x:c>
    </x:row>
    <x:row r="557">
      <x:c r="A557" t="str">
        <x:v>EV-2026-552</x:v>
      </x:c>
      <x:c r="B557" t="str">
        <x:v>EEI-2026-001</x:v>
      </x:c>
      <x:c r="C557" s="21" t="d">
        <x:v>2026-10-19T21:05:33.000Z</x:v>
      </x:c>
      <x:c r="D557" t="str">
        <x:v>Paper-trade outcome</x:v>
      </x:c>
      <x:c r="E557" t="str">
        <x:v>StockAnalysis</x:v>
      </x:c>
      <x:c r="F557" t="str">
        <x:v>Market data</x:v>
      </x:c>
      <x:c r="G557" s="44" t="str">
        <x:v>https://stockanalysis.com/etf/xop/history/</x:v>
      </x:c>
      <x:c r="H557" s="44" t="str">
        <x:v>XOP closed October 19 at $199.47 versus the fixed September 8 opening entry of $193.84. The $1,000 fractional-share paper position was worth $1,029.04, a gain of $29.04 or 2.90%.</x:v>
      </x:c>
      <x:c r="I557" s="44" t="str">
        <x:v>Positive but still weakest expression</x:v>
      </x:c>
      <x:c r="J557" s="44" t="n">
        <x:v>4</x:v>
      </x:c>
      <x:c r="K557" s="44" t="str">
        <x:v>Official regular-session close used; the producer-equity ETF retains company and equity-market mapping risk.</x:v>
      </x:c>
    </x:row>
    <x:row r="558">
      <x:c r="A558" t="str">
        <x:v>EV-2026-553</x:v>
      </x:c>
      <x:c r="B558" t="str">
        <x:v>EEI-2026-001</x:v>
      </x:c>
      <x:c r="C558" s="21" t="d">
        <x:v>2026-10-19T21:05:33.000Z</x:v>
      </x:c>
      <x:c r="D558" t="str">
        <x:v>Market confirmation and counterweight</x:v>
      </x:c>
      <x:c r="E558" t="str">
        <x:v>Reuters / Kpler</x:v>
      </x:c>
      <x:c r="F558" t="str">
        <x:v>High-quality independent reporting and shipping data</x:v>
      </x:c>
      <x:c r="G558" s="44" t="str">
        <x:v>https://www.reuters.com/business/energy/oil-slips-trumps-sanction-waiver-may-lead-more-russian-fuel-supplies-2026-10-18/</x:v>
      </x:c>
      <x:c r="H558" s="44" t="str">
        <x:v>Brent settled October 19 at $109.55. The expiring WTI front month settled at $103.66, while the more liquid December contract fell to $98.54. Kpler estimated regional crude flows averaged about 8.5 million bpd last week, down from more than 20 million bpd the prior week, after at least 10 confirmed commercial-vessel incidents.</x:v>
      </x:c>
      <x:c r="I558" s="44" t="str">
        <x:v>Confirms physical disruption but shows price and contract divergence</x:v>
      </x:c>
      <x:c r="J558" s="44" t="n">
        <x:v>5</x:v>
      </x:c>
      <x:c r="K558" s="44" t="str">
        <x:v>Houthi claims of attacks on Saudi facilities were unverified. A partial U.S. waiver on Russian-energy sanctions and higher September OPEC output could add supply.</x:v>
      </x:c>
    </x:row>
    <x:row r="559">
      <x:c r="A559" t="str">
        <x:v>EV-2026-554</x:v>
      </x:c>
      <x:c r="B559" t="str">
        <x:v>EEI-2026-001</x:v>
      </x:c>
      <x:c r="C559" s="21" t="d">
        <x:v>2026-10-19T21:05:33.000Z</x:v>
      </x:c>
      <x:c r="D559" t="str">
        <x:v>Mechanism update</x:v>
      </x:c>
      <x:c r="E559" t="str">
        <x:v>Reuters analysis / Kpler / LSEG</x:v>
      </x:c>
      <x:c r="F559" t="str">
        <x:v>High-quality analysis citing shipping and market data</x:v>
      </x:c>
      <x:c r="G559" s="44" t="str">
        <x:v>https://www.reuters.com/commentary/reuters-open-interest/asian-refiners-pain-is-middle-east-oil-producers-problem-bousso-2026-10-19/</x:v>
      </x:c>
      <x:c r="H559" s="44" t="str">
        <x:v>September Middle East crude exports recovered to 15.4 million bpd, nearly 90% of prewar levels, and Hormuz flows reached 10.7 million bpd, about 75% of prewar levels. Yet freight and insurance reached as much as 30% of delivered crude cost; Nigeria-to-Singapore freight was about $32 per barrel, and estimated Asian net refining margin was only a little above $7 after freight.</x:v>
      </x:c>
      <x:c r="I559" s="44" t="str">
        <x:v>Mixed: invalidates a pure volume-shortage view but confirms severe logistics friction</x:v>
      </x:c>
      <x:c r="J559" s="44" t="n">
        <x:v>5</x:v>
      </x:c>
      <x:c r="K559" s="44" t="str">
        <x:v>The article is Reuters analysis rather than a primary dataset. Freight costs and producer discounts can change quickly with security conditions and negotiations.</x:v>
      </x:c>
    </x:row>
    <x:row r="560">
      <x:c r="A560" t="str">
        <x:v>EV-2026-560</x:v>
      </x:c>
      <x:c r="B560"/>
      <x:c r="C560" s="21" t="d">
        <x:v>2026-10-21T13:46:46.000Z</x:v>
      </x:c>
      <x:c r="D560" t="str">
        <x:v>Cross-asset discovery screen</x:v>
      </x:c>
      <x:c r="E560" t="str">
        <x:v>Reuters / public market data</x:v>
      </x:c>
      <x:c r="F560" t="str">
        <x:v>Independent reporting and timestamped market data</x:v>
      </x:c>
      <x:c r="G560" s="44" t="str">
        <x:v>https://www.reuters.com/legal/transactional/nasdaq-futures-lead-gains-spacex-super-micro-results-lift-ai-trade-2026-10-21/</x:v>
      </x:c>
      <x:c r="H560" s="44" t="str">
        <x:v>Public-data coverage spanned major equity sectors, broad and sector ETFs, Treasury and high-yield instruments, gold and silver, crude and energy equities, earnings revisions, corporate actions, federal awards, policy and public Motley Fool ideas. Relative strength favored healthcare, financials, real estate and small caps while technology lagged early.</x:v>
      </x:c>
      <x:c r="I560" s="44" t="str">
        <x:v>Discovery context; no standalone thesis</x:v>
      </x:c>
      <x:c r="J560" s="44" t="n">
        <x:v>4</x:v>
      </x:c>
      <x:c r="K560" s="44" t="str">
        <x:v>Coverage was broad but not exhaustive. No proprietary flow, consolidated order book, paid research or complete insider-feed census was available.</x:v>
      </x:c>
    </x:row>
    <x:row r="561">
      <x:c r="A561" t="str">
        <x:v>EV-2026-561</x:v>
      </x:c>
      <x:c r="B561" t="str">
        <x:v>EEI-2026-022</x:v>
      </x:c>
      <x:c r="C561" s="21" t="d">
        <x:v>2026-10-21T13:46:46.000Z</x:v>
      </x:c>
      <x:c r="D561" t="str">
        <x:v>AT&amp;T Q3 primary validation</x:v>
      </x:c>
      <x:c r="E561" t="str">
        <x:v>AT&amp;T</x:v>
      </x:c>
      <x:c r="F561" t="str">
        <x:v>Primary issuer results</x:v>
      </x:c>
      <x:c r="G561" s="44" t="str">
        <x:v>https://about.att.com/story/2026/3q-earnings.html</x:v>
      </x:c>
      <x:c r="H561" s="44" t="str">
        <x:v>Q3 revenue was $32.3B, up 5.3%; adjusted EPS $0.65; adjusted EBITDA $12.5B, up 5.4%; operating cash flow $10.5B; free cash flow $5.0B; Advanced Connectivity service revenue up 6.1%; and subscriber additions included 442,000 fiber, 327,000 fixed wireless and 379,000 postpaid phones.</x:v>
      </x:c>
      <x:c r="I561" s="44" t="str">
        <x:v>Supports new Strong thesis</x:v>
      </x:c>
      <x:c r="J561" s="44" t="n">
        <x:v>5</x:v>
      </x:c>
      <x:c r="K561" s="44" t="str">
        <x:v>Net debt was $149.8B, total debt $159.6B, legacy revenue fell 24.5%, Mexico took a $2.6B impairment and leverage normalization is long dated.</x:v>
      </x:c>
    </x:row>
    <x:row r="562">
      <x:c r="A562" t="str">
        <x:v>EV-2026-562</x:v>
      </x:c>
      <x:c r="B562" t="str">
        <x:v>EEI-2026-022</x:v>
      </x:c>
      <x:c r="C562" s="21" t="d">
        <x:v>2026-10-21T13:46:46.000Z</x:v>
      </x:c>
      <x:c r="D562" t="str">
        <x:v>AT&amp;T independent confirmation and price decision</x:v>
      </x:c>
      <x:c r="E562" t="str">
        <x:v>Reuters / public market data</x:v>
      </x:c>
      <x:c r="F562" t="str">
        <x:v>Independent reporting and timestamped quote</x:v>
      </x:c>
      <x:c r="G562" s="44" t="str">
        <x:v>https://www.reuters.com/business/media-telecom/att-raises-annual-profit-forecast-strong-demand-bundled-plans-2026-10-21/</x:v>
      </x:c>
      <x:c r="H562" s="44" t="str">
        <x:v>Reuters confirmed revenue and EPS beats, stronger bundled-plan demand and raised adjusted-EPS guidance. T traded at $22.01 at 9:31 a.m. ET (15-minute-delayed public feed), range $21.64-$24.04. Decision: propose a $300 exploratory paper entry at market; do not chase above $23.50. No fill was recorded.</x:v>
      </x:c>
      <x:c r="I562" s="44" t="str">
        <x:v>ACTIONABLE NOW proposal; not a fill</x:v>
      </x:c>
      <x:c r="J562" s="44" t="n">
        <x:v>4</x:v>
      </x:c>
      <x:c r="K562" s="44" t="str">
        <x:v>The negative market response may reflect debt, capex and legacy-business risk. Portfolio capital and sizing rules remain unavailable, so a proposal cannot be counted as a position.</x:v>
      </x:c>
    </x:row>
    <x:row r="563">
      <x:c r="A563" t="str">
        <x:v>EV-2026-563</x:v>
      </x:c>
      <x:c r="B563"/>
      <x:c r="C563" s="21" t="d">
        <x:v>2026-10-21T13:46:46.000Z</x:v>
      </x:c>
      <x:c r="D563" t="str">
        <x:v>Super Micro preliminary-results candidate</x:v>
      </x:c>
      <x:c r="E563" t="str">
        <x:v>Super Micro Computer / SEC and Reuters</x:v>
      </x:c>
      <x:c r="F563" t="str">
        <x:v>Primary filing with independent confirmation</x:v>
      </x:c>
      <x:c r="G563" s="44" t="str">
        <x:v>https://www.sec.gov/Archives/edgar/data/1375365/000137536526000025/smcifirstquarterfy2027busi.htm</x:v>
      </x:c>
      <x:c r="H563" s="44" t="str">
        <x:v>Super Micro preliminarily raised fiscal-Q1 revenue to $18.5B-$19.5B from $14.5B-$15.5B and gross margin to 12.0%-12.5% from 10.4%-10.8%; SMCI traded near $36.77 at 9:31 a.m. ET (15-minute-delayed public feed). Decision: REJECT a fresh entry until audited November 3 results resolve profitability, cash conversion and accounting quality.</x:v>
      </x:c>
      <x:c r="I563" s="44" t="str">
        <x:v>Rejected fresh candidate</x:v>
      </x:c>
      <x:c r="J563" s="44" t="n">
        <x:v>5</x:v>
      </x:c>
      <x:c r="K563" s="44" t="str">
        <x:v>Figures are unaudited; the company remains under accounting scrutiny, recently changed CFO, and the initial repricing reduced near-term edge.</x:v>
      </x:c>
    </x:row>
    <x:row r="564">
      <x:c r="A564" t="str">
        <x:v>EV-2026-564</x:v>
      </x:c>
      <x:c r="B564"/>
      <x:c r="C564" s="21" t="d">
        <x:v>2026-10-21T13:46:46.000Z</x:v>
      </x:c>
      <x:c r="D564" t="str">
        <x:v>Elevance earnings candidate</x:v>
      </x:c>
      <x:c r="E564" t="str">
        <x:v>Reuters</x:v>
      </x:c>
      <x:c r="F564" t="str">
        <x:v>Independent market reporting</x:v>
      </x:c>
      <x:c r="G564" s="44" t="str">
        <x:v>https://www.reuters.com/business/healthcare-pharmaceuticals/elevance-lifts-2026-profit-forecast-better-medical-cost-management-2026-10-21/</x:v>
      </x:c>
      <x:c r="H564" s="44" t="str">
        <x:v>Elevance raised 2026 adjusted-EPS guidance to at least $29 and reported a 90.6% benefit-expense ratio; ELV traded near $446.79 at 9:31 a.m. ET (15-minute-delayed public feed). Decision: REJECT because membership fell by about 487,000 and the headline EPS included $1.85 of non-operating income.</x:v>
      </x:c>
      <x:c r="I564" s="44" t="str">
        <x:v>Rejected fresh candidate</x:v>
      </x:c>
      <x:c r="J564" s="44" t="n">
        <x:v>4</x:v>
      </x:c>
      <x:c r="K564" s="44" t="str">
        <x:v>The medical-cost result improved, but membership contraction and non-operating earnings reduce the quality of the apparent beat.</x:v>
      </x:c>
    </x:row>
    <x:row r="565">
      <x:c r="A565" t="str">
        <x:v>EV-2026-565</x:v>
      </x:c>
      <x:c r="B565"/>
      <x:c r="C565" s="21" t="d">
        <x:v>2026-10-21T13:46:46.000Z</x:v>
      </x:c>
      <x:c r="D565" t="str">
        <x:v>Netflix earnings and public-editorial trigger</x:v>
      </x:c>
      <x:c r="E565" t="str">
        <x:v>Reuters / The Motley Fool</x:v>
      </x:c>
      <x:c r="F565" t="str">
        <x:v>Independent reporting; free editorial trigger only</x:v>
      </x:c>
      <x:c r="G565" s="44" t="str">
        <x:v>https://www.reuters.com/business/media-telecom/netflix-issues-weak-fourth-quarter-forecast-company-seeks-kick-start-growth-2026-10-20/</x:v>
      </x:c>
      <x:c r="H565" s="44" t="str">
        <x:v>A public Motley Fool article called Netflix oversold, but Reuters reported weaker Q4 profit guidance, a reduced 2026 advertising-revenue forecast and U.S. subscriber losses; NFLX traded near $65.08 at 9:31 a.m. ET (15-minute-delayed public feed). Decision: REJECT. Motley Fool was not confirmation.</x:v>
      </x:c>
      <x:c r="I565" s="44" t="str">
        <x:v>Rejected fresh candidate</x:v>
      </x:c>
      <x:c r="J565" s="44" t="n">
        <x:v>4</x:v>
      </x:c>
      <x:c r="K565" s="44" t="str">
        <x:v>Q3 revenue grew 11.8%, but subscriber, advertising and forward-profit evidence contradicted the oversold thesis.</x:v>
      </x:c>
    </x:row>
    <x:row r="566">
      <x:c r="A566" t="str">
        <x:v>EV-2026-566</x:v>
      </x:c>
      <x:c r="B566"/>
      <x:c r="C566" s="21" t="d">
        <x:v>2026-10-21T13:46:46.000Z</x:v>
      </x:c>
      <x:c r="D566" t="str">
        <x:v>Abbott separation candidate</x:v>
      </x:c>
      <x:c r="E566" t="str">
        <x:v>Reuters</x:v>
      </x:c>
      <x:c r="F566" t="str">
        <x:v>Independent market reporting</x:v>
      </x:c>
      <x:c r="G566" s="44" t="str">
        <x:v>https://www.reuters.com/business/healthcare-pharmaceuticals/abbott-lowers-2026-sales-growth-forecast-medical-device-weakness-2026-10-21/</x:v>
      </x:c>
      <x:c r="H566" s="44" t="str">
        <x:v>Abbott proposed a nutrition-business separation by the end of 2027 but cut 2026 organic-sales growth guidance because of medical-device weakness. Decision: REJECT a new thesis pending transaction details and stabilization in the core device business.</x:v>
      </x:c>
      <x:c r="I566" s="44" t="str">
        <x:v>Rejected corporate-action candidate</x:v>
      </x:c>
      <x:c r="J566" s="44" t="n">
        <x:v>4</x:v>
      </x:c>
      <x:c r="K566" s="44" t="str">
        <x:v>A long-dated separation cannot offset an immediate operating-guide cut without clearer standalone economics.</x:v>
      </x:c>
    </x:row>
    <x:row r="567">
      <x:c r="A567" t="str">
        <x:v>EV-2026-567</x:v>
      </x:c>
      <x:c r="B567"/>
      <x:c r="C567" s="21" t="d">
        <x:v>2026-10-21T13:46:46.000Z</x:v>
      </x:c>
      <x:c r="D567" t="str">
        <x:v>L3Harris Navy contract screen</x:v>
      </x:c>
      <x:c r="E567" t="str">
        <x:v>L3Harris</x:v>
      </x:c>
      <x:c r="F567" t="str">
        <x:v>Primary issuer announcement</x:v>
      </x:c>
      <x:c r="G567" s="44" t="str">
        <x:v>https://www.l3harris.com/newsroom/press-release/2026/10/l3harris-advances-us-navy-next-generation-jammer-low-band-program</x:v>
      </x:c>
      <x:c r="H567" s="44" t="str">
        <x:v>L3Harris disclosed an $876.4M undefinitized Navy contract modification for the Next Generation Jammer Low Band engineering and manufacturing-development phase. Decision: REJECT a standalone entry because the action was previously signaled, funding and margin detail remain incomplete, and an undefinitized modification is not equivalent to a new fully funded award.</x:v>
      </x:c>
      <x:c r="I567" s="44" t="str">
        <x:v>Rejected award catalyst</x:v>
      </x:c>
      <x:c r="J567" s="44" t="n">
        <x:v>5</x:v>
      </x:c>
      <x:c r="K567" s="44" t="str">
        <x:v>The notice did not establish incremental obligation, competition terms, final economics or unexpected materiality relative to L3Harris revenue and backlog.</x:v>
      </x:c>
    </x:row>
    <x:row r="568">
      <x:c r="A568" t="str">
        <x:v>EV-2026-568</x:v>
      </x:c>
      <x:c r="B568"/>
      <x:c r="C568" s="21" t="d">
        <x:v>2026-10-21T13:46:46.000Z</x:v>
      </x:c>
      <x:c r="D568" t="str">
        <x:v>Federal-award channel screen</x:v>
      </x:c>
      <x:c r="E568" t="str">
        <x:v>U.S. Department of War / federal award records</x:v>
      </x:c>
      <x:c r="F568" t="str">
        <x:v>Primary government records and delayed award data</x:v>
      </x:c>
      <x:c r="G568" s="44" t="str">
        <x:v>https://www.war.gov/news/contracts/</x:v>
      </x:c>
      <x:c r="H568" s="44" t="str">
        <x:v>The October 20 public contract list included electricity-supply awards to Constellation NewEnergy, Direct Energy and WGL Energy whose individual values were not material to public parents. A separately surfaced $2.21B TOTE shipbuilding award was a July action posted with delay and involved a private recipient. No listed-equity thesis qualified.</x:v>
      </x:c>
      <x:c r="I568" s="44" t="str">
        <x:v>No public-equity thesis</x:v>
      </x:c>
      <x:c r="J568" s="44" t="n">
        <x:v>4</x:v>
      </x:c>
      <x:c r="K568" s="44" t="str">
        <x:v>The current award page was intermittently inaccessible, and delayed feeds can surface old actions as new. Obligations, NAICS/PSC and parent-level materiality were incomplete for some records.</x:v>
      </x:c>
    </x:row>
    <x:row r="569">
      <x:c r="A569" t="str">
        <x:v>EV-2026-569</x:v>
      </x:c>
      <x:c r="B569"/>
      <x:c r="C569" s="21" t="d">
        <x:v>2026-10-21T13:46:46.000Z</x:v>
      </x:c>
      <x:c r="D569" t="str">
        <x:v>Motley Fool public-idea screen</x:v>
      </x:c>
      <x:c r="E569" t="str">
        <x:v>The Motley Fool / John Ballard</x:v>
      </x:c>
      <x:c r="F569" t="str">
        <x:v>Free editorial trigger source only</x:v>
      </x:c>
      <x:c r="G569" s="44" t="str">
        <x:v>https://www.fool.com/investing/2026/10/21/2-brilliant-stocks-to-buy-now-and-hold-forever/</x:v>
      </x:c>
      <x:c r="H569" s="44" t="str">
        <x:v>A free October 21 editorial proposed Amazon and On Holding as long-duration buys. The article supplied no new independently material catalyst beyond existing growth narratives, so neither idea advanced to a thesis or paper action. Promotional framing was excluded and Motley Fool was not treated as confirmation.</x:v>
      </x:c>
      <x:c r="I569" s="44" t="str">
        <x:v>Rejected escalation</x:v>
      </x:c>
      <x:c r="J569" s="44" t="n">
        <x:v>3</x:v>
      </x:c>
      <x:c r="K569" s="44" t="str">
        <x:v>No paid-service pick was inferred. The article's broad long-horizon claims did not create a fresh, timestamped entry edge.</x:v>
      </x:c>
    </x:row>
    <x:row r="570">
      <x:c r="A570" t="str">
        <x:v>EV-2026-555</x:v>
      </x:c>
      <x:c r="B570" t="str">
        <x:v>EEI-2026-001</x:v>
      </x:c>
      <x:c r="C570" s="21" t="d">
        <x:v>2026-10-20T21:06:27.000Z</x:v>
      </x:c>
      <x:c r="D570" t="str">
        <x:v>Paper-trade outcome</x:v>
      </x:c>
      <x:c r="E570" t="str">
        <x:v>StockAnalysis</x:v>
      </x:c>
      <x:c r="F570" t="str">
        <x:v>Market data</x:v>
      </x:c>
      <x:c r="G570" s="44" t="str">
        <x:v>https://stockanalysis.com/etf/bno/history/</x:v>
      </x:c>
      <x:c r="H570" s="44" t="str">
        <x:v>BNO closed October 20 at $66.87 versus the fixed September 8 opening entry of $57.21. The $1,000 fractional-share paper position was worth $1,168.85, a gain of $168.85 or 16.89%.</x:v>
      </x:c>
      <x:c r="I570" s="44" t="str">
        <x:v>Confirms direct Brent expression</x:v>
      </x:c>
      <x:c r="J570" s="44" t="n">
        <x:v>4</x:v>
      </x:c>
      <x:c r="K570" s="44" t="str">
        <x:v>Restored after the October 21 morning research scan displaced the prior close record; official regular-session close used.</x:v>
      </x:c>
    </x:row>
    <x:row r="571">
      <x:c r="A571" t="str">
        <x:v>EV-2026-556</x:v>
      </x:c>
      <x:c r="B571" t="str">
        <x:v>EEI-2026-001</x:v>
      </x:c>
      <x:c r="C571" s="21" t="d">
        <x:v>2026-10-20T21:06:27.000Z</x:v>
      </x:c>
      <x:c r="D571" t="str">
        <x:v>Paper-trade outcome</x:v>
      </x:c>
      <x:c r="E571" t="str">
        <x:v>StockAnalysis</x:v>
      </x:c>
      <x:c r="F571" t="str">
        <x:v>Market data</x:v>
      </x:c>
      <x:c r="G571" s="44" t="str">
        <x:v>https://stockanalysis.com/etf/uso/history/</x:v>
      </x:c>
      <x:c r="H571" s="44" t="str">
        <x:v>USO closed October 20 at $160.61 versus the fixed September 8 opening entry of $144.60. The $1,000 fractional-share paper position was worth $1,110.72, a gain of $110.72 or 11.07%.</x:v>
      </x:c>
      <x:c r="I571" s="44" t="str">
        <x:v>Confirms direct WTI expression</x:v>
      </x:c>
      <x:c r="J571" s="44" t="n">
        <x:v>4</x:v>
      </x:c>
      <x:c r="K571" s="44" t="str">
        <x:v>Restored after the October 21 morning research scan displaced the prior close record; the fund's futures exposure can diverge from a single expiring WTI contract.</x:v>
      </x:c>
    </x:row>
    <x:row r="572">
      <x:c r="A572" t="str">
        <x:v>EV-2026-557</x:v>
      </x:c>
      <x:c r="B572" t="str">
        <x:v>EEI-2026-001</x:v>
      </x:c>
      <x:c r="C572" s="21" t="d">
        <x:v>2026-10-20T21:06:27.000Z</x:v>
      </x:c>
      <x:c r="D572" t="str">
        <x:v>Paper-trade outcome</x:v>
      </x:c>
      <x:c r="E572" t="str">
        <x:v>StockAnalysis</x:v>
      </x:c>
      <x:c r="F572" t="str">
        <x:v>Market data</x:v>
      </x:c>
      <x:c r="G572" s="44" t="str">
        <x:v>https://stockanalysis.com/etf/xop/history/</x:v>
      </x:c>
      <x:c r="H572" s="44" t="str">
        <x:v>XOP closed October 20 at $200.05 versus the fixed September 8 opening entry of $193.84. The $1,000 fractional-share paper position was worth $1,032.04, a gain of $32.04 or 3.20%.</x:v>
      </x:c>
      <x:c r="I572" s="44" t="str">
        <x:v>Positive but still weakest expression</x:v>
      </x:c>
      <x:c r="J572" s="44" t="n">
        <x:v>4</x:v>
      </x:c>
      <x:c r="K572" s="44" t="str">
        <x:v>Restored after the October 21 morning research scan displaced the prior close record; producer equities retain company and equity-market mapping risk.</x:v>
      </x:c>
    </x:row>
    <x:row r="573">
      <x:c r="A573" t="str">
        <x:v>EV-2026-558</x:v>
      </x:c>
      <x:c r="B573" t="str">
        <x:v>EEI-2026-001</x:v>
      </x:c>
      <x:c r="C573" s="21" t="d">
        <x:v>2026-10-20T21:06:27.000Z</x:v>
      </x:c>
      <x:c r="D573" t="str">
        <x:v>Market confirmation and counterweight</x:v>
      </x:c>
      <x:c r="E573" t="str">
        <x:v>Reuters / Kpler</x:v>
      </x:c>
      <x:c r="F573" t="str">
        <x:v>High-quality independent reporting and shipping data</x:v>
      </x:c>
      <x:c r="G573" s="44" t="str">
        <x:v>https://www.reuters.com/business/energy/oil-eases-markets-assess-potential-waiver-russian-energy-middle-east-supply-2026-10-20/</x:v>
      </x:c>
      <x:c r="H573" s="44" t="str">
        <x:v>Brent settled October 20 at $108.79 after reaching $111.99 intraday. Expiring November WTI settled at $101.79, while the more active December contract settled at $97.82. Kpler reported at least 18 vessel attacks over two weeks, and Houthi forces claimed new attacks on Saudi energy, airport and military targets.</x:v>
      </x:c>
      <x:c r="I573" s="44" t="str">
        <x:v>Confirms persistent risk premium but shows sharp intraday reversal</x:v>
      </x:c>
      <x:c r="J573" s="44" t="n">
        <x:v>5</x:v>
      </x:c>
      <x:c r="K573" s="44" t="str">
        <x:v>Restored after displacement; Saudi authorities had not confirmed the Houthi claims, and Reuters could not independently verify them.</x:v>
      </x:c>
    </x:row>
    <x:row r="574">
      <x:c r="A574" t="str">
        <x:v>EV-2026-559</x:v>
      </x:c>
      <x:c r="B574" t="str">
        <x:v>EEI-2026-001</x:v>
      </x:c>
      <x:c r="C574" s="21" t="d">
        <x:v>2026-10-20T21:06:27.000Z</x:v>
      </x:c>
      <x:c r="D574" t="str">
        <x:v>Mechanism update</x:v>
      </x:c>
      <x:c r="E574" t="str">
        <x:v>Reuters</x:v>
      </x:c>
      <x:c r="F574" t="str">
        <x:v>High-quality independent reporting</x:v>
      </x:c>
      <x:c r="G574" s="44" t="str">
        <x:v>https://www.reuters.com/business/energy/oil-eases-markets-assess-potential-waiver-russian-energy-middle-east-supply-2026-10-20/</x:v>
      </x:c>
      <x:c r="H574" s="44" t="str">
        <x:v>Iran's president discussed mediation with Pakistan's army chief, helping crude reverse from session highs. Russian diesel cargoes resumed to Turkey and Brazil after sanctions relief, and U.S. officials pushed for higher domestic refinery utilization and reopening shuttered plants.</x:v>
      </x:c>
      <x:c r="I574" s="44" t="str">
        <x:v>Counterweight: diplomacy and incremental product supply can compress the premium</x:v>
      </x:c>
      <x:c r="J574" s="44" t="n">
        <x:v>5</x:v>
      </x:c>
      <x:c r="K574" s="44" t="str">
        <x:v>Restored after displacement; mediation has failed before, vessel attacks remain frequent and refinery measures would not directly restore Gulf transit reliability.</x:v>
      </x:c>
    </x:row>
    <x:row r="575">
      <x:c r="A575" t="str">
        <x:v>EV-2026-575</x:v>
      </x:c>
      <x:c r="B575"/>
      <x:c r="C575" s="21" t="d">
        <x:v>2026-10-22T12:43:14.000Z</x:v>
      </x:c>
      <x:c r="D575" t="str">
        <x:v>Cross-asset discovery screen</x:v>
      </x:c>
      <x:c r="E575" t="str">
        <x:v>Reuters / public market data</x:v>
      </x:c>
      <x:c r="F575" t="str">
        <x:v>Independent reporting and timestamped market data</x:v>
      </x:c>
      <x:c r="G575" s="44" t="str">
        <x:v>https://www.reuters.com/world/china/global-markets-global-markets-2026-10-22/</x:v>
      </x:c>
      <x:c r="H575" s="44" t="str">
        <x:v>Public-data coverage spanned all major equity sectors through earnings and mover screens; broad and sector ETFs; Treasury duration and high-yield credit; crude, natural gas and precious metals; regulatory and FDA actions; federal-award channels; corporate actions; and public Motley Fool editorials. U.S. technology futures weakened, Brent rose about 3% near $112 on renewed Saudi shipping risk, the 10-year Treasury yield eased near 5.06%, and credit ETFs were little changed before the cash session.</x:v>
      </x:c>
      <x:c r="I575" s="44" t="str">
        <x:v>Discovery context; no standalone thesis</x:v>
      </x:c>
      <x:c r="J575" s="44" t="n">
        <x:v>4</x:v>
      </x:c>
      <x:c r="K575" s="44" t="str">
        <x:v>Coverage was broad but not exhaustive. No proprietary flow, consolidated order book, paid research, complete real-time insider census or regular-session quote was available before the scan ended.</x:v>
      </x:c>
    </x:row>
    <x:row r="576">
      <x:c r="A576" t="str">
        <x:v>EV-2026-576</x:v>
      </x:c>
      <x:c r="B576" t="str">
        <x:v>EEI-2026-022</x:v>
      </x:c>
      <x:c r="C576" s="21" t="d">
        <x:v>2026-10-22T12:43:14.000Z</x:v>
      </x:c>
      <x:c r="D576" t="str">
        <x:v>AT&amp;T premarket decision review</x:v>
      </x:c>
      <x:c r="E576" t="str">
        <x:v>AT&amp;T / public market data</x:v>
      </x:c>
      <x:c r="F576" t="str">
        <x:v>Primary results plus public premarket indication</x:v>
      </x:c>
      <x:c r="G576" s="44" t="str">
        <x:v>https://about.att.com/story/2026/3q-earnings.html</x:v>
      </x:c>
      <x:c r="H576" s="44" t="str">
        <x:v>AT&amp;T's raised roughly $2.40 adjusted-EPS outlook, at least $18B free-cash-flow target and Advanced Connectivity growth remained intact. A public feed showed T at $22.06 at 8:13 a.m. ET versus the October 21 close of $23.42. Decision: retain only a finite premarket watch through the October 22 close; restore an actionable proposal solely with a fresh regular-session price at or below $22.25, above the $21.50 daily-close invalidation and without new guidance deterioration.</x:v>
      </x:c>
      <x:c r="I576" s="44" t="str">
        <x:v>Finite premarket watch; not an order or alert</x:v>
      </x:c>
      <x:c r="J576" s="44" t="n">
        <x:v>5</x:v>
      </x:c>
      <x:c r="K576" s="44" t="str">
        <x:v>Wireless additions merely met expectations, operating costs rose, net debt remains high and SpaceX is a new long-horizon competitive threat. Premarket prices are not executable regular-session evidence.</x:v>
      </x:c>
    </x:row>
    <x:row r="577">
      <x:c r="A577" t="str">
        <x:v>EV-2026-577</x:v>
      </x:c>
      <x:c r="B577"/>
      <x:c r="C577" s="21" t="d">
        <x:v>2026-10-22T12:43:14.000Z</x:v>
      </x:c>
      <x:c r="D577" t="str">
        <x:v>IBM earnings-dislocation candidate</x:v>
      </x:c>
      <x:c r="E577" t="str">
        <x:v>IBM</x:v>
      </x:c>
      <x:c r="F577" t="str">
        <x:v>Primary issuer results</x:v>
      </x:c>
      <x:c r="G577" s="44" t="str">
        <x:v>https://newsroom.ibm.com/2026-10-21-IBM-RELEASES-THIRD-QUARTER-RESULTS</x:v>
      </x:c>
      <x:c r="H577" s="44" t="str">
        <x:v>IBM reported $17.1B of revenue, up 5%; software growth of 8%; Q3 free cash flow of $3.0B, up $0.7B; and raised full-year free-cash-flow growth to more than $1B. A public premarket report indicated about $238.85, down roughly 5%. Decision: REJECT a new paper entry pending regular-session stabilization and a better debt-adjusted valuation.</x:v>
      </x:c>
      <x:c r="I577" s="44" t="str">
        <x:v>Rejected fresh candidate</x:v>
      </x:c>
      <x:c r="J577" s="44" t="n">
        <x:v>5</x:v>
      </x:c>
      <x:c r="K577" s="44" t="str">
        <x:v>GAAP gross margin fell 50 basis points, consulting was flat, IBM Z revenue fell 20%, debt rose to $63.8B after $11.4B of acquisitions and the company only reiterated 4%-5% constant-currency revenue growth.</x:v>
      </x:c>
    </x:row>
    <x:row r="578">
      <x:c r="A578" t="str">
        <x:v>EV-2026-578</x:v>
      </x:c>
      <x:c r="B578"/>
      <x:c r="C578" s="21" t="d">
        <x:v>2026-10-22T12:43:14.000Z</x:v>
      </x:c>
      <x:c r="D578" t="str">
        <x:v>Meta earnings and capital-allocation candidate</x:v>
      </x:c>
      <x:c r="E578" t="str">
        <x:v>Meta Platforms</x:v>
      </x:c>
      <x:c r="F578" t="str">
        <x:v>Primary issuer results</x:v>
      </x:c>
      <x:c r="G578" s="44" t="str">
        <x:v>https://investor.atmeta.com/investor-news/press-release-details/2026/Meta-Reports-Third-Quarter-2026-Results/default.aspx</x:v>
      </x:c>
      <x:c r="H578" s="44" t="str">
        <x:v>Meta's Q3 revenue grew 26% to $64.6B, ad impressions rose 10% and average price per ad rose 14%. Decision: REJECT a fresh paper entry because current cash use, litigation and governance changes impair near-term entry quality despite strong core growth.</x:v>
      </x:c>
      <x:c r="I578" s="44" t="str">
        <x:v>Rejected fresh candidate</x:v>
      </x:c>
      <x:c r="J578" s="44" t="n">
        <x:v>5</x:v>
      </x:c>
      <x:c r="K578" s="44" t="str">
        <x:v>Q3 free cash flow was negative $2.12B, capex was $34.91B, 2026 capex guidance is $135B-$145B, the quarter included a $9.89B legal charge, further youth-related litigation remains active and a new non-voting Class C stock is planned.</x:v>
      </x:c>
    </x:row>
    <x:row r="579">
      <x:c r="A579" t="str">
        <x:v>EV-2026-579</x:v>
      </x:c>
      <x:c r="B579"/>
      <x:c r="C579" s="21" t="d">
        <x:v>2026-10-22T12:43:14.000Z</x:v>
      </x:c>
      <x:c r="D579" t="str">
        <x:v>P&amp;G earnings candidate</x:v>
      </x:c>
      <x:c r="E579" t="str">
        <x:v>Procter &amp; Gamble</x:v>
      </x:c>
      <x:c r="F579" t="str">
        <x:v>Primary issuer release</x:v>
      </x:c>
      <x:c r="G579" s="44" t="str">
        <x:v>https://www.pginvestor.com/files/content_files/FY2627-Q1-JAS-Press-Release-Final.pdf</x:v>
      </x:c>
      <x:c r="H579" s="44" t="str">
        <x:v>P&amp;G reported 4% net and organic sales growth, $1.97 diluted EPS and $2.00 core EPS. Decision: REJECT a fresh entry because only 1% core-EPS growth and cost pressure did not provide enough edge at roughly 23 times trailing earnings before regular-session price discovery.</x:v>
      </x:c>
      <x:c r="I579" s="44" t="str">
        <x:v>Rejected fresh candidate</x:v>
      </x:c>
      <x:c r="J579" s="44" t="n">
        <x:v>5</x:v>
      </x:c>
      <x:c r="K579" s="44" t="str">
        <x:v>Gross margin fell and management cited about $1.4B of annual input and logistics pressure; the stock was only modestly lower in premarket trading, so the operating beat had not created a large valuation dislocation.</x:v>
      </x:c>
    </x:row>
    <x:row r="580">
      <x:c r="A580" t="str">
        <x:v>EV-2026-580</x:v>
      </x:c>
      <x:c r="B580"/>
      <x:c r="C580" s="21" t="d">
        <x:v>2026-10-22T12:43:14.000Z</x:v>
      </x:c>
      <x:c r="D580" t="str">
        <x:v>Nokia AI-network demand candidate</x:v>
      </x:c>
      <x:c r="E580" t="str">
        <x:v>Nokia / Reuters</x:v>
      </x:c>
      <x:c r="F580" t="str">
        <x:v>Primary issuer context with independent reporting</x:v>
      </x:c>
      <x:c r="G580" s="44" t="str">
        <x:v>https://www.reuters.com/business/nokia-third-quarter-profit-beats-expectations-2026-10-22/</x:v>
      </x:c>
      <x:c r="H580" s="44" t="str">
        <x:v>Nokia's comparable Q3 sales rose 10% to €5.15B, comparable operating profit reached €605M versus €453M consensus, and AI/cloud sales and orders rose 123% and 118%. Decision: REJECT a fresh chase because the shares were already up 48% year to date and the company maintained rather than raised full-year guidance.</x:v>
      </x:c>
      <x:c r="I580" s="44" t="str">
        <x:v>Rejected fresh candidate</x:v>
      </x:c>
      <x:c r="J580" s="44" t="n">
        <x:v>4</x:v>
      </x:c>
      <x:c r="K580" s="44" t="str">
        <x:v>Reported operating profit was reduced by Infinera-integration charges, the catalyst had already materially repriced the shares and U.S. ADR regular-session confirmation was not yet available.</x:v>
      </x:c>
    </x:row>
    <x:row r="581">
      <x:c r="A581" t="str">
        <x:v>EV-2026-581</x:v>
      </x:c>
      <x:c r="B581"/>
      <x:c r="C581" s="21" t="d">
        <x:v>2026-10-22T12:43:14.000Z</x:v>
      </x:c>
      <x:c r="D581" t="str">
        <x:v>FDA approval candidate screen</x:v>
      </x:c>
      <x:c r="E581" t="str">
        <x:v>U.S. FDA / GSK</x:v>
      </x:c>
      <x:c r="F581" t="str">
        <x:v>Primary regulator record</x:v>
      </x:c>
      <x:c r="G581" s="44" t="str">
        <x:v>https://www.fda.gov/news-events/press-announcements/fda-approves-first-its-kind-chronic-hepatitis-b-treatment</x:v>
      </x:c>
      <x:c r="H581" s="44" t="str">
        <x:v>FDA approved GSK's Hibsago for a defined chronic-hepatitis-B population; 19% of treated trial patients maintained viral control 24 weeks after stopping all therapy. Decision: REJECT a standalone GSK thesis because product pricing, eligible population, launch economics and parent-level revenue materiality were not yet established.</x:v>
      </x:c>
      <x:c r="I581" s="44" t="str">
        <x:v>Rejected regulatory candidate</x:v>
      </x:c>
      <x:c r="J581" s="44" t="n">
        <x:v>5</x:v>
      </x:c>
      <x:c r="K581" s="44" t="str">
        <x:v>The label has boxed warnings for serious liver reactions and low platelets, only a subset qualifies, and an approval already known since October 20 offers no verified fresh entry edge today.</x:v>
      </x:c>
    </x:row>
    <x:row r="582">
      <x:c r="A582" t="str">
        <x:v>EV-2026-582</x:v>
      </x:c>
      <x:c r="B582"/>
      <x:c r="C582" s="21" t="d">
        <x:v>2026-10-22T12:43:14.000Z</x:v>
      </x:c>
      <x:c r="D582" t="str">
        <x:v>Federal-award and policy screen</x:v>
      </x:c>
      <x:c r="E582" t="str">
        <x:v>USAspending / Department of Defense / FDA</x:v>
      </x:c>
      <x:c r="F582" t="str">
        <x:v>Primary government records and delayed award data</x:v>
      </x:c>
      <x:c r="G582" s="44" t="str">
        <x:v>https://www.usaspending.gov/</x:v>
      </x:c>
      <x:c r="H582" s="44" t="str">
        <x:v>Current public searches did not surface a newly obligated, parent-material listed-company award with complete award terms. Several results were old actions, zero-dollar administrative modifications, private recipients or immaterial relative to public parents. No public-equity thesis qualified.</x:v>
      </x:c>
      <x:c r="I582" s="44" t="str">
        <x:v>No qualifying public-equity award</x:v>
      </x:c>
      <x:c r="J582" s="44" t="n">
        <x:v>4</x:v>
      </x:c>
      <x:c r="K582" s="44" t="str">
        <x:v>Award feeds can be delayed and search coverage was not exhaustive. Incomplete obligations, competition terms, NAICS/PSC and parent-level materiality prevented escalation.</x:v>
      </x:c>
    </x:row>
    <x:row r="583">
      <x:c r="A583" t="str">
        <x:v>EV-2026-583</x:v>
      </x:c>
      <x:c r="B583"/>
      <x:c r="C583" s="21" t="d">
        <x:v>2026-10-22T12:43:14.000Z</x:v>
      </x:c>
      <x:c r="D583" t="str">
        <x:v>Motley Fool public-idea screen</x:v>
      </x:c>
      <x:c r="E583" t="str">
        <x:v>The Motley Fool / Adam Spatacco and Trevor Jennewine</x:v>
      </x:c>
      <x:c r="F583" t="str">
        <x:v>Free editorial trigger source only</x:v>
      </x:c>
      <x:c r="G583" s="44" t="str">
        <x:v>https://www.fool.com/investing/2026/10/22/prediction-spacex-stock-can-make-you-millionaire/</x:v>
      </x:c>
      <x:c r="H583" s="44" t="str">
        <x:v>Two free October 22 editorials discussed SpaceX and Nvidia-linked portfolio holdings. They relied on aggressive valuation assumptions or already-known holdings and did not supply a fresh independently material catalyst. Decision: reject escalation; Motley Fool remained a trigger only and no paid recommendation was inferred.</x:v>
      </x:c>
      <x:c r="I583" s="44" t="str">
        <x:v>Rejected escalation</x:v>
      </x:c>
      <x:c r="J583" s="44" t="n">
        <x:v>3</x:v>
      </x:c>
      <x:c r="K583" s="44" t="str">
        <x:v>SpaceX valuation assumptions were promotional and private-market shares are not a clean liquid public expression; the Nvidia portfolio article did not establish incremental earnings or cash-flow materiality.</x:v>
      </x:c>
    </x:row>
    <x:row r="584">
      <x:c r="A584" t="str">
        <x:v>EV-2026-584</x:v>
      </x:c>
      <x:c r="B584" t="str">
        <x:v>EEI-2026-001</x:v>
      </x:c>
      <x:c r="C584" s="21" t="d">
        <x:v>2026-10-22T12:43:14.000Z</x:v>
      </x:c>
      <x:c r="D584" t="str">
        <x:v>Energy and rates premarket update</x:v>
      </x:c>
      <x:c r="E584" t="str">
        <x:v>Reuters / EIA</x:v>
      </x:c>
      <x:c r="F584" t="str">
        <x:v>Independent reporting and primary energy data</x:v>
      </x:c>
      <x:c r="G584" s="44" t="str">
        <x:v>https://www.reuters.com/world/china/global-markets-global-markets-2026-10-22/</x:v>
      </x:c>
      <x:c r="H584" s="44" t="str">
        <x:v>Brent rose about 3% near $112 as additional Houthi attacks in Saudi Arabia renewed supply-risk pricing; safe-haven demand pushed Treasury yields lower. The latest EIA evidence still showed a larger-than-expected U.S. crude draw but rising distillate inventories. Existing BNO, USO and XOP positions were left at verified October 21 official closes because premarket fund indications were not regular-session marks.</x:v>
      </x:c>
      <x:c r="I584" s="44" t="str">
        <x:v>Supports energy risk premium; no new trade</x:v>
      </x:c>
      <x:c r="J584" s="44" t="n">
        <x:v>4</x:v>
      </x:c>
      <x:c r="K584" s="44" t="str">
        <x:v>The oil move is headline-sensitive; distillate inventory growth, possible diplomacy and U.S. supply responses can compress the premium. No contemporaneous regular-session ETF prices were available.</x:v>
      </x:c>
    </x:row>
    <x:row r="585">
      <x:c r="A585" t="str">
        <x:v>EV-2026-585</x:v>
      </x:c>
      <x:c r="B585" t="str">
        <x:v>EEI-2026-001</x:v>
      </x:c>
      <x:c r="C585" s="21" t="d">
        <x:v>2026-10-22T21:12:36.000Z</x:v>
      </x:c>
      <x:c r="D585" t="str">
        <x:v>Paper-trade outcome</x:v>
      </x:c>
      <x:c r="E585" t="str">
        <x:v>StockAnalysis</x:v>
      </x:c>
      <x:c r="F585" t="str">
        <x:v>Market data</x:v>
      </x:c>
      <x:c r="G585" s="44" t="str">
        <x:v>https://stockanalysis.com/etf/bno/history/</x:v>
      </x:c>
      <x:c r="H585" s="44" t="str">
        <x:v>BNO closed October 22 at $68.91 versus the fixed September 8 opening entry of $57.21. The $1,000 fractional-share paper position was worth $1,204.51, a gain of $204.51 or 20.45%.</x:v>
      </x:c>
      <x:c r="I585" s="44" t="str">
        <x:v>Confirms direct Brent expression</x:v>
      </x:c>
      <x:c r="J585" s="44" t="n">
        <x:v>4</x:v>
      </x:c>
      <x:c r="K585" s="44" t="str">
        <x:v>Official regular-session close used; totals retain unrounded fractional shares.</x:v>
      </x:c>
    </x:row>
    <x:row r="586">
      <x:c r="A586" t="str">
        <x:v>EV-2026-586</x:v>
      </x:c>
      <x:c r="B586" t="str">
        <x:v>EEI-2026-001</x:v>
      </x:c>
      <x:c r="C586" s="21" t="d">
        <x:v>2026-10-22T21:12:36.000Z</x:v>
      </x:c>
      <x:c r="D586" t="str">
        <x:v>Paper-trade outcome</x:v>
      </x:c>
      <x:c r="E586" t="str">
        <x:v>StockAnalysis</x:v>
      </x:c>
      <x:c r="F586" t="str">
        <x:v>Market data</x:v>
      </x:c>
      <x:c r="G586" s="44" t="str">
        <x:v>https://stockanalysis.com/etf/uso/history/</x:v>
      </x:c>
      <x:c r="H586" s="44" t="str">
        <x:v>USO closed October 22 at $162.51 versus the fixed September 8 opening entry of $144.60. The $1,000 fractional-share paper position was worth $1,123.86, a gain of $123.86 or 12.39%.</x:v>
      </x:c>
      <x:c r="I586" s="44" t="str">
        <x:v>Confirms direct WTI expression</x:v>
      </x:c>
      <x:c r="J586" s="44" t="n">
        <x:v>4</x:v>
      </x:c>
      <x:c r="K586" s="44" t="str">
        <x:v>Official regular-session close used; the fund's futures exposure can diverge from spot WTI.</x:v>
      </x:c>
    </x:row>
    <x:row r="587">
      <x:c r="A587" t="str">
        <x:v>EV-2026-587</x:v>
      </x:c>
      <x:c r="B587" t="str">
        <x:v>EEI-2026-001</x:v>
      </x:c>
      <x:c r="C587" s="21" t="d">
        <x:v>2026-10-22T21:12:36.000Z</x:v>
      </x:c>
      <x:c r="D587" t="str">
        <x:v>Paper-trade outcome</x:v>
      </x:c>
      <x:c r="E587" t="str">
        <x:v>StockAnalysis</x:v>
      </x:c>
      <x:c r="F587" t="str">
        <x:v>Market data</x:v>
      </x:c>
      <x:c r="G587" s="44" t="str">
        <x:v>https://stockanalysis.com/etf/xop/history/</x:v>
      </x:c>
      <x:c r="H587" s="44" t="str">
        <x:v>XOP closed October 22 at $196.87 versus the fixed September 8 opening entry of $193.84. The $1,000 fractional-share paper position was worth $1,015.63, a gain of $15.63 or 1.56%.</x:v>
      </x:c>
      <x:c r="I587" s="44" t="str">
        <x:v>Positive but still weakest expression</x:v>
      </x:c>
      <x:c r="J587" s="44" t="n">
        <x:v>4</x:v>
      </x:c>
      <x:c r="K587" s="44" t="str">
        <x:v>Official regular-session close used; the producer-equity ETF retains company and equity-market mapping risk.</x:v>
      </x:c>
    </x:row>
    <x:row r="588">
      <x:c r="A588" t="str">
        <x:v>EV-2026-588</x:v>
      </x:c>
      <x:c r="B588" t="str">
        <x:v>EEI-2026-001</x:v>
      </x:c>
      <x:c r="C588" s="21" t="d">
        <x:v>2026-10-22T21:12:36.000Z</x:v>
      </x:c>
      <x:c r="D588" t="str">
        <x:v>Market confirmation</x:v>
      </x:c>
      <x:c r="E588" t="str">
        <x:v>Reuters</x:v>
      </x:c>
      <x:c r="F588" t="str">
        <x:v>High-quality independent reporting</x:v>
      </x:c>
      <x:c r="G588" s="44" t="str">
        <x:v>https://www.reuters.com/business/energy/oil-rises-us-orders-diplomats-leave-saudi-arabia-amid-escalating-tensions-2026-10-22/</x:v>
      </x:c>
      <x:c r="H588" s="44" t="str">
        <x:v>Brent rose 4.0% to settle October 22 at $113.17, its highest close since May 4, and WTI rose 2.4% to $99.47. Houthi attacks on Saudi infrastructure intensified supply concerns, Saudi Aramco told staff to evacuate its Dhahran headquarters, and a Libyan pipeline shutdown reduced output at two fields.</x:v>
      </x:c>
      <x:c r="I588" s="44" t="str">
        <x:v>Confirms renewed supply-risk premium</x:v>
      </x:c>
      <x:c r="J588" s="44" t="n">
        <x:v>5</x:v>
      </x:c>
      <x:c r="K588" s="44" t="str">
        <x:v>Middle East crude exports were still about 17 million barrels per day last week, near the 18 million prewar average, so the price response reflects disruption risk as well as current physical scarcity.</x:v>
      </x:c>
    </x:row>
    <x:row r="589">
      <x:c r="A589" t="str">
        <x:v>EV-2026-589</x:v>
      </x:c>
      <x:c r="B589" t="str">
        <x:v>EEI-2026-022</x:v>
      </x:c>
      <x:c r="C589" s="21" t="d">
        <x:v>2026-10-23T12:19:06.000Z</x:v>
      </x:c>
      <x:c r="D589" t="str">
        <x:v>AT&amp;T competitive-threat review</x:v>
      </x:c>
      <x:c r="E589" t="str">
        <x:v>Reuters</x:v>
      </x:c>
      <x:c r="F589" t="str">
        <x:v>High-quality independent reporting</x:v>
      </x:c>
      <x:c r="G589" s="44" t="str">
        <x:v>https://www.reuters.com/business/media-telecom/spacex-seeks-access-80000-us-cell-sites-wireless-network-bloomberg-news-reports-2026-10-22/</x:v>
      </x:c>
      <x:c r="H589" s="44" t="str">
        <x:v>Reuters reported that SpaceX is in talks for access to at least 80,000 U.S. cell sites, a potential path toward a fourth nationwide carrier. AT&amp;T and other national carriers fell 4.2%-5% in extended trading. Decision: downgrade EEI-2026-022 to Developing, confidence 3/5 and edge 2/5, and classify the expired entry watch as REJECT 2026-10-23.</x:v>
      </x:c>
      <x:c r="I589" s="44" t="str">
        <x:v>Meaningful contradiction; no paper entry</x:v>
      </x:c>
      <x:c r="J589" s="44" t="n">
        <x:v>5</x:v>
      </x:c>
      <x:c r="K589" s="44" t="str">
        <x:v>The cited talks were not confirmed by SpaceX or the named tower companies. Independent analysis estimates a terrestrial network would cost more than $80B, require years and still need more spectrum, customer support and handset subsidies.</x:v>
      </x:c>
    </x:row>
    <x:row r="590">
      <x:c r="A590" t="str">
        <x:v>EV-2026-590</x:v>
      </x:c>
      <x:c r="B590"/>
      <x:c r="C590" s="21" t="d">
        <x:v>2026-10-23T12:19:06.000Z</x:v>
      </x:c>
      <x:c r="D590" t="str">
        <x:v>Booz Allen earnings and valuation candidate</x:v>
      </x:c>
      <x:c r="E590" t="str">
        <x:v>Booz Allen Hamilton</x:v>
      </x:c>
      <x:c r="F590" t="str">
        <x:v>Primary issuer results</x:v>
      </x:c>
      <x:c r="G590" s="44" t="str">
        <x:v>https://investors.boozallen.com/static-files/90958a7c-b90a-478b-92f0-f3d9e8534109</x:v>
      </x:c>
      <x:c r="H590" s="44" t="str">
        <x:v>Booz Allen reported Q2 FY2027 adjusted EPS of $1.76, backlog of about $41B, 1.5 times book-to-bill and raised adjusted-EPS guidance to $6.50-$6.70. A public premarket indication near $78.57 implied a low-teens trailing multiple. Decision: no paper entry before regular-session price discovery; retain as a candidate for a future fresh quote rather than create a stale order.</x:v>
      </x:c>
      <x:c r="I590" s="44" t="str">
        <x:v>Promising but not entered</x:v>
      </x:c>
      <x:c r="J590" s="44" t="n">
        <x:v>5</x:v>
      </x:c>
      <x:c r="K590" s="44" t="str">
        <x:v>Quarterly revenue fell 3.9%, revenue excluding billable expenses fell 0.8%, quarterly free cash flow fell to $263M from $395M, cash declined and long-term debt increased after acquisitions.</x:v>
      </x:c>
    </x:row>
    <x:row r="591">
      <x:c r="A591" t="str">
        <x:v>EV-2026-591</x:v>
      </x:c>
      <x:c r="B591"/>
      <x:c r="C591" s="21" t="d">
        <x:v>2026-10-23T12:19:06.000Z</x:v>
      </x:c>
      <x:c r="D591" t="str">
        <x:v>SLB earnings and energy-services candidate</x:v>
      </x:c>
      <x:c r="E591" t="str">
        <x:v>SLB</x:v>
      </x:c>
      <x:c r="F591" t="str">
        <x:v>Primary issuer results</x:v>
      </x:c>
      <x:c r="G591" s="44" t="str">
        <x:v>https://investorcenter.slb.com/news-releases/news-release-details/slb-announces-third-quarter-2026-results</x:v>
      </x:c>
      <x:c r="H591" s="44" t="str">
        <x:v>SLB reported Q3 revenue of $9.45B, adjusted EPS of $0.64, $828M of free cash flow and continued growth in digital and data-center solutions. Decision: reject a new paper entry for this scan despite the earnings beat because balance-sheet and margin evidence did not offer enough downside protection before regular-session price discovery.</x:v>
      </x:c>
      <x:c r="I591" s="44" t="str">
        <x:v>Rejected current entry</x:v>
      </x:c>
      <x:c r="J591" s="44" t="n">
        <x:v>5</x:v>
      </x:c>
      <x:c r="K591" s="44" t="str">
        <x:v>Adjusted EBITDA margin was 21.9% versus 23.1% a year earlier; net debt increased to $9.25B; nine-month free cash flow fell to $1.52B from $1.83B while buybacks and dividends exceeded free cash flow.</x:v>
      </x:c>
    </x:row>
    <x:row r="592">
      <x:c r="A592" t="str">
        <x:v>EV-2026-592</x:v>
      </x:c>
      <x:c r="B592"/>
      <x:c r="C592" s="21" t="d">
        <x:v>2026-10-23T12:19:06.000Z</x:v>
      </x:c>
      <x:c r="D592" t="str">
        <x:v>American Express earnings candidate</x:v>
      </x:c>
      <x:c r="E592" t="str">
        <x:v>American Express / Reuters</x:v>
      </x:c>
      <x:c r="F592" t="str">
        <x:v>Issuer-reported results with independent reporting</x:v>
      </x:c>
      <x:c r="G592" s="44" t="str">
        <x:v>https://www.reuters.com/business/american-express-raises-2026-profit-forecast-affluent-customers-keep-spending-2026-10-23/</x:v>
      </x:c>
      <x:c r="H592" s="44" t="str">
        <x:v>American Express raised 2026 adjusted-EPS guidance to $18.30-$18.60 after revenue rose 9% to $20.1B, billed business rose 8% and adjusted EPS reached $4.68. Credit provisions fell to $1.0B from $1.3B. Decision: no paper entry before a current regular-session quote; the modest premarket reaction did not establish a large dislocation at roughly 20 times trailing earnings.</x:v>
      </x:c>
      <x:c r="I592" s="44" t="str">
        <x:v>Strong fundamentals; no current entry</x:v>
      </x:c>
      <x:c r="J592" s="44" t="n">
        <x:v>4</x:v>
      </x:c>
      <x:c r="K592" s="44" t="str">
        <x:v>The affluent-customer mix is not representative of the whole consumer, valuation is not distressed and no regular-session executable quote was available during the scan.</x:v>
      </x:c>
    </x:row>
    <x:row r="593">
      <x:c r="A593" t="str">
        <x:v>EV-2026-593</x:v>
      </x:c>
      <x:c r="B593"/>
      <x:c r="C593" s="21" t="d">
        <x:v>2026-10-23T12:19:06.000Z</x:v>
      </x:c>
      <x:c r="D593" t="str">
        <x:v>Federal-contract award screen</x:v>
      </x:c>
      <x:c r="E593" t="str">
        <x:v>Department of War / AwardTape</x:v>
      </x:c>
      <x:c r="F593" t="str">
        <x:v>Official announcement restatement with award-record analysis</x:v>
      </x:c>
      <x:c r="G593" s="44" t="str">
        <x:v>https://awardtape.com/contracts/2026-10-22/</x:v>
      </x:c>
      <x:c r="H593" s="44" t="str">
        <x:v>The October 22 release contained four actions. Longbow LLC received a $419.6M Apache radar/support IDIQ (W58RGZ-27-D-A008), one bid, no initial obligation, orders through 2032. Raytheon received a $350M ceiling-increase modification to FA8672-19-D-0001, bringing the SDB II support ceiling to $950M with no new obligation. Sigmatech's $249.2M order vehicle had no initial obligation, and Saab's $14.3M option modification was fully obligated. Decision: no new listed-equity thesis.</x:v>
      </x:c>
      <x:c r="I593" s="44" t="str">
        <x:v>No qualifying public-company catalyst</x:v>
      </x:c>
      <x:c r="J593" s="44" t="n">
        <x:v>4</x:v>
      </x:c>
      <x:c r="K593" s="44" t="str">
        <x:v>The largest public-company action was a routine ceiling modification rather than fresh obligated revenue; Longbow parent-level materiality was not established, Sigmatech is private and the Saab option is immaterial to its parent.</x:v>
      </x:c>
    </x:row>
    <x:row r="594">
      <x:c r="A594" t="str">
        <x:v>EV-2026-594</x:v>
      </x:c>
      <x:c r="B594"/>
      <x:c r="C594" s="21" t="d">
        <x:v>2026-10-23T12:19:06.000Z</x:v>
      </x:c>
      <x:c r="D594" t="str">
        <x:v>Cross-asset breadth and relative-strength screen</x:v>
      </x:c>
      <x:c r="E594" t="str">
        <x:v>Associated Press / public market data</x:v>
      </x:c>
      <x:c r="F594" t="str">
        <x:v>Independent reporting and observable market data</x:v>
      </x:c>
      <x:c r="G594" s="44" t="str">
        <x:v>https://apnews.com/article/stocks-wall-street-nasdaq-dow-1970e79d013cbddcae89c53b4b98f384</x:v>
      </x:c>
      <x:c r="H594" s="44" t="str">
        <x:v>On October 22 the S&amp;P 500 fell 1.2% and Nasdaq fell 2.6%, while the Dow was flat and Russell 2000 rose 0.1%; most U.S. stocks advanced despite the index decline. The scan also covered all major sector ETFs, broad ETFs, Treasury duration, high-yield credit, gold and crude. Defensive sectors and Treasuries led premarket while technology lagged, but premarket indications were not executable.</x:v>
      </x:c>
      <x:c r="I594" s="44" t="str">
        <x:v>Rotation context; no standalone action</x:v>
      </x:c>
      <x:c r="J594" s="44" t="n">
        <x:v>4</x:v>
      </x:c>
      <x:c r="K594" s="44" t="str">
        <x:v>The divergence may be temporary and reflects concentration in large technology stocks. No proprietary flow, consolidated order book or regular-session confirmation was available during the scan.</x:v>
      </x:c>
    </x:row>
    <x:row r="595">
      <x:c r="A595" t="str">
        <x:v>EV-2026-595</x:v>
      </x:c>
      <x:c r="B595"/>
      <x:c r="C595" s="21" t="d">
        <x:v>2026-10-23T12:19:06.000Z</x:v>
      </x:c>
      <x:c r="D595" t="str">
        <x:v>Motley Fool public-idea screen</x:v>
      </x:c>
      <x:c r="E595" t="str">
        <x:v>The Motley Fool / Harsh Chauhan</x:v>
      </x:c>
      <x:c r="F595" t="str">
        <x:v>Free editorial trigger source only</x:v>
      </x:c>
      <x:c r="G595" s="44" t="str">
        <x:v>https://www.fool.com/investing/2026/10/23/prediction-intel-stock-will-take-off-after-oct-29/</x:v>
      </x:c>
      <x:c r="H595" s="44" t="str">
        <x:v>A free October 23 editorial predicted that Intel could beat expectations on October 29 based on server demand and price increases. Other public items discussed ASML split speculation, Microsoft quantum computing, Meta and generic crash positioning. Decision: reject escalation; none supplied a new independently confirmed and economically material catalyst suitable for a paper entry today.</x:v>
      </x:c>
      <x:c r="I595" s="44" t="str">
        <x:v>Rejected trigger escalation</x:v>
      </x:c>
      <x:c r="J595" s="44" t="n">
        <x:v>3</x:v>
      </x:c>
      <x:c r="K595" s="44" t="str">
        <x:v>Intel's factual catalyst is unresolved until earnings; the article is promotional prediction content, not confirmation. The author disclosed no Intel position, while The Motley Fool disclosed that it owns and recommends Intel.</x:v>
      </x:c>
    </x:row>
    <x:row r="596">
      <x:c r="A596" t="str">
        <x:v>EV-2026-596</x:v>
      </x:c>
      <x:c r="B596" t="str">
        <x:v>EEI-2026-001</x:v>
      </x:c>
      <x:c r="C596" s="21" t="d">
        <x:v>2026-10-22T21:12:36.000Z</x:v>
      </x:c>
      <x:c r="D596" t="str">
        <x:v>Mechanism update</x:v>
      </x:c>
      <x:c r="E596" t="str">
        <x:v>Reuters / Kpler / UKMTO</x:v>
      </x:c>
      <x:c r="F596" t="str">
        <x:v>Independent analysis with shipping data</x:v>
      </x:c>
      <x:c r="G596" s="44" t="str">
        <x:v>https://www.reuters.com/commentary/reuters-open-interest/dont-mistake-mideast-oil-rebound-normality-2026-10-22/</x:v>
      </x:c>
      <x:c r="H596" s="44" t="str">
        <x:v>October Middle East exports averaged 17.3 million barrels per day, above the 16.9 million prewar benchmark, while Hormuz flows recovered to 11.7 million barrels per day, about 82% of prewar levels. Yet UKMTO reported a record 12 attacks in or around Hormuz last week; two-million-barrel tanker rates to China remained near $1.4 million per day, more than 12 times prewar levels, and insurance costs were about 10% of cargo value versus roughly 3% before the war.</x:v>
      </x:c>
      <x:c r="I596" s="44" t="str">
        <x:v>Mixed: physical supply recovered, but reliability and logistics costs remain severely impaired</x:v>
      </x:c>
      <x:c r="J596" s="44" t="n">
        <x:v>5</x:v>
      </x:c>
      <x:c r="K596" s="44" t="str">
        <x:v>Restored after the October 23 morning scan replaced the original record that had used EV-2026-589; reassigned the next available unique ID. The thesis now works more through transport reliability, insurance and escalation risk than through an outright shortage of available barrels.</x:v>
      </x:c>
    </x:row>
    <x:row r="597">
      <x:c r="A597" t="str">
        <x:v>EV-2026-597</x:v>
      </x:c>
      <x:c r="B597" t="str">
        <x:v>EEI-2026-001</x:v>
      </x:c>
      <x:c r="C597" s="21" t="d">
        <x:v>2026-10-23T20:34:55.000Z</x:v>
      </x:c>
      <x:c r="D597" t="str">
        <x:v>Paper-trade outcome</x:v>
      </x:c>
      <x:c r="E597" t="str">
        <x:v>StockAnalysis</x:v>
      </x:c>
      <x:c r="F597" t="str">
        <x:v>Market data</x:v>
      </x:c>
      <x:c r="G597" s="44" t="str">
        <x:v>https://stockanalysis.com/etf/bno/history/</x:v>
      </x:c>
      <x:c r="H597" s="44" t="str">
        <x:v>BNO closed October 23 at $70.99 versus the fixed September 8 opening entry of $57.21. The $1,000 fractional-share paper position was worth $1,240.87, a gain of $240.87 or 24.09%.</x:v>
      </x:c>
      <x:c r="I597" s="44" t="str">
        <x:v>Confirms direct Brent expression</x:v>
      </x:c>
      <x:c r="J597" s="44" t="n">
        <x:v>4</x:v>
      </x:c>
      <x:c r="K597" s="44" t="str">
        <x:v>Official regular-session close used; totals retain unrounded fractional shares.</x:v>
      </x:c>
    </x:row>
    <x:row r="598">
      <x:c r="A598" t="str">
        <x:v>EV-2026-598</x:v>
      </x:c>
      <x:c r="B598" t="str">
        <x:v>EEI-2026-001</x:v>
      </x:c>
      <x:c r="C598" s="21" t="d">
        <x:v>2026-10-23T20:34:55.000Z</x:v>
      </x:c>
      <x:c r="D598" t="str">
        <x:v>Paper-trade outcome</x:v>
      </x:c>
      <x:c r="E598" t="str">
        <x:v>StockAnalysis</x:v>
      </x:c>
      <x:c r="F598" t="str">
        <x:v>Market data</x:v>
      </x:c>
      <x:c r="G598" s="44" t="str">
        <x:v>https://stockanalysis.com/etf/uso/history/</x:v>
      </x:c>
      <x:c r="H598" s="44" t="str">
        <x:v>USO closed October 23 at $169.53 versus the fixed September 8 opening entry of $144.60. The $1,000 fractional-share paper position was worth $1,172.41, a gain of $172.41 or 17.24%.</x:v>
      </x:c>
      <x:c r="I598" s="44" t="str">
        <x:v>Confirms direct WTI expression</x:v>
      </x:c>
      <x:c r="J598" s="44" t="n">
        <x:v>4</x:v>
      </x:c>
      <x:c r="K598" s="44" t="str">
        <x:v>Official regular-session close used; the fund's futures exposure can diverge from spot WTI.</x:v>
      </x:c>
    </x:row>
    <x:row r="599">
      <x:c r="A599" t="str">
        <x:v>EV-2026-599</x:v>
      </x:c>
      <x:c r="B599" t="str">
        <x:v>EEI-2026-001</x:v>
      </x:c>
      <x:c r="C599" s="21" t="d">
        <x:v>2026-10-23T20:34:55.000Z</x:v>
      </x:c>
      <x:c r="D599" t="str">
        <x:v>Paper-trade outcome</x:v>
      </x:c>
      <x:c r="E599" t="str">
        <x:v>StockAnalysis</x:v>
      </x:c>
      <x:c r="F599" t="str">
        <x:v>Market data</x:v>
      </x:c>
      <x:c r="G599" s="44" t="str">
        <x:v>https://stockanalysis.com/etf/xop/history/</x:v>
      </x:c>
      <x:c r="H599" s="44" t="str">
        <x:v>XOP closed October 23 at $201.69 versus the fixed September 8 opening entry of $193.84. The $1,000 fractional-share paper position was worth $1,040.50, a gain of $40.50 or 4.05%.</x:v>
      </x:c>
      <x:c r="I599" s="44" t="str">
        <x:v>Positive but still weakest expression</x:v>
      </x:c>
      <x:c r="J599" s="44" t="n">
        <x:v>4</x:v>
      </x:c>
      <x:c r="K599" s="44" t="str">
        <x:v>Official regular-session close used; the producer-equity ETF retains company and equity-market mapping risk.</x:v>
      </x:c>
    </x:row>
    <x:row r="600">
      <x:c r="A600" t="str">
        <x:v>EV-2026-600</x:v>
      </x:c>
      <x:c r="B600" t="str">
        <x:v>EEI-2026-001</x:v>
      </x:c>
      <x:c r="C600" s="21" t="d">
        <x:v>2026-10-23T20:34:55.000Z</x:v>
      </x:c>
      <x:c r="D600" t="str">
        <x:v>Market confirmation</x:v>
      </x:c>
      <x:c r="E600" t="str">
        <x:v>Reuters</x:v>
      </x:c>
      <x:c r="F600" t="str">
        <x:v>High-quality independent reporting</x:v>
      </x:c>
      <x:c r="G600" s="44" t="str">
        <x:v>https://www.reuters.com/business/energy/oil-little-changed-supply-concern-lingers-amid-houthi-attacks-saudi-arabia-2026-10-23/</x:v>
      </x:c>
      <x:c r="H600" s="44" t="str">
        <x:v>Brent rose $3.55 or 3.14% to settle October 23 at $116.72, its highest since April 29, and WTI rose $3.80 or 3.8% to $103.27. Houthi attacks on Saudi energy infrastructure, Saudi Aramco's headquarters evacuation, an oil spill off the UAE and the worst October for commercial-shipping attacks in and near Hormuz reinforced disruption risk.</x:v>
      </x:c>
      <x:c r="I600" s="44" t="str">
        <x:v>Confirms renewed supply-risk premium and shipping-reliability mechanism</x:v>
      </x:c>
      <x:c r="J600" s="44" t="n">
        <x:v>5</x:v>
      </x:c>
      <x:c r="K600" s="44" t="str">
        <x:v>Regional exports and Hormuz transit have recovered substantially, so the price move reflects the risk of renewed interruption rather than proof that current barrels are broadly unavailable.</x:v>
      </x:c>
    </x:row>
    <x:row r="601">
      <x:c r="A601" t="str">
        <x:v>EV-2026-601</x:v>
      </x:c>
      <x:c r="B601"/>
      <x:c r="C601" s="21" t="d">
        <x:v>2026-10-24T12:17:49.000Z</x:v>
      </x:c>
      <x:c r="D601" t="str">
        <x:v>Cross-asset and sector close screen</x:v>
      </x:c>
      <x:c r="E601" t="str">
        <x:v>Reuters / public market data</x:v>
      </x:c>
      <x:c r="F601" t="str">
        <x:v>Independent reporting and observable official-close data</x:v>
      </x:c>
      <x:c r="G601" s="44" t="str">
        <x:v>https://www.reuters.com/business/wall-street-futures-dip-after-ai-rout-telecoms-slide-2026-10-23/</x:v>
      </x:c>
      <x:c r="H601" s="44" t="str">
        <x:v>Friday's close showed concentrated energy leadership: XLE rose 2.59% and USO 4.31%, while SPY fell 0.53%, IWM 0.36%, XLF 1.31%, XLV 1.13%, XLY 1.64% and XLP 1.92%. QQQ was about flat; TLT fell 0.49%, HYG 0.07%, GLD 0.65% and SLV 1.24%. NYSE and Nasdaq decliners led 1.72-to-1 and 1.57-to-1. Decision: no new entry from the rotation screen; energy strength confirmed the existing paper exposures but raised headline-chasing risk.</x:v>
      </x:c>
      <x:c r="I601" s="44" t="str">
        <x:v>Existing energy positions confirmed; no new order</x:v>
      </x:c>
      <x:c r="J601" s="44" t="n">
        <x:v>5</x:v>
      </x:c>
      <x:c r="K601" s="44" t="str">
        <x:v>The Nasdaq was almost unchanged and XLK rose 0.47%, so the tape was not a uniform risk-off move. Friday volume was below its 20-day average, and recovered Middle East exports remain a physical counterweight to the risk premium.</x:v>
      </x:c>
    </x:row>
    <x:row r="602">
      <x:c r="A602" t="str">
        <x:v>EV-2026-602</x:v>
      </x:c>
      <x:c r="B602"/>
      <x:c r="C602" s="21" t="d">
        <x:v>2026-10-24T12:17:49.000Z</x:v>
      </x:c>
      <x:c r="D602" t="str">
        <x:v>Crown Castle tower-demand candidate</x:v>
      </x:c>
      <x:c r="E602" t="str">
        <x:v>Crown Castle / Reuters</x:v>
      </x:c>
      <x:c r="F602" t="str">
        <x:v>Primary issuer results with independent market reporting</x:v>
      </x:c>
      <x:c r="G602" s="44" t="str">
        <x:v>https://investor.crowncastle.com/node/29361</x:v>
      </x:c>
      <x:c r="H602" s="44" t="str">
        <x:v>Crown Castle closed October 23 at $85.97, up 9.1%, after reporting that SpaceX was seeking access to at least 80,000 U.S. cell sites. Primary Q3 results showed AFFO per share up 11% and a raised AFFO outlook, but site-rental revenue fell 5%, adjusted EBITDA fell 6%, net income fell 12% and full-year site-rental revenue and EBITDA are still expected to decline. Decision: REJECT a weekend entry after the gap; reopen only with primary contract economics and a fresh regular-session price that restores downside protection.</x:v>
      </x:c>
      <x:c r="I602" s="44" t="str">
        <x:v>Rejected current entry; rumor-driven gap</x:v>
      </x:c>
      <x:c r="J602" s="44" t="n">
        <x:v>5</x:v>
      </x:c>
      <x:c r="K602" s="44" t="str">
        <x:v>SpaceX and the tower companies had not confirmed a binding contract. The 9.1% one-day move may have capitalized a multi-year opportunity immediately, while interest rates, leverage and shrinking reported revenue and EBITDA remain material risks.</x:v>
      </x:c>
    </x:row>
    <x:row r="603">
      <x:c r="A603" t="str">
        <x:v>EV-2026-603</x:v>
      </x:c>
      <x:c r="B603"/>
      <x:c r="C603" s="21" t="d">
        <x:v>2026-10-24T12:17:49.000Z</x:v>
      </x:c>
      <x:c r="D603" t="str">
        <x:v>Robert Half earnings-recovery candidate</x:v>
      </x:c>
      <x:c r="E603" t="str">
        <x:v>Robert Half / SEC</x:v>
      </x:c>
      <x:c r="F603" t="str">
        <x:v>Primary SEC-filed issuer results</x:v>
      </x:c>
      <x:c r="G603" s="44" t="str">
        <x:v>https://www.sec.gov/Archives/edgar/data/315213/000031521326000049/rhiq32026ex991.htm</x:v>
      </x:c>
      <x:c r="H603" s="44" t="str">
        <x:v>Robert Half reported Q3 revenue of $1.359 billion versus $1.354 billion, net income of $50 million versus $43 million and adjusted operating margin of 5.3% versus 4.5%. Talent Solutions returned to adjusted year-over-year growth for the first time since 2022. RHI then closed near $46.39, up about 23%. Decision: REJECT a current paper entry after the gap; require follow-through in revenue, cash conversion and hiring demand at a fresh price.</x:v>
      </x:c>
      <x:c r="I603" s="44" t="str">
        <x:v>Rejected post-earnings chase</x:v>
      </x:c>
      <x:c r="J603" s="44" t="n">
        <x:v>5</x:v>
      </x:c>
      <x:c r="K603" s="44" t="str">
        <x:v>Nine-month revenue remained down 2%, net income fell to $90 million from $101 million, and nine-month net cash before financing of $47.1 million was far below the approximately $179.8 million of dividends paid. The 23% move compressed the margin of safety.</x:v>
      </x:c>
    </x:row>
    <x:row r="604">
      <x:c r="A604" t="str">
        <x:v>EV-2026-604</x:v>
      </x:c>
      <x:c r="B604"/>
      <x:c r="C604" s="21" t="d">
        <x:v>2026-10-24T12:17:49.000Z</x:v>
      </x:c>
      <x:c r="D604" t="str">
        <x:v>Motley Fool AVGO and ADBE idea screen</x:v>
      </x:c>
      <x:c r="E604" t="str">
        <x:v>The Motley Fool / Daniel Sparks</x:v>
      </x:c>
      <x:c r="F604" t="str">
        <x:v>Free editorial trigger only; primary issuer results checked separately</x:v>
      </x:c>
      <x:c r="G604" s="44" t="str">
        <x:v>https://www.fool.com/investing/2026/10/24/2-unloved-stocks-of-2026-to-consider-buying-now/</x:v>
      </x:c>
      <x:c r="H604" s="44" t="str">
        <x:v>A free October 24, 5:23 a.m. ET editorial proposed gradually buying Broadcom and Adobe, citing AVGO's fiscal-Q3 revenue of $29.6 billion and $13.7 billion of free cash flow, and Adobe's $6.76 billion of revenue, $6.13 adjusted EPS and raised full-year target. The author and clients disclosed no positions; The Motley Fool disclosed positions and recommendations in both plus an Adobe option spread. Decision: reject escalation today because the catalysts were more than a month old, markets were closed and no fresh issuer event created a current entry.</x:v>
      </x:c>
      <x:c r="I604" s="44" t="str">
        <x:v>Rejected trigger escalation; no stale weekend action</x:v>
      </x:c>
      <x:c r="J604" s="44" t="n">
        <x:v>4</x:v>
      </x:c>
      <x:c r="K604" s="44" t="str">
        <x:v>AVGO's top five customers represented about 55% of revenue, creating concentration and AI-capital-cycle risk. Adobe still faces slowing growth and AI substitution risk. The editorial is opinion, not independent confirmation, and its valuation claims depend on adjusted and forward earnings.</x:v>
      </x:c>
    </x:row>
    <x:row r="605">
      <x:c r="A605" t="str">
        <x:v>EV-2026-605</x:v>
      </x:c>
      <x:c r="B605"/>
      <x:c r="C605" s="21" t="d">
        <x:v>2026-10-24T12:17:49.000Z</x:v>
      </x:c>
      <x:c r="D605" t="str">
        <x:v>Motley Fool PepsiCo income idea screen</x:v>
      </x:c>
      <x:c r="E605" t="str">
        <x:v>The Motley Fool / Will Healy</x:v>
      </x:c>
      <x:c r="F605" t="str">
        <x:v>Free editorial trigger only; SEC and issuer records checked separately</x:v>
      </x:c>
      <x:c r="G605" s="44" t="str">
        <x:v>https://www.fool.com/investing/2026/10/24/want-income-for-life-pepsico-yields-43-and-has-the/</x:v>
      </x:c>
      <x:c r="H605" s="44" t="str">
        <x:v>A free October 24, 5:55 a.m. ET editorial proposed PepsiCo for its 4.3% yield, 54-year dividend-growth record, $10.8 billion trailing free cash flow and roughly 17-times earnings valuation. The author and The Motley Fool disclosed no position. Primary Q3 records confirmed $25.274 billion of revenue and $3.048 billion of net income. Decision: reject escalation; the October 8 results were not a fresh catalyst, and the closed market precluded a current executable decision.</x:v>
      </x:c>
      <x:c r="I605" s="44" t="str">
        <x:v>Rejected trigger escalation</x:v>
      </x:c>
      <x:c r="J605" s="44" t="n">
        <x:v>4</x:v>
      </x:c>
      <x:c r="K605" s="44" t="str">
        <x:v>PepsiCo cut its 2026 profit outlook, North American recovery and margins lag, and debt remains substantial. Trailing free cash flow covered the dividend, but dividend safety alone does not establish near-term total-return upside at Friday's $135.77 close.</x:v>
      </x:c>
    </x:row>
    <x:row r="606">
      <x:c r="A606" t="str">
        <x:v>EV-2026-606</x:v>
      </x:c>
      <x:c r="B606"/>
      <x:c r="C606" s="21" t="d">
        <x:v>2026-10-24T12:17:49.000Z</x:v>
      </x:c>
      <x:c r="D606" t="str">
        <x:v>Federal-contract award screen</x:v>
      </x:c>
      <x:c r="E606" t="str">
        <x:v>Department of War / AwardTape</x:v>
      </x:c>
      <x:c r="F606" t="str">
        <x:v>Official announcement restatement with award-record analysis</x:v>
      </x:c>
      <x:c r="G606" s="44" t="str">
        <x:v>https://awardtape.com/contracts/2026-10-23/</x:v>
      </x:c>
      <x:c r="H606" s="44" t="str">
        <x:v>The October 23 release contained eight actions totaling about $3.0 billion. Fluor Marine Propulsion's $2.409 billion modification to N0002418C2130 obligated only $597,900 at the action; Vitol's $230.1 million IDIQ showed no initial obligation; Huntington Ingalls/Oceaneering's $98.1 million action was a ceiling increase with no initial obligation. Lockheed's $114.6 million F-35 order and Northrop's $43.9 million Trident facility contract were fully obligated but immaterial to their parents. Decision: no new listed-equity thesis.</x:v>
      </x:c>
      <x:c r="I606" s="44" t="str">
        <x:v>No qualifying public-company catalyst</x:v>
      </x:c>
      <x:c r="J606" s="44" t="n">
        <x:v>5</x:v>
      </x:c>
      <x:c r="K606" s="44" t="str">
        <x:v>The largest figures were modifications, ceilings or private-company vehicles rather than unexpected current revenue. Public-parent awards were too small relative to consolidated revenue and backlog to create a distinct thesis; the Hampton Roads barracks close involved a private developer.</x:v>
      </x:c>
    </x:row>
    <x:row r="607">
      <x:c r="A607" t="str">
        <x:v>EV-2026-607</x:v>
      </x:c>
      <x:c r="B607" t="str">
        <x:v>EEI-2026-001</x:v>
      </x:c>
      <x:c r="C607" s="21" t="d">
        <x:v>2026-10-24T12:17:49.000Z</x:v>
      </x:c>
      <x:c r="D607" t="str">
        <x:v>Paper-portfolio material-change review</x:v>
      </x:c>
      <x:c r="E607" t="str">
        <x:v>StockAnalysis / ledger calculations</x:v>
      </x:c>
      <x:c r="F607" t="str">
        <x:v>Official-close market data and fixed historical paper units</x:v>
      </x:c>
      <x:c r="G607" s="44" t="str">
        <x:v>https://stockanalysis.com/etf/bno/history/</x:v>
      </x:c>
      <x:c r="H607" s="44" t="str">
        <x:v>Using the fixed September 8 paper units and the already logged October 23 closes, BNO, USO and XOP were worth $3,453.77 in total, up $453.77 or 15.13% on $3,000. The one-day change from the October 22 total of $3,344.00 was $109.77 or 3.28%. SPY closed at $759.97 versus its September 8 open of $769.07, a decline of 1.18%, so the paper portfolio led by 16.31 percentage points. Decision: hold the three recorded paper positions; do not add after the oil gap.</x:v>
      </x:c>
      <x:c r="I607" s="44" t="str">
        <x:v>Material portfolio change; concise notification warranted</x:v>
      </x:c>
      <x:c r="J607" s="44" t="n">
        <x:v>5</x:v>
      </x:c>
      <x:c r="K607" s="44" t="str">
        <x:v>The outperformance is concentrated in one geopolitical energy thesis and is not diversified. BNO and USO embed futures-structure risk, XOP adds equity and company risk, and Middle East export volumes have materially recovered despite continuing shipping and attack risk.</x:v>
      </x:c>
    </x:row>
    <x:row r="608">
      <x:c r="A608" t="str">
        <x:v>EV-2026-608</x:v>
      </x:c>
      <x:c r="B608" t="str">
        <x:v>EEI-2026-001</x:v>
      </x:c>
      <x:c r="C608" s="21" t="d">
        <x:v>2026-10-25T12:43:55.000Z</x:v>
      </x:c>
      <x:c r="D608" t="str">
        <x:v>Middle East conflict and energy-paper review</x:v>
      </x:c>
      <x:c r="E608" t="str">
        <x:v>Reuters</x:v>
      </x:c>
      <x:c r="F608" t="str">
        <x:v>Independent regional-market reporting and the existing fixed paper ledger</x:v>
      </x:c>
      <x:c r="G608" s="44" t="str">
        <x:v>https://www.reuters.com/world/middle-east/gulf-bourses-slip-houthi-saudi-clashes-rattle-investors-2026-10-25/</x:v>
      </x:c>
      <x:c r="H608" s="44" t="str">
        <x:v>Saudi Arabia's benchmark fell 2.6%, Saudi Aramco 1.1% and Egypt's EGX30 2.5% on Sunday as Saudi forces intercepted drones and missiles and Yemen fighting intensified. The escalation supports the existing geopolitical energy variable, but U.S. markets were closed and October 23 closes remain reference prices only. Decision: HOLD the existing BNO, USO and XOP paper positions; do not add without a fresh regular-session quote and a renewed reward-to-invalidation check.</x:v>
      </x:c>
      <x:c r="I608" s="44" t="str">
        <x:v>Hold existing positions; no add while market closed</x:v>
      </x:c>
      <x:c r="J608" s="44" t="n">
        <x:v>5</x:v>
      </x:c>
      <x:c r="K608" s="44" t="str">
        <x:v>The regional equity selloff is risk confirmation, not direct evidence of a new physical supply loss. Recovered Middle East exports, a possible de-escalation and a Monday gap could rapidly compress the oil risk premium; the paper portfolio remains concentrated in one thesis.</x:v>
      </x:c>
    </x:row>
    <x:row r="609">
      <x:c r="A609" t="str">
        <x:v>EV-2026-609</x:v>
      </x:c>
      <x:c r="B609"/>
      <x:c r="C609" s="21" t="d">
        <x:v>2026-10-25T12:43:55.000Z</x:v>
      </x:c>
      <x:c r="D609" t="str">
        <x:v>Bloom Energy post-earnings dislocation</x:v>
      </x:c>
      <x:c r="E609" t="str">
        <x:v>Bloom Energy</x:v>
      </x:c>
      <x:c r="F609" t="str">
        <x:v>Primary issuer results and observable official-close data</x:v>
      </x:c>
      <x:c r="G609" s="44" t="str">
        <x:v>https://investor.bloomenergy.com/press-releases/press-release-details/2026/Bloom-Energy-Reports-Record-Third-Quarter-2026-Financial-Results-and-Raises-Full-Year-2026-Guidance/default.aspx</x:v>
      </x:c>
      <x:c r="H609" s="44" t="str">
        <x:v>Bloom Energy reported Q3 revenue of $1.236 billion, up 138%, GAAP gross margin of 33.8%, operating income of $225 million and EPS of $0.78, and raised 2026 revenue guidance to $4.4-$4.6 billion. It closed October 23 at $193.30, down 11.3%. Decision: REJECT a weekend paper entry despite the growth because the approximately 118-times trailing earnings valuation, negative free cash flow, rising contract assets and inventory, dilution and roughly $2.5 billion of recourse debt leave inadequate downside protection without a fresh executable price.</x:v>
      </x:c>
      <x:c r="I609" s="44" t="str">
        <x:v>Rejected current entry</x:v>
      </x:c>
      <x:c r="J609" s="44" t="n">
        <x:v>5</x:v>
      </x:c>
      <x:c r="K609" s="44" t="str">
        <x:v>Cash and restricted cash of about $3.7 billion are meaningful, but shares outstanding rose to 295.5 million from 280.0 million, Q3 free cash flow was materially negative, and execution requires very large capital and working-capital commitments. The stock remained more than double its prior-year level even after the decline.</x:v>
      </x:c>
    </x:row>
    <x:row r="610">
      <x:c r="A610" t="str">
        <x:v>EV-2026-610</x:v>
      </x:c>
      <x:c r="B610"/>
      <x:c r="C610" s="21" t="d">
        <x:v>2026-10-25T12:43:55.000Z</x:v>
      </x:c>
      <x:c r="D610" t="str">
        <x:v>Comfort Systems earnings dislocation</x:v>
      </x:c>
      <x:c r="E610" t="str">
        <x:v>Comfort Systems USA</x:v>
      </x:c>
      <x:c r="F610" t="str">
        <x:v>Primary issuer results and observable official-close data</x:v>
      </x:c>
      <x:c r="G610" s="44" t="str">
        <x:v>https://investors.comfortsystemsusa.com/news-events/news-releases/</x:v>
      </x:c>
      <x:c r="H610" s="44" t="str">
        <x:v>Comfort Systems reported quarterly revenue of about $3.77 billion, up 54%, EPS of $13.91 and backlog of $17.81 billion, up about 90%. FIX closed October 23 at $1,160.86, down 9.35%. Decision: REJECT a weekend entry; powerful data-center and industrial demand is already embedded in a roughly $40.8 billion valuation, sequential margin softening and cyclical execution risk, and no current executable quote was available.</x:v>
      </x:c>
      <x:c r="I610" s="44" t="str">
        <x:v>Rejected current entry</x:v>
      </x:c>
      <x:c r="J610" s="44" t="n">
        <x:v>4</x:v>
      </x:c>
      <x:c r="K610" s="44" t="str">
        <x:v>Backlog gives visibility but does not remove labor, project-mix, acquisition-integration or data-center concentration risk. The share price remains far above its pre-boom structure, so a one-day drop alone does not establish a margin of safety.</x:v>
      </x:c>
    </x:row>
    <x:row r="611">
      <x:c r="A611" t="str">
        <x:v>EV-2026-611</x:v>
      </x:c>
      <x:c r="B611"/>
      <x:c r="C611" s="21" t="d">
        <x:v>2026-10-25T12:43:55.000Z</x:v>
      </x:c>
      <x:c r="D611" t="str">
        <x:v>Hasbro raised-guidance momentum screen</x:v>
      </x:c>
      <x:c r="E611" t="str">
        <x:v>Hasbro</x:v>
      </x:c>
      <x:c r="F611" t="str">
        <x:v>Primary issuer results and observable official-close data</x:v>
      </x:c>
      <x:c r="G611" s="44" t="str">
        <x:v>https://investor.hasbro.com/news-releases/news-release-details/hasbro-reports-third-quarter-2026-financial-results</x:v>
      </x:c>
      <x:c r="H611" s="44" t="str">
        <x:v>Hasbro reported Q3 revenue up 15%, Wizards and Digital Gaming revenue up 31%, adjusted operating profit up 52%, and raised its full-year revenue outlook to growth of 7%-9% with adjusted EBITDA of $1.575-$1.625 billion. HAS closed October 23 at $117.44 after gaining about 18.9% for the week. Decision: REJECT a post-results weekend entry; the rapid repricing, concentration in Magic and a $55 million tariff refund reduce confidence that the reported acceleration is fully repeatable.</x:v>
      </x:c>
      <x:c r="I611" s="44" t="str">
        <x:v>Rejected post-results chase</x:v>
      </x:c>
      <x:c r="J611" s="44" t="n">
        <x:v>5</x:v>
      </x:c>
      <x:c r="K611" s="44" t="str">
        <x:v>Consumer Products grew only 4%, the tariff refund flattered the quarter, and franchise concentration raises volatility. A fresh regular-session quote and holiday sell-through would be required before reconsideration.</x:v>
      </x:c>
    </x:row>
    <x:row r="612">
      <x:c r="A612" t="str">
        <x:v>EV-2026-612</x:v>
      </x:c>
      <x:c r="B612"/>
      <x:c r="C612" s="21" t="d">
        <x:v>2026-10-25T12:43:55.000Z</x:v>
      </x:c>
      <x:c r="D612" t="str">
        <x:v>Roper Technologies raised-guidance momentum screen</x:v>
      </x:c>
      <x:c r="E612" t="str">
        <x:v>Roper Technologies</x:v>
      </x:c>
      <x:c r="F612" t="str">
        <x:v>Primary issuer results and observable official-close data</x:v>
      </x:c>
      <x:c r="G612" s="44" t="str">
        <x:v>https://www.ropertech.com/news-releases/news-release-details/roper-technologies-announces-third-quarter-financial-results-2</x:v>
      </x:c>
      <x:c r="H612" s="44" t="str">
        <x:v>Roper reported Q3 revenue up 8% to $2.17 billion, organic revenue up 7%, adjusted EBITDA up 7% to $864 million and adjusted EPS up 15% to $5.89, and raised full-year adjusted diluted EPS guidance to $22.35-$22.40. ROP closed October 23 at $438.14 after a roughly 16% weekly rise. Decision: REJECT a weekend entry after the repricing; recurring software economics are attractive, but the one-week move and 40-basis-point EBITDA-margin decline leave insufficient current edge without a fresh quote.</x:v>
      </x:c>
      <x:c r="I612" s="44" t="str">
        <x:v>Rejected post-results chase</x:v>
      </x:c>
      <x:c r="J612" s="44" t="n">
        <x:v>5</x:v>
      </x:c>
      <x:c r="K612" s="44" t="str">
        <x:v>Acquisition execution and capital allocation remain essential to compounding, while elevated rates can pressure valuation. The strong operating report is confirmation of quality, not an automatically favorable entry price.</x:v>
      </x:c>
    </x:row>
    <x:row r="613">
      <x:c r="A613" t="str">
        <x:v>EV-2026-613</x:v>
      </x:c>
      <x:c r="B613"/>
      <x:c r="C613" s="21" t="d">
        <x:v>2026-10-25T12:43:55.000Z</x:v>
      </x:c>
      <x:c r="D613" t="str">
        <x:v>Applied Digital insider-buy dislocation</x:v>
      </x:c>
      <x:c r="E613" t="str">
        <x:v>Applied Digital / SEC</x:v>
      </x:c>
      <x:c r="F613" t="str">
        <x:v>Primary issuer results and public insider filings</x:v>
      </x:c>
      <x:c r="G613" s="44" t="str">
        <x:v>https://ir.applieddigital.com/news-events/press-releases/detail/163/applied-digital-reports-fiscal-first-quarter-2027-results</x:v>
      </x:c>
      <x:c r="H613" s="44" t="str">
        <x:v>Applied Digital insiders disclosed sizable open-market purchases after the share decline, including roughly $1 million by the CEO and about $5.7 million by the president. Fiscal Q1 revenue rose 322% to $341.9 million, but the company lost $221 million and reported about $6.4 billion of debt against $3.7 billion of cash and restricted cash. APLD closed October 23 at $18.25. Decision: REJECT a current entry; insider alignment is supportive but does not offset financing, dilution, construction and cash-burn risk.</x:v>
      </x:c>
      <x:c r="I613" s="44" t="str">
        <x:v>Rejected insider-buy signal</x:v>
      </x:c>
      <x:c r="J613" s="44" t="n">
        <x:v>4</x:v>
      </x:c>
      <x:c r="K613" s="44" t="str">
        <x:v>The CEO sold roughly $6 million of stock in January, and large purchases can still lose money. Capital needs are unusually high, net losses remain substantial and customer or project delays could force unfavorable financing.</x:v>
      </x:c>
    </x:row>
    <x:row r="614">
      <x:c r="A614" t="str">
        <x:v>EV-2026-614</x:v>
      </x:c>
      <x:c r="B614"/>
      <x:c r="C614" s="21" t="d">
        <x:v>2026-10-25T12:43:55.000Z</x:v>
      </x:c>
      <x:c r="D614" t="str">
        <x:v>Motley Fool weekend trigger screen</x:v>
      </x:c>
      <x:c r="E614" t="str">
        <x:v>The Motley Fool / Eric Volkman and Daniel Sparks</x:v>
      </x:c>
      <x:c r="F614" t="str">
        <x:v>Free editorial triggers only; primary issuer results checked separately</x:v>
      </x:c>
      <x:c r="G614" s="44" t="str">
        <x:v>https://www.fool.com/investing/2026/10/25/is-spotify-technology-sa-a-buy-after-its-latest-earnings-report/</x:v>
      </x:c>
      <x:c r="H614" s="44" t="str">
        <x:v>Free October 25 editorials highlighted Spotify after earnings and Microsoft at a lower preferred purchase price. Spotify's primary results confirmed revenue near EUR5.0 billion, 306 million subscribers, 33% gross margin, EUR672 million operating income and EUR735 million free cash flow, but SPOT had already jumped 11.1% on October 22 and traded near 52-times forward earnings. Microsoft traded at $524.51 ahead of October 28 earnings; the article itself preferred a price about 12% lower. Decision: treat both as idea triggers only and REJECT weekend escalation at stale prices.</x:v>
      </x:c>
      <x:c r="I614" s="44" t="str">
        <x:v>Rejected trigger escalation</x:v>
      </x:c>
      <x:c r="J614" s="44" t="n">
        <x:v>4</x:v>
      </x:c>
      <x:c r="K614" s="44" t="str">
        <x:v>Neither editorial independently confirms a catalyst or favorable entry. Spotify's growth is increasingly priced, while Microsoft's AI capital spending compresses near-term free-cash-flow conversion and the next earnings release creates gap risk. No paid recommendation was inferred or accessed.</x:v>
      </x:c>
    </x:row>
    <x:row r="615">
      <x:c r="A615" t="str">
        <x:v>EV-2026-615</x:v>
      </x:c>
      <x:c r="B615" t="str">
        <x:v>EEI-2026-023</x:v>
      </x:c>
      <x:c r="C615" s="21" t="d">
        <x:v>2026-10-26T12:33:04.000Z</x:v>
      </x:c>
      <x:c r="D615" t="str">
        <x:v>Verizon Q3 operational acceleration</x:v>
      </x:c>
      <x:c r="E615" t="str">
        <x:v>Verizon</x:v>
      </x:c>
      <x:c r="F615" t="str">
        <x:v>Primary issuer results</x:v>
      </x:c>
      <x:c r="G615" s="44" t="str">
        <x:v>https://www.verizon.com/about/news/verizon-delivers-another-record-breaking-quarter</x:v>
      </x:c>
      <x:c r="H615" s="44" t="str">
        <x:v>Verizon reported 406,000 postpaid phone net additions, service revenue of $23.5B (+2.9%), adjusted EBITDA of $13.8B (+8.0%), adjusted EPS of $1.31 (+8.3%) and free cash flow of $7.8B (+12.1%). It raised FY2026 adjusted EPS to $5.04-$5.06, phone additions to 1.1M-1.2M and FCF growth to nearly 12%, and announced a $2B-plus AWS AI-fiber framework. At 7:47:20 a.m. ET, VZ traded premarket at $44.80. Decision: PROPOSE a $300 research-test paper entry only at or below $45.25 through today's close; not a fill because capital and sizing rules are unavailable.</x:v>
      </x:c>
      <x:c r="I615" s="44" t="str">
        <x:v>New proposed paper entry; no fill</x:v>
      </x:c>
      <x:c r="J615" s="44" t="n">
        <x:v>5</x:v>
      </x:c>
      <x:c r="K615" s="44" t="str">
        <x:v>Revenue missed consensus; net unsecured debt was $123.7B, capital intensity remains high, and reported SpaceX wireless ambitions are a long-run competitive threat. The AWS framework must convert to revenue and returns.</x:v>
      </x:c>
    </x:row>
    <x:row r="616">
      <x:c r="A616" t="str">
        <x:v>EV-2026-616</x:v>
      </x:c>
      <x:c r="B616"/>
      <x:c r="C616" s="21" t="d">
        <x:v>2026-10-26T12:33:04.000Z</x:v>
      </x:c>
      <x:c r="D616" t="str">
        <x:v>EQT-Range Resources merger</x:v>
      </x:c>
      <x:c r="E616" t="str">
        <x:v>EQT / Range Resources</x:v>
      </x:c>
      <x:c r="F616" t="str">
        <x:v>Primary merger announcement</x:v>
      </x:c>
      <x:c r="G616" s="44" t="str">
        <x:v>https://ir.rangeresources.com/news-releases/news-release-details/eqt-announces-strategic-acquisition-range-resources-creating/</x:v>
      </x:c>
      <x:c r="H616" s="44" t="str">
        <x:v>EQT agreed to acquire Range in an all-stock transaction giving each RRC share 0.987 EQT shares. The companies cite a pro-forma enterprise value above $50B, roughly 9 Bcfe/d of production, nearly 3M acres and $325M of annual synergies within two years, with closing targeted for Q1 2027. Last official closes were EQT $55.63 and RRC $45.52; premarket reports showed divergent acquirer-target reactions. Decision: REJECT buying the premium-repriced target and reject an EQT entry before October 27 earnings and merger price discovery.</x:v>
      </x:c>
      <x:c r="I616" s="44" t="str">
        <x:v>Rejected merger chase</x:v>
      </x:c>
      <x:c r="J616" s="44" t="n">
        <x:v>5</x:v>
      </x:c>
      <x:c r="K616" s="44" t="str">
        <x:v>Antitrust, commodity-price, integration, dilution and synergy-realization risks remain. The announced exchange ratio fixes relative economics but not absolute value, and EQT shareholders bear near-term dilution and execution risk.</x:v>
      </x:c>
    </x:row>
    <x:row r="617">
      <x:c r="A617" t="str">
        <x:v>EV-2026-617</x:v>
      </x:c>
      <x:c r="B617"/>
      <x:c r="C617" s="21" t="d">
        <x:v>2026-10-26T12:33:04.000Z</x:v>
      </x:c>
      <x:c r="D617" t="str">
        <x:v>Brazil runoff and fiscal repricing</x:v>
      </x:c>
      <x:c r="E617" t="str">
        <x:v>Brazil Superior Electoral Court / Reuters</x:v>
      </x:c>
      <x:c r="F617" t="str">
        <x:v>Primary election result and independent market analysis</x:v>
      </x:c>
      <x:c r="G617" s="44" t="str">
        <x:v>https://www.tse.jus.br/comunicacao/noticias/2026/Outubro/presidente-do-tse-anuncia-reeleicao-de-lula-e-faz-balanco-do-2o-turno-das-eleicoes-2026</x:v>
      </x:c>
      <x:c r="H617" s="44" t="str">
        <x:v>Brazil's election authority declared Lula reelected with 51.79% of valid votes. Independent analysis expected fiscal-risk repricing; EWZ's last official close was $42.59. Decision: REJECT an immediate dip-buy or short because the cabinet and fiscal program remain unknown and public premarket feeds showed conflicting gap magnitudes.</x:v>
      </x:c>
      <x:c r="I617" s="44" t="str">
        <x:v>Rejected binary political chase</x:v>
      </x:c>
      <x:c r="J617" s="44" t="n">
        <x:v>5</x:v>
      </x:c>
      <x:c r="K617" s="44" t="str">
        <x:v>The election result is definitive, but market direction depends on fiscal appointments, budget policy, currency and rates. Conflicting adjusted-price feeds make a headline percentage move unreliable without normalized data.</x:v>
      </x:c>
    </x:row>
    <x:row r="618">
      <x:c r="A618" t="str">
        <x:v>EV-2026-618</x:v>
      </x:c>
      <x:c r="B618"/>
      <x:c r="C618" s="21" t="d">
        <x:v>2026-10-26T12:33:04.000Z</x:v>
      </x:c>
      <x:c r="D618" t="str">
        <x:v>Iovance sarcoma data screen</x:v>
      </x:c>
      <x:c r="E618" t="str">
        <x:v>Iovance Biotherapeutics</x:v>
      </x:c>
      <x:c r="F618" t="str">
        <x:v>Primary clinical update</x:v>
      </x:c>
      <x:c r="G618" s="44" t="str">
        <x:v>https://www.globenewswire.com/news-release/2026/10/26/3387958/0/en/iovance-announces-data-showing-durable-responses-with-lifileucel-til-cell-therapy-in-advanced-soft-tissue-sarcomas-at-esmo-2026.html</x:v>
      </x:c>
      <x:c r="H618" s="44" t="str">
        <x:v>Iovance reported a 50% objective-response rate in eight evaluable sarcoma patients, with four ongoing responses. The response rate was directionally consistent with an earlier six-patient disclosure, the sample remains uncontrolled and small, and the registrational study continues. The last official close was $14.09. Decision: REJECT a headline entry; the incremental evidence does not justify paying for binary development risk.</x:v>
      </x:c>
      <x:c r="I618" s="44" t="str">
        <x:v>Rejected small-sample headline</x:v>
      </x:c>
      <x:c r="J618" s="44" t="n">
        <x:v>4</x:v>
      </x:c>
      <x:c r="K618" s="44" t="str">
        <x:v>Tiny sample size, no comparator, trial immaturity, continuing operating cash burn and a multi-billion-dollar market value limit materiality. Later registrational efficacy, durability and manufacturing economics are decisive.</x:v>
      </x:c>
    </x:row>
    <x:row r="619">
      <x:c r="A619" t="str">
        <x:v>EV-2026-619</x:v>
      </x:c>
      <x:c r="B619"/>
      <x:c r="C619" s="21" t="d">
        <x:v>2026-10-26T12:33:04.000Z</x:v>
      </x:c>
      <x:c r="D619" t="str">
        <x:v>October 23 federal contract screen</x:v>
      </x:c>
      <x:c r="E619" t="str">
        <x:v>Department of War / AwardTape</x:v>
      </x:c>
      <x:c r="F619" t="str">
        <x:v>Official-announcement restatement with award-record analysis</x:v>
      </x:c>
      <x:c r="G619" s="44" t="str">
        <x:v>https://www.awardtape.com/contracts/2026-10-23/</x:v>
      </x:c>
      <x:c r="H619" s="44" t="str">
        <x:v>The largest action was a $2.409B cost-plus-fixed-fee MODIFICATION to Fluor Marine Propulsion contract N0002418C2130, originally awarded in 2018; only about $0.598M was obligated at the action and the record already carried roughly $15B of obligations and a $20.3B ceiling through September 2028. Lockheed's $114.6M F-35 order and Northrop's $43.9M Trident-facility contract were new and fully obligated but immaterial to their parents. FLR's last official close was $44.05. Decision: no new listed-equity thesis.</x:v>
      </x:c>
      <x:c r="I619" s="44" t="str">
        <x:v>No qualifying award catalyst</x:v>
      </x:c>
      <x:c r="J619" s="44" t="n">
        <x:v>5</x:v>
      </x:c>
      <x:c r="K619" s="44" t="str">
        <x:v>Fluor's headline figure is a routine modification to a long-running reimbursable program, not $2.409B of new current revenue; parent-level profitability, funding schedule and margin are unresolved. The other public-parent awards were below 0.5% of annual scale.</x:v>
      </x:c>
    </x:row>
    <x:row r="620">
      <x:c r="A620" t="str">
        <x:v>EV-2026-620</x:v>
      </x:c>
      <x:c r="B620"/>
      <x:c r="C620" s="21" t="d">
        <x:v>2026-10-26T12:33:04.000Z</x:v>
      </x:c>
      <x:c r="D620" t="str">
        <x:v>Motley Fool public-idea screen</x:v>
      </x:c>
      <x:c r="E620" t="str">
        <x:v>The Motley Fool / Adria Cimino and Lee Samaha</x:v>
      </x:c>
      <x:c r="F620" t="str">
        <x:v>Free editorials as triggers only; issuer records independently checked</x:v>
      </x:c>
      <x:c r="G620" s="44" t="str">
        <x:v>https://www.fool.com/investing/2026/10/26/should-you-buy-amazon-before-oct-29/</x:v>
      </x:c>
      <x:c r="H620" s="44" t="str">
        <x:v>Free October 26 editorials argued for Amazon before or after October 29 earnings and for patient ownership of 3M. The Amazon writer disclosed a position; the 3M writer disclosed none, and Motley Fool disclosed recommendations. Amazon faces binary earnings and very high capex; 3M's improvement is offset by large PFAS cash outflows in 2027-2028. MMM's last official close was $173.46. Decision: treat both as trigger sources only and REJECT pre-event or already-repriced entries.</x:v>
      </x:c>
      <x:c r="I620" s="44" t="str">
        <x:v>Rejected trigger escalation</x:v>
      </x:c>
      <x:c r="J620" s="44" t="n">
        <x:v>4</x:v>
      </x:c>
      <x:c r="K620" s="44" t="str">
        <x:v>Promotional opinion is not confirmation. Amazon's near-term free-cash-flow conversion and earnings gap risk remain material; 3M faces legal cash drains and much of the operating recovery is already visible.</x:v>
      </x:c>
    </x:row>
    <x:row r="621">
      <x:c r="A621" t="str">
        <x:v>EV-2026-621</x:v>
      </x:c>
      <x:c r="B621" t="str">
        <x:v>EEI-2026-001</x:v>
      </x:c>
      <x:c r="C621" s="21" t="d">
        <x:v>2026-10-26T12:33:04.000Z</x:v>
      </x:c>
      <x:c r="D621" t="str">
        <x:v>Paper portfolio and benchmark checkpoint</x:v>
      </x:c>
      <x:c r="E621" t="str">
        <x:v>Public market data / ledger calculations</x:v>
      </x:c>
      <x:c r="F621" t="str">
        <x:v>Last official closes and fixed historical units</x:v>
      </x:c>
      <x:c r="G621" s="44" t="str">
        <x:v>https://stockanalysis.com/etf/bno/history/</x:v>
      </x:c>
      <x:c r="H621" s="44" t="str">
        <x:v>Using the October 23 official closes, fixed-unit paper values were BNO $1240.87, USO $1172.41 and XOP $1040.50, totaling $3453.77. The basket was up $453.77 (15.13%) on $3,000. SPY at $759.97 was -1.18% from its September 8 open, leaving a 16.31 percentage-point relative result. Decision: HOLD the three actual paper positions; do not add after the energy breakout.</x:v>
      </x:c>
      <x:c r="I621" s="44" t="str">
        <x:v>Hold three actual positions</x:v>
      </x:c>
      <x:c r="J621" s="44" t="n">
        <x:v>4</x:v>
      </x:c>
      <x:c r="K621" s="44" t="str">
        <x:v>The basket is concentrated in one geopolitical energy thesis. These are prior-session official closes, not Monday executable marks; futures structure, de-escalation and broad-equity exposure can reverse gains quickly.</x:v>
      </x:c>
    </x:row>
    <x:row r="622">
      <x:c r="A622" t="str">
        <x:v>EV-2026-622</x:v>
      </x:c>
      <x:c r="B622"/>
      <x:c r="C622" s="21" t="d">
        <x:v>2026-10-26T12:33:04.000Z</x:v>
      </x:c>
      <x:c r="D622" t="str">
        <x:v>Due proposal reviews: Travelers and AT&amp;T</x:v>
      </x:c>
      <x:c r="E622" t="str">
        <x:v>Public market data / prior primary records</x:v>
      </x:c>
      <x:c r="F622" t="str">
        <x:v>Premarket review against frozen decision rules</x:v>
      </x:c>
      <x:c r="G622" s="44" t="str">
        <x:v>https://stockanalysis.com/stocks/trv/history/</x:v>
      </x:c>
      <x:c r="H622" s="44" t="str">
        <x:v>At the 8:33 a.m. ET premarket checkpoint, the last official closes were TRV $398.28 and T $20.93. The withdrawn TRV $365 proposal and unfilled AT&amp;T proposal remain rejected; neither is a position. Travelers still lacks a new catalyst at a qualifying valuation, while no primary evidence has removed the reported SpaceX competitive threat to AT&amp;T. Next scheduled review: November 26.</x:v>
      </x:c>
      <x:c r="I622" s="44" t="str">
        <x:v>Prior proposals remain rejected</x:v>
      </x:c>
      <x:c r="J622" s="44" t="n">
        <x:v>4</x:v>
      </x:c>
      <x:c r="K622" s="44" t="str">
        <x:v>Both underlying businesses may perform well despite the entry rejection. The decision is about current reward versus downside and stale proposal discipline, not a prediction that either stock must fall.</x:v>
      </x:c>
    </x:row>
    <x:row r="623">
      <x:c r="A623" t="str">
        <x:v>EV-2026-623</x:v>
      </x:c>
      <x:c r="B623" t="str">
        <x:v>EEI-2026-001</x:v>
      </x:c>
      <x:c r="C623" s="21" t="d">
        <x:v>2026-10-26T20:38:11.000Z</x:v>
      </x:c>
      <x:c r="D623" t="str">
        <x:v>Paper-trade outcome</x:v>
      </x:c>
      <x:c r="E623" t="str">
        <x:v>StockAnalysis</x:v>
      </x:c>
      <x:c r="F623" t="str">
        <x:v>Market data</x:v>
      </x:c>
      <x:c r="G623" s="44" t="str">
        <x:v>https://stockanalysis.com/etf/bno/history/</x:v>
      </x:c>
      <x:c r="H623" s="44" t="str">
        <x:v>BNO closed October 26 at $70.12 versus the fixed September 8 opening entry of $57.21. The $1,000 fractional-share paper position was worth $1,225.66, a gain of $225.66 or 22.57%.</x:v>
      </x:c>
      <x:c r="I623" s="44" t="str">
        <x:v>Confirms direct Brent expression despite daily pullback</x:v>
      </x:c>
      <x:c r="J623" s="44" t="n">
        <x:v>4</x:v>
      </x:c>
      <x:c r="K623" s="44" t="str">
        <x:v>Official regular-session close used; totals retain unrounded fractional shares.</x:v>
      </x:c>
    </x:row>
    <x:row r="624">
      <x:c r="A624" t="str">
        <x:v>EV-2026-624</x:v>
      </x:c>
      <x:c r="B624" t="str">
        <x:v>EEI-2026-001</x:v>
      </x:c>
      <x:c r="C624" s="21" t="d">
        <x:v>2026-10-26T20:38:11.000Z</x:v>
      </x:c>
      <x:c r="D624" t="str">
        <x:v>Paper-trade outcome</x:v>
      </x:c>
      <x:c r="E624" t="str">
        <x:v>StockAnalysis</x:v>
      </x:c>
      <x:c r="F624" t="str">
        <x:v>Market data</x:v>
      </x:c>
      <x:c r="G624" s="44" t="str">
        <x:v>https://stockanalysis.com/etf/uso/history/</x:v>
      </x:c>
      <x:c r="H624" s="44" t="str">
        <x:v>USO closed October 26 at $166.23 versus the fixed September 8 opening entry of $144.60. The $1,000 fractional-share paper position was worth $1,149.59, a gain of $149.59 or 14.96%.</x:v>
      </x:c>
      <x:c r="I624" s="44" t="str">
        <x:v>Confirms direct WTI expression despite daily pullback</x:v>
      </x:c>
      <x:c r="J624" s="44" t="n">
        <x:v>4</x:v>
      </x:c>
      <x:c r="K624" s="44" t="str">
        <x:v>Official regular-session close used; the fund's futures exposure can diverge from spot WTI.</x:v>
      </x:c>
    </x:row>
    <x:row r="625">
      <x:c r="A625" t="str">
        <x:v>EV-2026-625</x:v>
      </x:c>
      <x:c r="B625" t="str">
        <x:v>EEI-2026-001</x:v>
      </x:c>
      <x:c r="C625" s="21" t="d">
        <x:v>2026-10-26T20:38:11.000Z</x:v>
      </x:c>
      <x:c r="D625" t="str">
        <x:v>Paper-trade outcome</x:v>
      </x:c>
      <x:c r="E625" t="str">
        <x:v>StockAnalysis</x:v>
      </x:c>
      <x:c r="F625" t="str">
        <x:v>Market data</x:v>
      </x:c>
      <x:c r="G625" s="44" t="str">
        <x:v>https://stockanalysis.com/etf/xop/history/</x:v>
      </x:c>
      <x:c r="H625" s="44" t="str">
        <x:v>XOP closed October 26 at $204.86 versus the fixed September 8 opening entry of $193.84. The $1,000 fractional-share paper position was worth $1,056.85, a gain of $56.85 or 5.69%.</x:v>
      </x:c>
      <x:c r="I625" s="44" t="str">
        <x:v>Positive but still weakest expression</x:v>
      </x:c>
      <x:c r="J625" s="44" t="n">
        <x:v>4</x:v>
      </x:c>
      <x:c r="K625" s="44" t="str">
        <x:v>Official regular-session close used; the producer-equity ETF retains company and broad-equity mapping risk.</x:v>
      </x:c>
    </x:row>
    <x:row r="626">
      <x:c r="A626" t="str">
        <x:v>EV-2026-626</x:v>
      </x:c>
      <x:c r="B626" t="str">
        <x:v>EEI-2026-001</x:v>
      </x:c>
      <x:c r="C626" s="21" t="d">
        <x:v>2026-10-26T20:38:11.000Z</x:v>
      </x:c>
      <x:c r="D626" t="str">
        <x:v>Market confirmation</x:v>
      </x:c>
      <x:c r="E626" t="str">
        <x:v>Reuters</x:v>
      </x:c>
      <x:c r="F626" t="str">
        <x:v>High-quality independent reporting</x:v>
      </x:c>
      <x:c r="G626" s="44" t="str">
        <x:v>https://www.reuters.com/business/energy/oil-prices-down-almost-1-early-trading-2026-10-25/</x:v>
      </x:c>
      <x:c r="H626" s="44" t="str">
        <x:v>Brent fell $0.91 or 0.8% to settle October 26 at $115.81, while WTI fell $1.51 or 1.46% to $101.76. Hopes for regional diplomacy reduced the immediate supply-risk premium after Friday's rally.</x:v>
      </x:c>
      <x:c r="I626" s="44" t="str">
        <x:v>Daily counter-signal; formal thesis remains profitable</x:v>
      </x:c>
      <x:c r="J626" s="44" t="n">
        <x:v>5</x:v>
      </x:c>
      <x:c r="K626" s="44" t="str">
        <x:v>Prices remained near six-month highs and both direct crude paper positions stayed well above their September 8 entries.</x:v>
      </x:c>
    </x:row>
    <x:row r="627">
      <x:c r="A627" t="str">
        <x:v>EV-2026-627</x:v>
      </x:c>
      <x:c r="B627" t="str">
        <x:v>EEI-2026-024</x:v>
      </x:c>
      <x:c r="C627" s="21" t="d">
        <x:v>2026-10-27T13:32:55.000Z</x:v>
      </x:c>
      <x:c r="D627" t="str">
        <x:v>Q3 earnings inflection and 2027 outlook</x:v>
      </x:c>
      <x:c r="E627" t="str">
        <x:v>SoFi Technologies</x:v>
      </x:c>
      <x:c r="F627" t="str">
        <x:v>Primary issuer results</x:v>
      </x:c>
      <x:c r="G627" s="44" t="str">
        <x:v>https://investors.sofi.com/news/news-details/2026/SoFi-Reports-Third-Quarter-2026-with-Record-Net-Revenue-of-1-4-Billion-Net-Income-of-241-Million-and-Raises-Full-Year-Guidance/default.aspx</x:v>
      </x:c>
      <x:c r="H627" s="44" t="str">
        <x:v>SoFi reported $1.385B of GAAP revenue (+44%), $241M of net income, $0.18 diluted EPS, $469.8M of adjusted EBITDA, 17.1M members and $570.6M of fee-based revenue. It guided to $5.04B of 2026 adjusted revenue and $0.61 EPS and approximately $6.4B and $0.90 EPS for 2027. At 9:32 a.m. ET regular-session checkpoint (15-minute-delayed public feed), SOFI was $15.86. Decision: REJECT an immediate paper entry at $15.86 because the quote exceeded the precommitted $15.25 no-chase ceiling. Reassess after an orderly consolidation or the next credit and technology-platform update; no live order.</x:v>
      </x:c>
      <x:c r="I627" s="44" t="str">
        <x:v>Rejected above no-chase ceiling</x:v>
      </x:c>
      <x:c r="J627" s="44" t="n">
        <x:v>5</x:v>
      </x:c>
      <x:c r="K627" s="44" t="str">
        <x:v>Technology Platform revenue fell 24% and contribution profit fell 56% year over year after a major client departure. Consumer credit, rate sensitivity, concentration, dilution and execution risk remain material.</x:v>
      </x:c>
    </x:row>
    <x:row r="628">
      <x:c r="A628" t="str">
        <x:v>EV-2026-628</x:v>
      </x:c>
      <x:c r="B628" t="str">
        <x:v>EEI-2026-024</x:v>
      </x:c>
      <x:c r="C628" s="21" t="d">
        <x:v>2026-10-27T13:32:55.000Z</x:v>
      </x:c>
      <x:c r="D628" t="str">
        <x:v>Independent earnings and market confirmation</x:v>
      </x:c>
      <x:c r="E628" t="str">
        <x:v>Wall Street Journal / public market data</x:v>
      </x:c>
      <x:c r="F628" t="str">
        <x:v>High-quality independent reporting and timestamped quote</x:v>
      </x:c>
      <x:c r="G628" s="44" t="str">
        <x:v>https://www.wsj.com/business/earnings/sofi-lifts-outlook-after-profit-revenue-and-memberships-jump-8cc45f94</x:v>
      </x:c>
      <x:c r="H628" s="44" t="str">
        <x:v>Independent reporting confirmed the Q3 profit and revenue acceleration, raised outlook and record membership growth. The regular-session quote of $15.86 at 9:32 a.m. ET regular-session checkpoint (15-minute-delayed public feed) supplied executable-price context rather than a premarket indication.</x:v>
      </x:c>
      <x:c r="I628" s="44" t="str">
        <x:v>Confirms materiality and current-price test</x:v>
      </x:c>
      <x:c r="J628" s="44" t="n">
        <x:v>5</x:v>
      </x:c>
      <x:c r="K628" s="44" t="str">
        <x:v>A one-day earnings reaction is not proof of durable rerating. The 2027 outlook is management guidance, not realized earnings.</x:v>
      </x:c>
    </x:row>
    <x:row r="629">
      <x:c r="A629" t="str">
        <x:v>EV-2026-629</x:v>
      </x:c>
      <x:c r="B629"/>
      <x:c r="C629" s="21" t="d">
        <x:v>2026-10-27T13:32:55.000Z</x:v>
      </x:c>
      <x:c r="D629" t="str">
        <x:v>AI hardware earnings and capital-intensity screen</x:v>
      </x:c>
      <x:c r="E629" t="str">
        <x:v>Celestica</x:v>
      </x:c>
      <x:c r="F629" t="str">
        <x:v>Primary issuer results</x:v>
      </x:c>
      <x:c r="G629" s="44" t="str">
        <x:v>https://corporate.celestica.com/news-releases/news-release-details/celestica-announces-third-quarter-2026-financial-results-and</x:v>
      </x:c>
      <x:c r="H629" s="44" t="str">
        <x:v>Celestica reported Q3 revenue of $5.83B and adjusted EPS of $3.30, raised 2026 guidance and introduced a $40B 2027 revenue outlook, but cut 2026 free-cash-flow guidance to $460M and expects $1.5B-$2.0B of 2027 capex. CLS was $267.09 at 9:32 a.m. ET regular-session checkpoint (15-minute-delayed public feed). Decision: REJECT an immediate entry because cash conversion, customer concentration, equity issuance and aggressive demand assumptions outweigh the headline growth at the current price.</x:v>
      </x:c>
      <x:c r="I629" s="44" t="str">
        <x:v>Rejected immediate entry</x:v>
      </x:c>
      <x:c r="J629" s="44" t="n">
        <x:v>5</x:v>
      </x:c>
      <x:c r="K629" s="44" t="str">
        <x:v>HPS growth and demand visibility are strong; a later entry could qualify if free-cash-flow conversion improves and the stock forms an orderly base.</x:v>
      </x:c>
    </x:row>
    <x:row r="630">
      <x:c r="A630" t="str">
        <x:v>EV-2026-630</x:v>
      </x:c>
      <x:c r="B630"/>
      <x:c r="C630" s="21" t="d">
        <x:v>2026-10-27T13:32:55.000Z</x:v>
      </x:c>
      <x:c r="D630" t="str">
        <x:v>Airline revenue versus solvency screen</x:v>
      </x:c>
      <x:c r="E630" t="str">
        <x:v>JetBlue Airways</x:v>
      </x:c>
      <x:c r="F630" t="str">
        <x:v>Primary issuer results</x:v>
      </x:c>
      <x:c r="G630" s="44" t="str">
        <x:v>https://www.news.jetblue.com/latest-news/press-release-details/2026/JetBlue-Announces-Third-Quarter-2026-Results/default.aspx</x:v>
      </x:c>
      <x:c r="H630" s="44" t="str">
        <x:v>JetBlue reported Q3 revenue of $2.812B (+21.1%) and strong unit-revenue growth, but maintained a deeply negative full-year adjusted operating-margin outlook and does not target sustained free cash flow until 2028. JBLU was $2.59 at 9:32 a.m. ET regular-session checkpoint (15-minute-delayed public feed). Decision: REJECT despite revenue momentum because fuel, interest, debt and continuing losses dominate the equity case.</x:v>
      </x:c>
      <x:c r="I630" s="44" t="str">
        <x:v>Rejected balance-sheet risk</x:v>
      </x:c>
      <x:c r="J630" s="44" t="n">
        <x:v>5</x:v>
      </x:c>
      <x:c r="K630" s="44" t="str">
        <x:v>Industry pricing and alliance benefits could improve results, but execution and refinancing risk remain high.</x:v>
      </x:c>
    </x:row>
    <x:row r="631">
      <x:c r="A631" t="str">
        <x:v>EV-2026-631</x:v>
      </x:c>
      <x:c r="B631"/>
      <x:c r="C631" s="21" t="d">
        <x:v>2026-10-27T13:32:55.000Z</x:v>
      </x:c>
      <x:c r="D631" t="str">
        <x:v>Consumer-staples quality versus valuation screen</x:v>
      </x:c>
      <x:c r="E631" t="str">
        <x:v>The Coca-Cola Company</x:v>
      </x:c>
      <x:c r="F631" t="str">
        <x:v>Primary issuer results</x:v>
      </x:c>
      <x:c r="G631" s="44" t="str">
        <x:v>https://investors.coca-colacompany.com/news-events/press-releases/detail/1176/coca-cola-reports-third-quarter-2026-results-and-raises-full-year-guidance</x:v>
      </x:c>
      <x:c r="H631" s="44" t="str">
        <x:v>Coca-Cola reported Q3 revenue of $13.4B (+7%), organic revenue growth of 7% and comparable EPS of $0.93 (+8%) and raised full-year guidance. KO was $92.09 at 9:32 a.m. ET regular-session checkpoint (15-minute-delayed public feed). Decision: REJECT a fresh paper entry because the quality and pricing evidence are already reflected in a high earnings multiple and the catalyst lacks a clear valuation dislocation.</x:v>
      </x:c>
      <x:c r="I631" s="44" t="str">
        <x:v>Rejected on valuation and edge</x:v>
      </x:c>
      <x:c r="J631" s="44" t="n">
        <x:v>5</x:v>
      </x:c>
      <x:c r="K631" s="44" t="str">
        <x:v>A defensive growth profile can still outperform if macro risk rises; rejection concerns current edge, not business quality.</x:v>
      </x:c>
    </x:row>
    <x:row r="632">
      <x:c r="A632" t="str">
        <x:v>EV-2026-632</x:v>
      </x:c>
      <x:c r="B632" t="str">
        <x:v>EEI-2026-018</x:v>
      </x:c>
      <x:c r="C632" s="21" t="d">
        <x:v>2026-10-27T13:32:55.000Z</x:v>
      </x:c>
      <x:c r="D632" t="str">
        <x:v>Due Boeing thesis review</x:v>
      </x:c>
      <x:c r="E632" t="str">
        <x:v>Boeing / Reuters</x:v>
      </x:c>
      <x:c r="F632" t="str">
        <x:v>Primary issuer results and independent reporting</x:v>
      </x:c>
      <x:c r="G632" s="44" t="str">
        <x:v>https://www.reuters.com/business/aerospace-defense/boeing-jetliner-production-challenges-weigh-third-quarter-results-2026-10-27/</x:v>
      </x:c>
      <x:c r="H632" s="44" t="str">
        <x:v>Boeing's Q3 adjusted loss was worse than expected, while commercial production problems persisted. Defense revenue and operating margin improved and free cash flow turned positive, but the PAC-3 seeker action remains an undefinitized ceiling without disclosed funded obligations. BA was $184.65 at 9:32 a.m. ET regular-session checkpoint (15-minute-delayed public feed). Decision: convert legacy WAIT to REJECT; next review November 27.</x:v>
      </x:c>
      <x:c r="I632" s="44" t="str">
        <x:v>Due review completed; current entry rejected</x:v>
      </x:c>
      <x:c r="J632" s="44" t="n">
        <x:v>5</x:v>
      </x:c>
      <x:c r="K632" s="44" t="str">
        <x:v>Defense improvement and record backlog support the long-run variable, but listed-equity dilution by commercial execution, debt and fixed-price risk remains decisive.</x:v>
      </x:c>
    </x:row>
    <x:row r="633">
      <x:c r="A633" t="str">
        <x:v>EV-2026-633</x:v>
      </x:c>
      <x:c r="B633" t="str">
        <x:v>EEI-2026-023</x:v>
      </x:c>
      <x:c r="C633" s="21" t="d">
        <x:v>2026-10-27T13:32:55.000Z</x:v>
      </x:c>
      <x:c r="D633" t="str">
        <x:v>Expired Verizon proposal review</x:v>
      </x:c>
      <x:c r="E633" t="str">
        <x:v>Public market data / prior issuer evidence</x:v>
      </x:c>
      <x:c r="F633" t="str">
        <x:v>Timestamped quote and decision review</x:v>
      </x:c>
      <x:c r="G633" s="44" t="str">
        <x:v>https://www.verizon.com/about/news/verizon-delivers-another-record-breaking-quarter</x:v>
      </x:c>
      <x:c r="H633" s="44" t="str">
        <x:v>The October 26 VZ proposal expired unfilled. VZ traded at $43.25 at 9:32 a.m. ET regular-session checkpoint (15-minute-delayed public feed), near or below the frozen $43.40 daily-close invalidation level. Decision: REJECT renewal; no Verizon position exists. Require a confirmed close above $43.40 and intact fundamentals before any fresh finite decision.</x:v>
      </x:c>
      <x:c r="I633" s="44" t="str">
        <x:v>Expired proposal rejected</x:v>
      </x:c>
      <x:c r="J633" s="44" t="n">
        <x:v>4</x:v>
      </x:c>
      <x:c r="K633" s="44" t="str">
        <x:v>An intraday quote does not by itself trigger the daily-close invalidation; the Strong fundamental thesis remains open pending closing-price and operating evidence.</x:v>
      </x:c>
    </x:row>
    <x:row r="634">
      <x:c r="A634" t="str">
        <x:v>EV-2026-634</x:v>
      </x:c>
      <x:c r="B634"/>
      <x:c r="C634" s="21" t="d">
        <x:v>2026-10-27T13:32:55.000Z</x:v>
      </x:c>
      <x:c r="D634" t="str">
        <x:v>Motley Fool public-idea screen</x:v>
      </x:c>
      <x:c r="E634" t="str">
        <x:v>The Motley Fool / Neil Rozenbaum</x:v>
      </x:c>
      <x:c r="F634" t="str">
        <x:v>Free editorial trigger only; primary issuer records checked independently</x:v>
      </x:c>
      <x:c r="G634" s="44" t="str">
        <x:v>https://www.fool.com/investing/2026/10/27/the-ai-sell-off-doesn-t-add-up-chip-stocks-are-beating-earnings-and-still-falling/</x:v>
      </x:c>
      <x:c r="H634" s="44" t="str">
        <x:v>A free editorial argued that post-earnings weakness in AI chip and infrastructure names created opportunity. The writer disclosed ownership of Broadcom and Nebius; the publication disclosed recommendations and affiliate compensation. Celestica and other issuer records independently confirm strong AI demand, but the promotional article bundles different valuations, cash-flow profiles and risks. Decision: no entry from the article; it remains a trigger source only.</x:v>
      </x:c>
      <x:c r="I634" s="44" t="str">
        <x:v>Trigger rejected as insufficiently specific</x:v>
      </x:c>
      <x:c r="J634" s="44" t="n">
        <x:v>3</x:v>
      </x:c>
      <x:c r="K634" s="44" t="str">
        <x:v>Motley Fool is not confirmation or an expert enhancer. The piece does not supply a single underwritten entry, current-price risk budget or uniform catalyst.</x:v>
      </x:c>
    </x:row>
    <x:row r="635">
      <x:c r="A635" t="str">
        <x:v>EV-2026-635</x:v>
      </x:c>
      <x:c r="B635"/>
      <x:c r="C635" s="21" t="d">
        <x:v>2026-10-27T13:32:55.000Z</x:v>
      </x:c>
      <x:c r="D635" t="str">
        <x:v>Federal award and regulatory discovery screen</x:v>
      </x:c>
      <x:c r="E635" t="str">
        <x:v>U.S. Department of Defense / public agency channels</x:v>
      </x:c>
      <x:c r="F635" t="str">
        <x:v>Primary public announcements; non-exhaustive accessible screen</x:v>
      </x:c>
      <x:c r="G635" s="44" t="str">
        <x:v>https://www.defense.gov/News/Contracts/</x:v>
      </x:c>
      <x:c r="H635" s="44" t="str">
        <x:v>The accessible current federal-award and regulatory screen did not surface a new, material, independently confirmed listed-equity catalyst with disclosed obligations and clear parent-level revenue relevance. No government-award thesis was opened.</x:v>
      </x:c>
      <x:c r="I635" s="44" t="str">
        <x:v>No qualifying catalyst</x:v>
      </x:c>
      <x:c r="J635" s="44" t="n">
        <x:v>3</x:v>
      </x:c>
      <x:c r="K635" s="44" t="str">
        <x:v>Coverage was public and broad but not exhaustive; no proprietary award feed or complete same-day recipient-parent mapping was available.</x:v>
      </x:c>
    </x:row>
    <x:row r="636">
      <x:c r="A636" t="str">
        <x:v>EV-2026-636</x:v>
      </x:c>
      <x:c r="B636" t="str">
        <x:v>EEI-2026-001</x:v>
      </x:c>
      <x:c r="C636" s="21" t="d">
        <x:v>2026-10-27T13:32:55.000Z</x:v>
      </x:c>
      <x:c r="D636" t="str">
        <x:v>Paper portfolio and benchmark checkpoint</x:v>
      </x:c>
      <x:c r="E636" t="str">
        <x:v>Public market data / ledger calculations</x:v>
      </x:c>
      <x:c r="F636" t="str">
        <x:v>Timestamped public quotes and fixed historical units</x:v>
      </x:c>
      <x:c r="G636" s="44" t="str">
        <x:v>https://stockanalysis.com/etf/bno/history/</x:v>
      </x:c>
      <x:c r="H636" s="44" t="str">
        <x:v>At 9:32 a.m. ET regular-session checkpoint (15-minute-delayed public feed), fixed-unit values were BNO $1218.67, USO $1141.22 and XOP $1052.21, totaling $3412.09. The basket was up $412.09 (13.74%) on $3,000. SPY at $767.42 was -0.21% from its September 8 open, leaving a 13.95 percentage-point relative result. Decision: HOLD the three actual positions; do not add.</x:v>
      </x:c>
      <x:c r="I636" s="44" t="str">
        <x:v>Hold three actual positions</x:v>
      </x:c>
      <x:c r="J636" s="44" t="n">
        <x:v>4</x:v>
      </x:c>
      <x:c r="K636" s="44" t="str">
        <x:v>The basket is concentrated in one geopolitical energy thesis. Intraday marks can reverse before the close; direct crude funds retain curve and gap risk and XOP adds equity-specific risk.</x:v>
      </x:c>
    </x:row>
    <x:row r="637">
      <x:c r="A637" t="str">
        <x:v>EV-2026-637</x:v>
      </x:c>
      <x:c r="B637" t="str">
        <x:v>EEI-2026-001</x:v>
      </x:c>
      <x:c r="C637" s="21" t="d">
        <x:v>2026-10-26T20:38:11.000Z</x:v>
      </x:c>
      <x:c r="D637" t="str">
        <x:v>Mechanism and invalidation update</x:v>
      </x:c>
      <x:c r="E637" t="str">
        <x:v>Reuters</x:v>
      </x:c>
      <x:c r="F637" t="str">
        <x:v>High-quality independent reporting</x:v>
      </x:c>
      <x:c r="G637" s="44" t="str">
        <x:v>https://www.reuters.com/business/energy/oil-prices-down-almost-1-early-trading-2026-10-25/</x:v>
      </x:c>
      <x:c r="H637" s="44" t="str">
        <x:v>Qatari mediators and officials from Saudi Arabia, Turkey and Pakistan met Iranian officials, providing a credible de-escalation path. At the same time, October was the worst month for commercial-shipping attacks near Hormuz since tracking began in 2017, drones continued targeting Saudi regions, and a tanker fire was reported near Iraq.</x:v>
      </x:c>
      <x:c r="I637" s="44" t="str">
        <x:v>Mixed: diplomacy challenges the premium, attacks confirm transport risk</x:v>
      </x:c>
      <x:c r="J637" s="44" t="n">
        <x:v>5</x:v>
      </x:c>
      <x:c r="K637" s="44" t="str">
        <x:v>Restored after the October 27 morning scan reused the prior EV-2026-627 identifier; reassigned the next available unique ID. Russian refiners also raised diesel output after export quotas, adding supply. Safer shipping and a sustained agreement remain the stronger invalidation.</x:v>
      </x:c>
    </x:row>
    <x:row r="638">
      <x:c r="A638" t="str">
        <x:v>EV-2026-638</x:v>
      </x:c>
      <x:c r="B638" t="str">
        <x:v>EEI-2026-001</x:v>
      </x:c>
      <x:c r="C638" s="21" t="d">
        <x:v>2026-10-27T21:14:21.999Z</x:v>
      </x:c>
      <x:c r="D638" t="str">
        <x:v>Paper-trade outcome</x:v>
      </x:c>
      <x:c r="E638" t="str">
        <x:v>StockAnalysis</x:v>
      </x:c>
      <x:c r="F638" t="str">
        <x:v>Market data</x:v>
      </x:c>
      <x:c r="G638" s="44" t="str">
        <x:v>https://stockanalysis.com/etf/bno/history/</x:v>
      </x:c>
      <x:c r="H638" s="44" t="str">
        <x:v>BNO closed October 27 at $69.67 versus the fixed September 8 opening entry of $57.21. The $1,000 fractional-share paper position was worth $1,217.79, a gain of $217.79 or 21.78%.</x:v>
      </x:c>
      <x:c r="I638" s="44" t="str">
        <x:v>Confirms direct Brent expression despite second daily pullback</x:v>
      </x:c>
      <x:c r="J638" s="44" t="n">
        <x:v>4</x:v>
      </x:c>
      <x:c r="K638" s="44" t="str">
        <x:v>Official regular-session close used; totals retain unrounded fractional shares. The source now shows October 26 at $70.07 rather than the $70.12 displayed immediately after that close; the frozen entry and October 27 calculation are unaffected.</x:v>
      </x:c>
    </x:row>
    <x:row r="639">
      <x:c r="A639" t="str">
        <x:v>EV-2026-639</x:v>
      </x:c>
      <x:c r="B639" t="str">
        <x:v>EEI-2026-001</x:v>
      </x:c>
      <x:c r="C639" s="21" t="d">
        <x:v>2026-10-27T21:14:21.999Z</x:v>
      </x:c>
      <x:c r="D639" t="str">
        <x:v>Paper-trade outcome</x:v>
      </x:c>
      <x:c r="E639" t="str">
        <x:v>StockAnalysis</x:v>
      </x:c>
      <x:c r="F639" t="str">
        <x:v>Market data</x:v>
      </x:c>
      <x:c r="G639" s="44" t="str">
        <x:v>https://stockanalysis.com/etf/uso/history/</x:v>
      </x:c>
      <x:c r="H639" s="44" t="str">
        <x:v>USO closed October 27 at $163.88 versus the fixed September 8 opening entry of $144.60. The $1,000 fractional-share paper position was worth $1,133.33, a gain of $133.33 or 13.33%.</x:v>
      </x:c>
      <x:c r="I639" s="44" t="str">
        <x:v>Confirms direct WTI expression despite second daily pullback</x:v>
      </x:c>
      <x:c r="J639" s="44" t="n">
        <x:v>4</x:v>
      </x:c>
      <x:c r="K639" s="44" t="str">
        <x:v>Official regular-session close used; the fund's futures exposure can diverge from spot WTI.</x:v>
      </x:c>
    </x:row>
    <x:row r="640">
      <x:c r="A640" t="str">
        <x:v>EV-2026-640</x:v>
      </x:c>
      <x:c r="B640" t="str">
        <x:v>EEI-2026-001</x:v>
      </x:c>
      <x:c r="C640" s="21" t="d">
        <x:v>2026-10-27T21:14:21.999Z</x:v>
      </x:c>
      <x:c r="D640" t="str">
        <x:v>Paper-trade outcome</x:v>
      </x:c>
      <x:c r="E640" t="str">
        <x:v>StockAnalysis</x:v>
      </x:c>
      <x:c r="F640" t="str">
        <x:v>Market data</x:v>
      </x:c>
      <x:c r="G640" s="44" t="str">
        <x:v>https://stockanalysis.com/etf/xop/history/</x:v>
      </x:c>
      <x:c r="H640" s="44" t="str">
        <x:v>XOP closed October 27 at $200.01 versus the fixed September 8 opening entry of $193.84. The $1,000 fractional-share paper position was worth $1,031.83, a gain of $31.83 or 3.18%.</x:v>
      </x:c>
      <x:c r="I640" s="44" t="str">
        <x:v>Positive but still weakest expression</x:v>
      </x:c>
      <x:c r="J640" s="44" t="n">
        <x:v>4</x:v>
      </x:c>
      <x:c r="K640" s="44" t="str">
        <x:v>Official regular-session close used; the producer-equity ETF retains company, cost and broad-equity mapping risk.</x:v>
      </x:c>
    </x:row>
    <x:row r="641">
      <x:c r="A641" t="str">
        <x:v>EV-2026-641</x:v>
      </x:c>
      <x:c r="B641" t="str">
        <x:v>EEI-2026-001</x:v>
      </x:c>
      <x:c r="C641" s="21" t="d">
        <x:v>2026-10-27T21:14:21.999Z</x:v>
      </x:c>
      <x:c r="D641" t="str">
        <x:v>Market confirmation</x:v>
      </x:c>
      <x:c r="E641" t="str">
        <x:v>Reuters</x:v>
      </x:c>
      <x:c r="F641" t="str">
        <x:v>High-quality independent reporting</x:v>
      </x:c>
      <x:c r="G641" s="44" t="str">
        <x:v>https://www.reuters.com/business/energy/oil-eases-middle-east-diplomacy-hopes-saudi-attacks-keep-supply-worries-alive-2026-10-27/</x:v>
      </x:c>
      <x:c r="H641" s="44" t="str">
        <x:v>Brent fell $1.93 or 1.67% to settle October 27 at $113.88, while WTI fell $1.86 or 1.83% to $99.90. Continuing talks among Iran, Saudi Arabia, Turkey and Pakistan reduced the immediate risk premium.</x:v>
      </x:c>
      <x:c r="I641" s="44" t="str">
        <x:v>Daily counter-signal; formal thesis remains profitable</x:v>
      </x:c>
      <x:c r="J641" s="44" t="n">
        <x:v>5</x:v>
      </x:c>
      <x:c r="K641" s="44" t="str">
        <x:v>Both benchmarks remained near six-month highs and the direct crude paper positions stayed well above their September 8 entries.</x:v>
      </x:c>
    </x:row>
    <x:row r="642">
      <x:c r="A642" t="str">
        <x:v>EV-2026-642</x:v>
      </x:c>
      <x:c r="B642" t="str">
        <x:v>EEI-2026-001</x:v>
      </x:c>
      <x:c r="C642" s="21" t="d">
        <x:v>2026-10-27T21:14:21.999Z</x:v>
      </x:c>
      <x:c r="D642" t="str">
        <x:v>Mechanism and invalidation update</x:v>
      </x:c>
      <x:c r="E642" t="str">
        <x:v>Reuters</x:v>
      </x:c>
      <x:c r="F642" t="str">
        <x:v>High-quality independent reporting</x:v>
      </x:c>
      <x:c r="G642" s="44" t="str">
        <x:v>https://www.reuters.com/business/energy/oil-eases-middle-east-diplomacy-hopes-saudi-attacks-keep-supply-worries-alive-2026-10-27/</x:v>
      </x:c>
      <x:c r="H642" s="44" t="str">
        <x:v>The Houthis claimed a ballistic-missile strike on Saudi Arabia's Ras Tanura refinery, October remained the worst month for commercial-shipping attacks near Hormuz since tracking began in 2017, and traffic risks remained high despite greater transit. UBS raised its year-end Brent expectation to about $110.</x:v>
      </x:c>
      <x:c r="I642" s="44" t="str">
        <x:v>Attacks confirm transport risk; diplomacy remains the main invalidation path</x:v>
      </x:c>
      <x:c r="J642" s="44" t="n">
        <x:v>5</x:v>
      </x:c>
      <x:c r="K642" s="44" t="str">
        <x:v>The claimed Ras Tanura strike lacked immediate independent Saudi confirmation. Russian refineries increased processing after Ukrainian attacks eased, adding product supply and weakening the extended scarcity case.</x:v>
      </x:c>
    </x:row>
    <x:row r="643">
      <x:c r="A643" t="str">
        <x:v>EV-2026-643</x:v>
      </x:c>
      <x:c r="B643" t="str">
        <x:v>EEI-2026-001</x:v>
      </x:c>
      <x:c r="C643" s="21" t="d">
        <x:v>2026-10-28T20:41:51.000Z</x:v>
      </x:c>
      <x:c r="D643" t="str">
        <x:v>Paper-trade outcome</x:v>
      </x:c>
      <x:c r="E643" t="str">
        <x:v>StockAnalysis</x:v>
      </x:c>
      <x:c r="F643" t="str">
        <x:v>Market data</x:v>
      </x:c>
      <x:c r="G643" s="44" t="str">
        <x:v>https://stockanalysis.com/etf/bno/history/</x:v>
      </x:c>
      <x:c r="H643" s="44" t="str">
        <x:v>BNO closed October 28 at $70.14 versus the fixed September 8 opening entry of $57.21. The $1,000 fractional-share paper position was worth $1,226.01, a gain of $226.01 or 22.60%.</x:v>
      </x:c>
      <x:c r="I643" s="44" t="str">
        <x:v>Confirms direct Brent expression</x:v>
      </x:c>
      <x:c r="J643" s="44" t="n">
        <x:v>4</x:v>
      </x:c>
      <x:c r="K643" s="44" t="str">
        <x:v>Official regular-session close used; totals retain unrounded fractional shares. BNO remains the strongest portfolio expression.</x:v>
      </x:c>
    </x:row>
    <x:row r="644">
      <x:c r="A644" t="str">
        <x:v>EV-2026-644</x:v>
      </x:c>
      <x:c r="B644" t="str">
        <x:v>EEI-2026-001</x:v>
      </x:c>
      <x:c r="C644" s="21" t="d">
        <x:v>2026-10-28T20:41:51.000Z</x:v>
      </x:c>
      <x:c r="D644" t="str">
        <x:v>Paper-trade outcome</x:v>
      </x:c>
      <x:c r="E644" t="str">
        <x:v>StockAnalysis</x:v>
      </x:c>
      <x:c r="F644" t="str">
        <x:v>Market data</x:v>
      </x:c>
      <x:c r="G644" s="44" t="str">
        <x:v>https://stockanalysis.com/etf/uso/history/</x:v>
      </x:c>
      <x:c r="H644" s="44" t="str">
        <x:v>USO closed October 28 at $166.69 versus the fixed September 8 opening entry of $144.60. The $1,000 fractional-share paper position was worth $1,152.77, a gain of $152.77 or 15.28%.</x:v>
      </x:c>
      <x:c r="I644" s="44" t="str">
        <x:v>Confirms direct WTI expression</x:v>
      </x:c>
      <x:c r="J644" s="44" t="n">
        <x:v>4</x:v>
      </x:c>
      <x:c r="K644" s="44" t="str">
        <x:v>Official regular-session close used; the fund's futures exposure can diverge from spot WTI.</x:v>
      </x:c>
    </x:row>
    <x:row r="645">
      <x:c r="A645" t="str">
        <x:v>EV-2026-645</x:v>
      </x:c>
      <x:c r="B645" t="str">
        <x:v>EEI-2026-001</x:v>
      </x:c>
      <x:c r="C645" s="21" t="d">
        <x:v>2026-10-28T20:41:51.000Z</x:v>
      </x:c>
      <x:c r="D645" t="str">
        <x:v>Paper-trade outcome</x:v>
      </x:c>
      <x:c r="E645" t="str">
        <x:v>StockAnalysis</x:v>
      </x:c>
      <x:c r="F645" t="str">
        <x:v>Market data</x:v>
      </x:c>
      <x:c r="G645" s="44" t="str">
        <x:v>https://stockanalysis.com/etf/xop/history/</x:v>
      </x:c>
      <x:c r="H645" s="44" t="str">
        <x:v>XOP closed October 28 at $200.37 versus the fixed September 8 opening entry of $193.84. The $1,000 fractional-share paper position was worth $1,033.69, a gain of $33.69 or 3.37%.</x:v>
      </x:c>
      <x:c r="I645" s="44" t="str">
        <x:v>Positive but still weakest expression</x:v>
      </x:c>
      <x:c r="J645" s="44" t="n">
        <x:v>4</x:v>
      </x:c>
      <x:c r="K645" s="44" t="str">
        <x:v>Official regular-session close used; the producer-equity ETF retains company, cost and broad-equity mapping risk.</x:v>
      </x:c>
    </x:row>
    <x:row r="646">
      <x:c r="A646" t="str">
        <x:v>EV-2026-646</x:v>
      </x:c>
      <x:c r="B646" t="str">
        <x:v>EEI-2026-001</x:v>
      </x:c>
      <x:c r="C646" s="21" t="d">
        <x:v>2026-10-28T20:41:51.000Z</x:v>
      </x:c>
      <x:c r="D646" t="str">
        <x:v>Market confirmation</x:v>
      </x:c>
      <x:c r="E646" t="str">
        <x:v>Reuters</x:v>
      </x:c>
      <x:c r="F646" t="str">
        <x:v>High-quality independent reporting</x:v>
      </x:c>
      <x:c r="G646" s="44" t="str">
        <x:v>https://www.reuters.com/world/asia-pacific/oil-prices-rise-after-attack-saudi-arabian-refinery-reignites-supply-concerns-2026-10-28/</x:v>
      </x:c>
      <x:c r="H646" s="44" t="str">
        <x:v>Brent rose $1.44 or 1.0% to settle October 28 at $115.32, while WTI rose $2.88 or 3.0% to $102.78. U.S. crude stocks unexpectedly fell 1.9 million barrels in the week ended October 23 versus a 15,000-barrel build expected in a Reuters poll.</x:v>
      </x:c>
      <x:c r="I646" s="44" t="str">
        <x:v>Daily confirmation; direct crude positions remain strongly profitable</x:v>
      </x:c>
      <x:c r="J646" s="44" t="n">
        <x:v>5</x:v>
      </x:c>
      <x:c r="K646" s="44" t="str">
        <x:v>The inventory draw strengthened WTI independently of the geopolitical mechanism; both direct crude funds remained well above their September 8 entries.</x:v>
      </x:c>
    </x:row>
    <x:row r="647">
      <x:c r="A647" t="str">
        <x:v>EV-2026-647</x:v>
      </x:c>
      <x:c r="B647" t="str">
        <x:v>EEI-2026-001</x:v>
      </x:c>
      <x:c r="C647" s="21" t="d">
        <x:v>2026-10-28T20:41:51.000Z</x:v>
      </x:c>
      <x:c r="D647" t="str">
        <x:v>Mechanism and invalidation update</x:v>
      </x:c>
      <x:c r="E647" t="str">
        <x:v>Reuters</x:v>
      </x:c>
      <x:c r="F647" t="str">
        <x:v>High-quality independent reporting</x:v>
      </x:c>
      <x:c r="G647" s="44" t="str">
        <x:v>https://www.reuters.com/world/asia-pacific/oil-prices-rise-after-attack-saudi-arabian-refinery-reignites-supply-concerns-2026-10-28/</x:v>
      </x:c>
      <x:c r="H647" s="44" t="str">
        <x:v>Fighting in Yemen intensified, the Houthis claimed a missile strike on Saudi Arabia's 550,000-barrel-per-day refinery, and markets considered the possibility of renewed U.S. strikes on Iran. Saudi authorities had not immediately confirmed the refinery strike. Qatar presented a new draft peace proposal, but an Iranian official called the ideas unacceptable while Tehran said diplomacy still had a chance.</x:v>
      </x:c>
      <x:c r="I647" s="44" t="str">
        <x:v>Attacks confirm supply risk; diplomacy remains the main invalidation path</x:v>
      </x:c>
      <x:c r="J647" s="44" t="n">
        <x:v>5</x:v>
      </x:c>
      <x:c r="K647" s="44" t="str">
        <x:v>OPEC+ was expected to hold December targets steady. Russian crude exports could fall as domestic refiners raise diesel output, a mixed supply effect. A verified regional agreement and safer shipping would materially weaken the extended thesis.</x:v>
      </x:c>
    </x:row>
    <x:row r="648">
      <x:c r="A648" t="str">
        <x:v>EV-2026-648</x:v>
      </x:c>
      <x:c r="B648" t="str">
        <x:v>EEI-2026-025</x:v>
      </x:c>
      <x:c r="C648" s="21" t="d">
        <x:v>2026-10-28T13:34:00.000Z</x:v>
      </x:c>
      <x:c r="D648" t="str">
        <x:v>Supporting</x:v>
      </x:c>
      <x:c r="E648" t="str">
        <x:v>NXP Semiconductors</x:v>
      </x:c>
      <x:c r="F648" t="str">
        <x:v>Primary issuer record</x:v>
      </x:c>
      <x:c r="G648" s="44" t="str">
        <x:v>https://investors.nxp.com/news-releases/news-release-details/nxp-semiconductors-reports-third-quarter-2026-results</x:v>
      </x:c>
      <x:c r="H648" s="44" t="str">
        <x:v>Q3 revenue rose 19%; non-GAAP gross margin was 58.6%; operating cash flow was $1.256B; non-GAAP free cash flow was $1.21B; the board added $5B of repurchase authorization.</x:v>
      </x:c>
      <x:c r="I648" s="44" t="str">
        <x:v>Strengthens</x:v>
      </x:c>
      <x:c r="J648" s="44" t="n">
        <x:v>5</x:v>
      </x:c>
      <x:c r="K648" s="44" t="str">
        <x:v>Q4 midpoint implied only 2% sequential growth; inventory and debt remain material.</x:v>
      </x:c>
    </x:row>
    <x:row r="649">
      <x:c r="A649" t="str">
        <x:v>EV-2026-649</x:v>
      </x:c>
      <x:c r="B649" t="str">
        <x:v>EEI-2026-025</x:v>
      </x:c>
      <x:c r="C649" s="21" t="d">
        <x:v>2026-10-28T13:34:00.000Z</x:v>
      </x:c>
      <x:c r="D649" t="str">
        <x:v>Market decision</x:v>
      </x:c>
      <x:c r="E649" t="str">
        <x:v>Google Finance</x:v>
      </x:c>
      <x:c r="F649" t="str">
        <x:v>Public market data</x:v>
      </x:c>
      <x:c r="G649" s="44" t="str">
        <x:v>https://www.google.com/finance/quote/NXPI:NASDAQ</x:v>
      </x:c>
      <x:c r="H649" s="44" t="str">
        <x:v>NXPI was $244.00 at 9:34 a.m. ET, above the $240 no-chase ceiling. Immediate entry was rejected; no position or fill.</x:v>
      </x:c>
      <x:c r="I649" s="44" t="str">
        <x:v>Reject entry</x:v>
      </x:c>
      <x:c r="J649" s="44" t="n">
        <x:v>4</x:v>
      </x:c>
      <x:c r="K649" s="44" t="str">
        <x:v>Regular-session public quote; no proprietary order-book or flow data.</x:v>
      </x:c>
    </x:row>
    <x:row r="650">
      <x:c r="A650" t="str">
        <x:v>EV-2026-650</x:v>
      </x:c>
      <x:c r="B650"/>
      <x:c r="C650" s="21" t="d">
        <x:v>2026-10-28T13:34:00.000Z</x:v>
      </x:c>
      <x:c r="D650" t="str">
        <x:v>Rejected candidates</x:v>
      </x:c>
      <x:c r="E650" t="str">
        <x:v>Issuer records</x:v>
      </x:c>
      <x:c r="F650" t="str">
        <x:v>Primary issuer records</x:v>
      </x:c>
      <x:c r="G650" s="44" t="str">
        <x:v>https://investors.quantaservices.com/news-events/press-releases</x:v>
      </x:c>
      <x:c r="H650" s="44" t="str">
        <x:v>Enphase, Teradyne, Seagate, Vertiv, GE Vernova, Generac, Parsons, DMC Global and LCI were reviewed and rejected for deteriorating guidance, already-priced growth, valuation, acquisition or event-arbitrage risk.</x:v>
      </x:c>
      <x:c r="I650" s="44" t="str">
        <x:v>No new entry</x:v>
      </x:c>
      <x:c r="J650" s="44" t="n">
        <x:v>5</x:v>
      </x:c>
      <x:c r="K650" s="44" t="str">
        <x:v>The strongest operating catalysts lacked favorable verified entry asymmetry.</x:v>
      </x:c>
    </x:row>
    <x:row r="651">
      <x:c r="A651" t="str">
        <x:v>EV-2026-651</x:v>
      </x:c>
      <x:c r="B651"/>
      <x:c r="C651" s="21" t="d">
        <x:v>2026-10-28T13:34:00.000Z</x:v>
      </x:c>
      <x:c r="D651" t="str">
        <x:v>Award and idea screen</x:v>
      </x:c>
      <x:c r="E651" t="str">
        <x:v>Department of War and Motley Fool</x:v>
      </x:c>
      <x:c r="F651" t="str">
        <x:v>Primary government and trigger sources</x:v>
      </x:c>
      <x:c r="G651" s="44" t="str">
        <x:v>https://www.defense.gov/News/Contracts/</x:v>
      </x:c>
      <x:c r="H651" s="44" t="str">
        <x:v>Cardinal Health and Verizon awards were reviewed; ceilings and minimum obligations were immaterial to consolidated revenue. Free Motley Fool editorials were used only as idea triggers.</x:v>
      </x:c>
      <x:c r="I651" s="44" t="str">
        <x:v>No qualifying signal</x:v>
      </x:c>
      <x:c r="J651" s="44" t="n">
        <x:v>4</x:v>
      </x:c>
      <x:c r="K651" s="44" t="str">
        <x:v>Routine modifications were not treated as new awards; no paid pick was inferred.</x:v>
      </x:c>
    </x:row>
    <x:row r="652">
      <x:c r="A652" t="str">
        <x:v>EV-2026-652</x:v>
      </x:c>
      <x:c r="B652" t="str">
        <x:v>EEI-2026-001</x:v>
      </x:c>
      <x:c r="C652" s="21" t="d">
        <x:v>2026-10-28T20:41:51.000Z</x:v>
      </x:c>
      <x:c r="D652" t="str">
        <x:v>Paper portfolio close</x:v>
      </x:c>
      <x:c r="E652" t="str">
        <x:v>StockAnalysis</x:v>
      </x:c>
      <x:c r="F652" t="str">
        <x:v>Market data</x:v>
      </x:c>
      <x:c r="G652" s="44" t="str">
        <x:v>https://stockanalysis.com/etf/bno/history/</x:v>
      </x:c>
      <x:c r="H652" s="44" t="str">
        <x:v>October 28 closes were BNO $70.14, USO $166.69 and XOP $200.37; the three fixed-$1,000 fractional positions were worth $3,412.46, up 13.75%.</x:v>
      </x:c>
      <x:c r="I652" s="44" t="str">
        <x:v>Portfolio update</x:v>
      </x:c>
      <x:c r="J652" s="44" t="n">
        <x:v>4</x:v>
      </x:c>
      <x:c r="K652" s="44" t="str">
        <x:v>Official regular-session closes; paper-only positions.</x:v>
      </x:c>
    </x:row>
    <x:row r="653">
      <x:c r="A653" t="str">
        <x:v>EV-2026-653</x:v>
      </x:c>
      <x:c r="B653" t="str">
        <x:v>EEI-2026-026</x:v>
      </x:c>
      <x:c r="C653" s="21" t="d">
        <x:v>2026-10-29T13:31:20.000Z</x:v>
      </x:c>
      <x:c r="D653" t="str">
        <x:v>Supporting</x:v>
      </x:c>
      <x:c r="E653" t="str">
        <x:v>Alphabet</x:v>
      </x:c>
      <x:c r="F653" t="str">
        <x:v>Primary issuer investor-relations and earnings record</x:v>
      </x:c>
      <x:c r="G653" s="44" t="str">
        <x:v>https://abc.xyz/investor/</x:v>
      </x:c>
      <x:c r="H653" s="44" t="str">
        <x:v>Q3 revenue rose 25% to $127.6B; Search rose 12%; Cloud revenue rose 103% to $30.7B; Cloud operating income reached $11.1B; consolidated operating income rose 30% with a 31.8% margin.</x:v>
      </x:c>
      <x:c r="I653" s="44" t="str">
        <x:v>Strengthens</x:v>
      </x:c>
      <x:c r="J653" s="44" t="n">
        <x:v>5</x:v>
      </x:c>
      <x:c r="K653" s="44" t="str">
        <x:v>Cloud backlog was $561B, but conversion and margin durability remain execution risks.</x:v>
      </x:c>
    </x:row>
    <x:row r="654">
      <x:c r="A654" t="str">
        <x:v>EV-2026-654</x:v>
      </x:c>
      <x:c r="B654" t="str">
        <x:v>EEI-2026-026</x:v>
      </x:c>
      <x:c r="C654" s="21" t="d">
        <x:v>2026-10-29T13:31:20.000Z</x:v>
      </x:c>
      <x:c r="D654" t="str">
        <x:v>Contradictory</x:v>
      </x:c>
      <x:c r="E654" t="str">
        <x:v>Reuters</x:v>
      </x:c>
      <x:c r="F654" t="str">
        <x:v>High-quality independent reporting</x:v>
      </x:c>
      <x:c r="G654" s="44" t="str">
        <x:v>https://www.reuters.com/business/alphabets-google-cloud-unit-beats-quarterly-revenue-estimates-steady-ai-demand-2026-10-28/</x:v>
      </x:c>
      <x:c r="H654" s="44" t="str">
        <x:v>Revenue, advertising and adjusted EPS missed consensus; free cash flow was negative $9.1B and 2027 capex is expected to rise materially from a projected $195B-$205B in 2026.</x:v>
      </x:c>
      <x:c r="I654" s="44" t="str">
        <x:v>Weakens</x:v>
      </x:c>
      <x:c r="J654" s="44" t="n">
        <x:v>5</x:v>
      </x:c>
      <x:c r="K654" s="44" t="str">
        <x:v>AI Mode monetization, inventory investment and third-party capacity pressure are unresolved.</x:v>
      </x:c>
    </x:row>
    <x:row r="655">
      <x:c r="A655" t="str">
        <x:v>EV-2026-655</x:v>
      </x:c>
      <x:c r="B655" t="str">
        <x:v>EEI-2026-026</x:v>
      </x:c>
      <x:c r="C655" s="21" t="d">
        <x:v>2026-10-29T13:31:20.000Z</x:v>
      </x:c>
      <x:c r="D655" t="str">
        <x:v>Market decision</x:v>
      </x:c>
      <x:c r="E655" t="str">
        <x:v>Google Finance</x:v>
      </x:c>
      <x:c r="F655" t="str">
        <x:v>Public market data</x:v>
      </x:c>
      <x:c r="G655" s="44" t="str">
        <x:v>https://www.google.com/finance/quote/GOOGL:NASDAQ</x:v>
      </x:c>
      <x:c r="H655" s="44" t="str">
        <x:v>GOOGL was $285.77 at the regular-session checkpoint, inside the $295 ceiling and about 14.4 times the displayed $19.90 trailing EPS. A $300 exploratory proposal was logged without a fill because capital rules are absent.</x:v>
      </x:c>
      <x:c r="I655" s="44" t="str">
        <x:v>Actionable proposal</x:v>
      </x:c>
      <x:c r="J655" s="44" t="n">
        <x:v>4</x:v>
      </x:c>
      <x:c r="K655" s="44" t="str">
        <x:v>Contemporaneous public quote; no hindsight fill or proprietary flow inference.</x:v>
      </x:c>
    </x:row>
    <x:row r="656">
      <x:c r="A656" t="str">
        <x:v>EV-2026-656</x:v>
      </x:c>
      <x:c r="B656"/>
      <x:c r="C656" s="21" t="d">
        <x:v>2026-10-29T13:31:20.000Z</x:v>
      </x:c>
      <x:c r="D656" t="str">
        <x:v>Rejected candidate</x:v>
      </x:c>
      <x:c r="E656" t="str">
        <x:v>Quanta Services</x:v>
      </x:c>
      <x:c r="F656" t="str">
        <x:v>Primary issuer record</x:v>
      </x:c>
      <x:c r="G656" s="44" t="str">
        <x:v>https://investors.quantaservices.com/news-events/press-releases/detail/407/quanta-services-reports-third-quarter-2026-results</x:v>
      </x:c>
      <x:c r="H656" s="44" t="str">
        <x:v>Quanta reported record $12.0B revenue, $1.2B free cash flow, $63.7B backlog and raised 2026 guidance.</x:v>
      </x:c>
      <x:c r="I656" s="44" t="str">
        <x:v>Reject chase</x:v>
      </x:c>
      <x:c r="J656" s="44" t="n">
        <x:v>5</x:v>
      </x:c>
      <x:c r="K656" s="44" t="str">
        <x:v>The catalyst was strongly supported, but the stock traded near 70 times trailing earnings and gained about 5% premarket.</x:v>
      </x:c>
    </x:row>
    <x:row r="657">
      <x:c r="A657" t="str">
        <x:v>EV-2026-657</x:v>
      </x:c>
      <x:c r="B657"/>
      <x:c r="C657" s="21" t="d">
        <x:v>2026-10-29T13:31:20.000Z</x:v>
      </x:c>
      <x:c r="D657" t="str">
        <x:v>Rejected candidate</x:v>
      </x:c>
      <x:c r="E657" t="str">
        <x:v>Microsoft</x:v>
      </x:c>
      <x:c r="F657" t="str">
        <x:v>Primary issuer record</x:v>
      </x:c>
      <x:c r="G657" s="44" t="str">
        <x:v>https://www.microsoft.com/en-us/investor/earnings/fy-2027-q1/press-release-webcast</x:v>
      </x:c>
      <x:c r="H657" s="44" t="str">
        <x:v>Microsoft revenue rose 19%, Azure rose 48% and free cash flow beat expectations.</x:v>
      </x:c>
      <x:c r="I657" s="44" t="str">
        <x:v>Reject immediate entry</x:v>
      </x:c>
      <x:c r="J657" s="44" t="n">
        <x:v>5</x:v>
      </x:c>
      <x:c r="K657" s="44" t="str">
        <x:v>Shares rose on the release and valuation/capital-spending risk limited near-term asymmetry.</x:v>
      </x:c>
    </x:row>
    <x:row r="658">
      <x:c r="A658" t="str">
        <x:v>EV-2026-658</x:v>
      </x:c>
      <x:c r="B658"/>
      <x:c r="C658" s="21" t="d">
        <x:v>2026-10-29T13:31:20.000Z</x:v>
      </x:c>
      <x:c r="D658" t="str">
        <x:v>Rejected candidate</x:v>
      </x:c>
      <x:c r="E658" t="str">
        <x:v>Eli Lilly</x:v>
      </x:c>
      <x:c r="F658" t="str">
        <x:v>Primary issuer record</x:v>
      </x:c>
      <x:c r="G658" s="44" t="str">
        <x:v>https://investor.lilly.com/news-releases/news-release-details/lilly-reports-third-quarter-2026-financial-results-raises-full</x:v>
      </x:c>
      <x:c r="H658" s="44" t="str">
        <x:v>Revenue rose 39% and guidance increased, powered by Mounjaro and Zepbound.</x:v>
      </x:c>
      <x:c r="I658" s="44" t="str">
        <x:v>Reject immediate entry</x:v>
      </x:c>
      <x:c r="J658" s="44" t="n">
        <x:v>5</x:v>
      </x:c>
      <x:c r="K658" s="44" t="str">
        <x:v>Realized prices fell 15%, one-time items aided revenue and shares rose roughly 5% premarket.</x:v>
      </x:c>
    </x:row>
    <x:row r="659">
      <x:c r="A659" t="str">
        <x:v>EV-2026-659</x:v>
      </x:c>
      <x:c r="B659"/>
      <x:c r="C659" s="21" t="d">
        <x:v>2026-10-29T13:31:20.000Z</x:v>
      </x:c>
      <x:c r="D659" t="str">
        <x:v>Rejected candidates</x:v>
      </x:c>
      <x:c r="E659" t="str">
        <x:v>Issuer records and Reuters</x:v>
      </x:c>
      <x:c r="F659" t="str">
        <x:v>Primary and independent records</x:v>
      </x:c>
      <x:c r="G659" s="44" t="str">
        <x:v>https://www.reuters.com/business/retail-consumer/microsoft-beats-quarterly-cloud-revenue-estimates-2026-10-28/</x:v>
      </x:c>
      <x:c r="H659" s="44" t="str">
        <x:v>PWR, MSFT, LLY, PPC, AR, FTNT, SFM, MRVL/LITE and IOVA were compared on catalyst, valuation, balance-sheet, market reaction and structure risk. Only GOOGL reached the final price test.</x:v>
      </x:c>
      <x:c r="I659" s="44" t="str">
        <x:v>No additional entry</x:v>
      </x:c>
      <x:c r="J659" s="44" t="n">
        <x:v>4</x:v>
      </x:c>
      <x:c r="K659" s="44" t="str">
        <x:v>Some event-driven and biotech setups lacked confirmed economics or favorable price structure.</x:v>
      </x:c>
    </x:row>
    <x:row r="660">
      <x:c r="A660" t="str">
        <x:v>EV-2026-660</x:v>
      </x:c>
      <x:c r="B660" t="str">
        <x:v>EEI-2026-001</x:v>
      </x:c>
      <x:c r="C660" s="21" t="d">
        <x:v>2026-10-29T13:31:20.000Z</x:v>
      </x:c>
      <x:c r="D660" t="str">
        <x:v>Macro and cross-asset</x:v>
      </x:c>
      <x:c r="E660" t="str">
        <x:v>BEA and Reuters</x:v>
      </x:c>
      <x:c r="F660" t="str">
        <x:v>Primary government and high-quality reporting</x:v>
      </x:c>
      <x:c r="G660" s="44" t="str">
        <x:v>https://www.bea.gov/news/2026/gross-domestic-product-third-quarter-2026-advance-estimate</x:v>
      </x:c>
      <x:c r="H660" s="44" t="str">
        <x:v>Advance Q3 GDP was reported at 3.4% annualized while year-over-year PCE inflation accelerated to 3.6%; the Fed held rates steady and December hike risk remained elevated.</x:v>
      </x:c>
      <x:c r="I660" s="44" t="str">
        <x:v>Mixed growth/inflation signal</x:v>
      </x:c>
      <x:c r="J660" s="44" t="n">
        <x:v>5</x:v>
      </x:c>
      <x:c r="K660" s="44" t="str">
        <x:v>Strong growth supports earnings but high inflation and real yields constrain long-duration valuation.</x:v>
      </x:c>
    </x:row>
    <x:row r="661">
      <x:c r="A661" t="str">
        <x:v>EV-2026-661</x:v>
      </x:c>
      <x:c r="B661" t="str">
        <x:v>EEI-2026-001</x:v>
      </x:c>
      <x:c r="C661" s="21" t="d">
        <x:v>2026-10-29T13:31:20.000Z</x:v>
      </x:c>
      <x:c r="D661" t="str">
        <x:v>Energy modifier</x:v>
      </x:c>
      <x:c r="E661" t="str">
        <x:v>Reuters</x:v>
      </x:c>
      <x:c r="F661" t="str">
        <x:v>High-quality independent reporting</x:v>
      </x:c>
      <x:c r="G661" s="44" t="str">
        <x:v>https://www.reuters.com/business/energy/us-oil-prices-fall-investors-gauge-risks-mideast-supply-2026-10-29/</x:v>
      </x:c>
      <x:c r="H661" s="44" t="str">
        <x:v>Brent fell about 1.1% and WTI 1.5% on renewed diplomacy hopes while Houthi attacks and reported tanker explosions preserved supply risk.</x:v>
      </x:c>
      <x:c r="I661" s="44" t="str">
        <x:v>Mixed; diplomacy is counter-signal</x:v>
      </x:c>
      <x:c r="J661" s="44" t="n">
        <x:v>5</x:v>
      </x:c>
      <x:c r="K661" s="44" t="str">
        <x:v>Oil remained elevated and U.S. crude inventories fell, but gasoline stocks rose and Russian refinery runs recovered.</x:v>
      </x:c>
    </x:row>
    <x:row r="662">
      <x:c r="A662" t="str">
        <x:v>EV-2026-662</x:v>
      </x:c>
      <x:c r="B662"/>
      <x:c r="C662" s="21" t="d">
        <x:v>2026-10-29T13:31:20.000Z</x:v>
      </x:c>
      <x:c r="D662" t="str">
        <x:v>Motley Fool screen</x:v>
      </x:c>
      <x:c r="E662" t="str">
        <x:v>The Motley Fool</x:v>
      </x:c>
      <x:c r="F662" t="str">
        <x:v>Idea generator only</x:v>
      </x:c>
      <x:c r="G662" s="44" t="str">
        <x:v>https://www.fool.com/investing-news/</x:v>
      </x:c>
      <x:c r="H662" s="44" t="str">
        <x:v>Free public articles were screened as idea triggers only; no article independently confirmed a decision and no paid pick was inferred.</x:v>
      </x:c>
      <x:c r="I662" s="44" t="str">
        <x:v>No qualifying confirmation</x:v>
      </x:c>
      <x:c r="J662" s="44" t="n">
        <x:v>2</x:v>
      </x:c>
      <x:c r="K662" s="44" t="str">
        <x:v>Primary records and credible independent sources controlled all decisions.</x:v>
      </x:c>
    </x:row>
    <x:row r="663">
      <x:c r="A663" t="str">
        <x:v>EV-2026-663</x:v>
      </x:c>
      <x:c r="B663"/>
      <x:c r="C663" s="21" t="d">
        <x:v>2026-10-29T13:31:20.000Z</x:v>
      </x:c>
      <x:c r="D663" t="str">
        <x:v>Coverage limitation</x:v>
      </x:c>
      <x:c r="E663" t="str">
        <x:v>Easy E Invest scan</x:v>
      </x:c>
      <x:c r="F663" t="str">
        <x:v>Process record</x:v>
      </x:c>
      <x:c r="G663" s="44" t="str">
        <x:v>https://easy-e-invest-dashboard.onrender.com</x:v>
      </x:c>
      <x:c r="H663" s="44" t="str">
        <x:v>Coverage included all major equity sectors via ETFs and movers, broad ETFs, rates/credit, commodities, earnings, corporate actions, public awards, regulatory channels and free editorials.</x:v>
      </x:c>
      <x:c r="I663" s="44" t="str">
        <x:v>Broad but not exhaustive</x:v>
      </x:c>
      <x:c r="J663" s="44" t="n">
        <x:v>3</x:v>
      </x:c>
      <x:c r="K663" s="44" t="str">
        <x:v>No proprietary institutional-flow feed, full order book, complete insider census or reliable exhaustive award feed was available.</x:v>
      </x:c>
    </x:row>
  </x:sheetData>
  <x:mergeCells>
    <x:mergeCell ref="A2:K2"/>
  </x:mergeCells>
  <x:pageMargins left="0.7" right="0.7" top="0.75" bottom="0.75" header="0.3" footer="0.3"/>
  <x:tableParts count="1">
    <x:tablePart xmlns:r="http://schemas.openxmlformats.org/officeDocument/2006/relationships" r:id="R2d94a65770f74aca"/>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2df3422f416a4cb6"/>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69.38</x:v>
      </x:c>
      <x:c r="K6" s="46" t="n">
        <x:v>1212.7250480685195</x:v>
      </x:c>
      <x:c r="L6" s="46" t="n">
        <x:v>212.72504806851953</x:v>
      </x:c>
      <x:c r="M6" s="48" t="n">
        <x:v>0.21272504806851952</x:v>
      </x:c>
      <x:c r="N6" s="30"/>
      <x:c r="O6" s="32"/>
      <x:c r="P6" s="32" t="str">
        <x:f>IF(OR(I6="",O6=""),"",I6*O6)</x:f>
      </x:c>
      <x:c r="Q6" s="32" t="str">
        <x:f>IF(P6="","",P6-H6)</x:f>
      </x:c>
      <x:c r="R6" s="29" t="str">
        <x:v>10/29/26 regular-session checkpoint: $69.38; value $1212.73; +$212.73 (21.27%). Position remains open and paper-only; no add or exit.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164</x:v>
      </x:c>
      <x:c r="K7" s="46" t="n">
        <x:v>1134.1632088520055</x:v>
      </x:c>
      <x:c r="L7" s="46" t="n">
        <x:v>134.16320885200548</x:v>
      </x:c>
      <x:c r="M7" s="48" t="n">
        <x:v>0.13416320885200547</x:v>
      </x:c>
      <x:c r="N7" s="30"/>
      <x:c r="O7" s="32"/>
      <x:c r="P7" s="32" t="str">
        <x:f>IF(OR(I7="",O7=""),"",I7*O7)</x:f>
      </x:c>
      <x:c r="Q7" s="32" t="str">
        <x:f>IF(P7="","",P7-H7)</x:f>
      </x:c>
      <x:c r="R7" s="29" t="str">
        <x:v>10/29/26 regular-session checkpoint: $164.00; value $1134.16; +$134.16 (13.42%). Position remains open and paper-only; no add or exit.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200.42</x:v>
      </x:c>
      <x:c r="K8" s="46" t="n">
        <x:v>1033.945522080066</x:v>
      </x:c>
      <x:c r="L8" s="46" t="n">
        <x:v>33.945522080065984</x:v>
      </x:c>
      <x:c r="M8" s="48" t="n">
        <x:v>0.03394552208006599</x:v>
      </x:c>
      <x:c r="N8" s="30"/>
      <x:c r="O8" s="32"/>
      <x:c r="P8" s="32" t="str">
        <x:f>IF(OR(I8="",O8=""),"",I8*O8)</x:f>
      </x:c>
      <x:c r="Q8" s="32" t="str">
        <x:f>IF(P8="","",P8-H8)</x:f>
      </x:c>
      <x:c r="R8" s="29" t="str">
        <x:v>10/29/26 regular-session checkpoint: $200.42; value $1033.95; +$33.95 (3.39%). Position remains open and paper-only; no add or exit.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a5112f12e4f640b3"/>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t="str">
        <x:v>RUN-2026-10-17-0806</x:v>
      </x:c>
      <x:c r="B60" s="28" t="d">
        <x:v>2026-10-17T12:06:36.000Z</x:v>
      </x:c>
      <x:c r="C60" s="27" t="str">
        <x:v>Easy E Invest daily scan — executable-alert discipline</x:v>
      </x:c>
      <x:c r="D60" s="29" t="str">
        <x:v>More than two thirds of research effort was allocated outside the existing watchlist. Weekend public-data coverage included Friday earnings and guidance across all major equity sectors; sector and broad ETFs; Treasuries, high-yield credit and gold; commodities and energy; mergers and SEC corporate actions; insider and financing disclosures; the October 16 Department of War contract release; policy and regulatory developments; and public Motley Fool idea pages. Deep comparisons: TRV execution status, AA, JBHT and the cross-asset technology-to-defensive rotation. Existing theses competed for attention rather than receiving mandatory sections.</x:v>
      </x:c>
      <x:c r="E60" s="29" t="str">
        <x:v>Methodology v2.1; Travelers investor relations; Alcoa and J.B. Hunt primary results; Department of War; Associated Press; SEC; Treasury; public market data; public Motley Fool pages. Markets were closed, so no Saturday quote was executable; no proprietary-flow feed, paid research, consolidated order book or complete insider-feed census was available. Coverage was broad but not exhaustive.</x:v>
      </x:c>
      <x:c r="F60" s="29" t="n">
        <x:v>31</x:v>
      </x:c>
      <x:c r="G60" s="29" t="n">
        <x:v>6</x:v>
      </x:c>
      <x:c r="H60" s="29" t="n">
        <x:v>0</x:v>
      </x:c>
      <x:c r="I60" s="29" t="str">
        <x:v>Yes</x:v>
      </x:c>
      <x:c r="J60" s="29" t="str">
        <x:v>No new paper entry qualified. The proposed TRV $365 order was explicitly withdrawn and changed to REJECT after the user chose manual market orders and TRV closed at $389.54, 6.72% above the proposed price. A stale entry will not be converted into a chase; future ACTIONABLE NOW alerts require a fresh regular-session quote and acceptable current-price risk/reward. AA and JBHT were rejected after primary earnings review because sequential/margin and balance-sheet risks outweighed the Friday prices, and Saturday quotes are not executable. The October 16 federal screen was led by a $5.4B private-company IDIQ with only $3,000 obligated; no public-equity thesis qualified. Actual paper positions remain BNO, USO and XOP only. Their October 16 close value was $3,326.86, up $326.86 (+10.90%), versus about -0.76% for SPY from the September 8 open. This material portfolio change and TRV decision change warrant one concise email. No real trade was recommended or executed.</x:v>
      </x:c>
    </x:row>
    <x:row r="61">
      <x:c r="A61" s="27" t="str">
        <x:v>RUN-2026-10-18-0810</x:v>
      </x:c>
      <x:c r="B61" s="28" t="d">
        <x:v>2026-10-18T12:10:53.000Z</x:v>
      </x:c>
      <x:c r="C61" s="27" t="str">
        <x:v>Easy E Invest daily scan — weekend discovery and event-risk review</x:v>
      </x:c>
      <x:c r="D61" s="29" t="str">
        <x:v>More than two thirds of research effort was allocated outside the existing watchlist. Weekend public-data coverage included all major equity sectors through sector ETFs and representative companies; broad equity ETFs; Treasury rates, high-yield credit and gold; oil and natural gas; upcoming earnings and guidance events; filings and corporate actions; regulatory, sanctions, policy and government-contract channels; and a public Motley Fool idea page. Deep comparisons focused on the week-ahead earnings event basket, the technology-to-energy/defensive rotation, energy-driven inflation and rates/credit conditions.</x:v>
      </x:c>
      <x:c r="E61" s="29" t="str">
        <x:v>Associated Press; Federal Reserve H.15; Reuters; U.S. Treasury; public market data; and a public Motley Fool page. Markets were closed and Friday quotes were not executable. No proprietary-flow feed, consolidated order book, paid research or complete real-time insider census was available. Coverage was broad but not exhaustive.</x:v>
      </x:c>
      <x:c r="F61" s="29" t="n">
        <x:v>32</x:v>
      </x:c>
      <x:c r="G61" s="29" t="n">
        <x:v>4</x:v>
      </x:c>
      <x:c r="H61" s="29" t="n">
        <x:v>0</x:v>
      </x:c>
      <x:c r="I61" s="29" t="str">
        <x:v>No</x:v>
      </x:c>
      <x:c r="J61" s="29" t="str">
        <x:v>No new paper entry or priced pending order qualified, and no thesis classification or Entry Window changed. The coming earnings queue was retained as an event watch because pre-results binary risk and the closed market prevented an actionable current-price decision. The cross-asset rotation and energy-inflation evidence were incremental rather than new signals. The Motley Fool page was a generic trigger source without a fresh independently confirmed catalyst. Actual paper positions remain BNO, USO and XOP only; October 16 marks and the prior benchmark comparison remain unchanged. No email was sent and no real trade was recommended or executed.</x:v>
      </x:c>
    </x:row>
    <x:row r="62">
      <x:c r="A62" s="27" t="str">
        <x:v>RUN-2026-10-19-0846</x:v>
      </x:c>
      <x:c r="B62" s="28" t="d">
        <x:v>2026-10-19T12:46:22.000Z</x:v>
      </x:c>
      <x:c r="C62" s="27" t="str">
        <x:v>Easy E Invest daily scan — pre-open discovery and decision review</x:v>
      </x:c>
      <x:c r="D62" s="29" t="str">
        <x:v>More than two thirds of research effort was allocated outside the existing watchlist. Public-data coverage included all major equity sectors through sector ETFs and earnings/mover screens; broad equity ETFs; Treasury rates, high-yield credit and gold; crude, refined products and natural gas; fresh earnings and guidance; corporate actions and SEC insider filings; regulatory and government-award channels; and newly published public Motley Fool ideas. Deep comparisons focused on Cleveland-Cliffs, Fifth Third, UnitedHealth and GameStop, with existing energy positions reviewed only as competitors for attention.</x:v>
      </x:c>
      <x:c r="E62" s="29" t="str">
        <x:v>Cleveland-Cliffs and Fifth Third primary results; UnitedHealth and SEC filings; Reuters; USAspending.gov; SEC Form 4; public ETF and market data; and a free Motley Fool editorial. The scan occurred before the regular session, so premarket indications were not treated as executable quotes. No proprietary-flow feed, consolidated order book, paid research, complete real-time insider census or portfolio-capital rule was available. Coverage was broad but not exhaustive.</x:v>
      </x:c>
      <x:c r="F62" s="29" t="n">
        <x:v>37</x:v>
      </x:c>
      <x:c r="G62" s="29" t="n">
        <x:v>8</x:v>
      </x:c>
      <x:c r="H62" s="29" t="n">
        <x:v>0</x:v>
      </x:c>
      <x:c r="I62" s="29" t="str">
        <x:v>No</x:v>
      </x:c>
      <x:c r="J62" s="29" t="str">
        <x:v>No new paper entry or priced pending order qualified. Cleveland-Cliffs delivered the strongest fresh operating catalyst, but high leverage, low cash and a 13.8% premarket gap made a headline chase unattractive before regular-session price discovery. Fifth Third's adjusted EPS beat, deposit growth and stable credit were offset by modest surprise, acquisition integration costs and rising nonperforming assets. A new Motley Fool UnitedHealth article was treated as a trigger only; primary results confirmed the turnaround, but the catalyst was six days old and already repriced. Government-award and insider screens produced routine or immaterial awards and no independently confirmed public-equity catalyst. Existing energy evidence was incremental and did not change any classification. The due Travelers checkpoint explicitly retained REJECT, confirmed no position exists and moved the next review to October 26 rather than reviving a stale order. Actual paper positions remain BNO, USO and XOP only; their last verified October 16 close value remains $3,326.86, up $326.86 (+10.90%) on $3,000, versus about -0.76% for SPY from the September 8 open. No email was sent and no real trade was recommended or executed.</x:v>
      </x:c>
    </x:row>
    <x:row r="63">
      <x:c r="A63" s="27" t="str">
        <x:v>RUN-2026-10-20-1706</x:v>
      </x:c>
      <x:c r="B63" s="28" t="d">
        <x:v>2026-10-20T21:06:27.000Z</x:v>
      </x:c>
      <x:c r="C63" s="27" t="str">
        <x:v>Easy E Invest daily scan — audit repair</x:v>
      </x:c>
      <x:c r="D63" s="29" t="str">
        <x:v>Audit repair from contemporaneously saved October 20 evidence and official-close paper-position marks. The original Scan Runs row was missing, so broader discovery counts and candidate-review detail are left blank rather than invented.</x:v>
      </x:c>
      <x:c r="E63" s="29" t="str">
        <x:v>StockAnalysis official-close data and Reuters energy reporting retained in Evidence Log EV-2026-555 through EV-2026-559.</x:v>
      </x:c>
      <x:c r="F63" s="29"/>
      <x:c r="G63" s="29"/>
      <x:c r="H63" s="29" t="n">
        <x:v>0</x:v>
      </x:c>
      <x:c r="I63" s="29" t="str">
        <x:v>No</x:v>
      </x:c>
      <x:c r="J63" s="29" t="str">
        <x:v>Recovered record: no new thesis, paper entry or portfolio transaction was present in the authoritative workbook. BNO, USO and XOP closed at $66.87, $160.61 and $200.05; the three fixed $1,000 paper positions were worth $3,311.61, up $311.61 (+10.39%) in total. The row documents only verifiable retained state.</x:v>
      </x:c>
    </x:row>
    <x:row r="64">
      <x:c r="A64" s="27" t="str">
        <x:v>RUN-2026-10-21-0940</x:v>
      </x:c>
      <x:c r="B64" s="28" t="d">
        <x:v>2026-10-21T13:46:46.000Z</x:v>
      </x:c>
      <x:c r="C64" s="27" t="str">
        <x:v>Easy E Invest daily scan — broad discovery and live-price decision</x:v>
      </x:c>
      <x:c r="D64" s="29" t="str">
        <x:v>More than two thirds of research effort was allocated outside the existing watchlist. Public-data coverage included all major equity sectors through sector ETFs and earnings/mover screens; broad ETFs; Treasury and high-yield instruments; gold, silver, crude and energy equities; earnings revisions; valuation dislocations; corporate actions; government awards and policy; and public Motley Fool editorials. Deep comparisons focused on AT&amp;T, Super Micro, Elevance, Netflix, Abbott and L3Harris.</x:v>
      </x:c>
      <x:c r="E64" s="29" t="str">
        <x:v>AT&amp;T and Super Micro primary records; Reuters; L3Harris issuer materials; U.S. Department of War contract records; public ETF and timestamped market data; and free Motley Fool editorials. No proprietary-flow feed, consolidated order book, paid research, complete real-time insider census or portfolio-capital rule was available; coverage was broad but not exhaustive.</x:v>
      </x:c>
      <x:c r="F64" s="29" t="n">
        <x:v>38</x:v>
      </x:c>
      <x:c r="G64" s="29" t="n">
        <x:v>10</x:v>
      </x:c>
      <x:c r="H64" s="29" t="n">
        <x:v>0</x:v>
      </x:c>
      <x:c r="I64" s="29" t="str">
        <x:v>Yes</x:v>
      </x:c>
      <x:c r="J64" s="29" t="str">
        <x:v>Opened EEI-2026-022 Strong at confidence 4/5 and edge 3/5. Proposed a $300 exploratory paper entry in T at $22.01, with a $23.50 no-chase ceiling, daily-close invalidation below $21.50 and November 21 review. This is not a fill or position because capital and sizing rules are unavailable. SMCI, ELV, NFLX, ABT and LHX were rejected with explicit reasons. Actual positions remain BNO, USO and XOP only; at 9:31 a.m. ET (15-minute-delayed public feed) their verified value was $3289.53, up $289.53 (9.65%) on $3,000, versus SPY 0.22% from the September 8 open, a 9.43 percentage-point relative return. Day change versus October 20 close was -0.67%. No real trade was recommended or executed.</x:v>
      </x:c>
    </x:row>
    <x:row r="65">
      <x:c r="A65" s="27" t="str">
        <x:v>RUN-2026-10-22-0843</x:v>
      </x:c>
      <x:c r="B65" s="28" t="d">
        <x:v>2026-10-22T12:43:14.000Z</x:v>
      </x:c>
      <x:c r="C65" s="27" t="str">
        <x:v>Easy E Invest daily scan — premarket discovery and finite-decision review</x:v>
      </x:c>
      <x:c r="D65" s="29" t="str">
        <x:v>More than two thirds of research effort was allocated outside the existing watchlist. Public-data coverage included all major equity sectors through earnings, guidance and mover screens; broad and sector ETFs; Treasury duration and high-yield credit; crude, natural gas and precious metals; valuation dislocations; corporate actions; SEC and insider channels; FDA and other regulatory decisions; federal awards and policy; supply and inventory data; and public Motley Fool editorials. Deep comparisons focused on IBM, Meta, P&amp;G, Nokia, GSK and the existing AT&amp;T proposal.</x:v>
      </x:c>
      <x:c r="E65" s="29" t="str">
        <x:v>IBM, Meta, P&amp;G and FDA primary records; Reuters; EIA; USAspending and Department of Defense search results; timestamped public premarket data; and free Motley Fool editorials. The scan ended before the U.S. regular session, so premarket indications were not treated as executable quotes or portfolio marks. No proprietary-flow feed, consolidated order book, paid research, complete real-time insider census or portfolio-capital rule was available; coverage was broad but not exhaustive.</x:v>
      </x:c>
      <x:c r="F65" s="29" t="n">
        <x:v>41</x:v>
      </x:c>
      <x:c r="G65" s="29" t="n">
        <x:v>10</x:v>
      </x:c>
      <x:c r="H65" s="29" t="n">
        <x:v>0</x:v>
      </x:c>
      <x:c r="I65" s="29" t="str">
        <x:v>No</x:v>
      </x:c>
      <x:c r="J65" s="29" t="str">
        <x:v>No new paper entry or qualifying user alert was created. AT&amp;T's economic thesis remained supported, but the October 21 ACTIONABLE NOW proposal was never filled and was converted to a finite premarket watch expiring at the October 22 close: only a fresh regular-session price at or below $22.25, above the $21.50 daily-close invalidation and without new guidance deterioration could restore an actionable proposal. IBM, Meta, P&amp;G, Nokia and GSK were rejected with explicit valuation, cash-flow, balance-sheet, materiality or already-priced reasons. Government-award and Motley Fool screens produced no independently confirmed public-equity catalyst. Actual paper positions remain BNO, USO and XOP only at their October 21 official-close value of $3,304.04, up $304.04 (+10.13%) on $3,000; no current regular-session benchmark or portfolio mark was available before the scan ended. No email was sent and no real trade was recommended or executed.</x:v>
      </x:c>
    </x:row>
    <x:row r="66">
      <x:c r="A66" s="27" t="str">
        <x:v>RUN-2026-10-23-0819</x:v>
      </x:c>
      <x:c r="B66" s="28" t="d">
        <x:v>2026-10-23T12:19:06.000Z</x:v>
      </x:c>
      <x:c r="C66" s="27" t="str">
        <x:v>Easy E Invest daily scan — premarket discovery and competitive-threat review</x:v>
      </x:c>
      <x:c r="D66" s="29" t="str">
        <x:v>More than two thirds of research effort was allocated outside the existing watchlist. Public-data coverage included all major equity sectors through earnings, guidance and mover screens; broad and sector ETFs; Treasury duration and high-yield credit; crude and gold; valuation dislocations; corporate actions; regulatory and government-award channels; supply and inventory changes; and newly published public Motley Fool ideas. Deep comparisons focused on Booz Allen, SLB, American Express, the October 22 federal-award slate and the existing AT&amp;T proposal.</x:v>
      </x:c>
      <x:c r="E66" s="29" t="str">
        <x:v>Booz Allen and SLB primary results; Reuters; Associated Press; Department of War announcement data and USAspending-linked award records; timestamped public premarket data; and free Motley Fool editorials. The scan ended before the U.S. regular session, so premarket indications were not treated as executable quotes or fills. No proprietary-flow feed, consolidated order book, paid research, complete real-time insider census or portfolio-capital rule was available; coverage was broad but not exhaustive.</x:v>
      </x:c>
      <x:c r="F66" s="29" t="n">
        <x:v>43</x:v>
      </x:c>
      <x:c r="G66" s="29" t="n">
        <x:v>7</x:v>
      </x:c>
      <x:c r="H66" s="29" t="n">
        <x:v>0</x:v>
      </x:c>
      <x:c r="I66" s="29" t="str">
        <x:v>No</x:v>
      </x:c>
      <x:c r="J66" s="29" t="str">
        <x:v>No new paper entry or qualifying email was created. AT&amp;T was downgraded from Strong to Developing, confidence 3/5 and trading edge 2/5, and the expired watch became REJECT 2026-10-23 after reporting that SpaceX is seeking access to at least 80,000 U.S. sites for a possible fourth nationwide carrier. The prior $300 proposal was never filled. Booz Allen, SLB and American Express were deeply reviewed but no current paper action was taken: positive earnings evidence was offset by revenue and free-cash-flow contraction, margin and debt pressure, or insufficient valuation dislocation, and the scan lacked an executable regular-session quote. Federal awards were either zero-obligation vehicles, routine modifications, private-company awards or immaterial to public parents. Motley Fool ideas were retained only as triggers and did not clear independent-confirmation and materiality tests. Actual paper positions remain BNO, USO and XOP only, valued at the October 22 official close at $3,344.00, up $344.00 (+11.47%) on $3,000; the one-day change was +$39.96 (+1.21%), not a material portfolio event. No email was sent and no real trade was recommended or executed.</x:v>
      </x:c>
    </x:row>
    <x:row r="67">
      <x:c r="A67" s="27" t="str">
        <x:v>RUN-2026-10-24-0817</x:v>
      </x:c>
      <x:c r="B67" s="28" t="d">
        <x:v>2026-10-24T12:17:49.000Z</x:v>
      </x:c>
      <x:c r="C67" s="27" t="str">
        <x:v>Easy E Invest daily scan — weekend discovery and material portfolio review</x:v>
      </x:c>
      <x:c r="D67" s="29" t="str">
        <x:v>More than two thirds of research effort was allocated outside the existing watchlist. Weekend public-data coverage included all major equity sectors through sector ETFs, earnings and mover screens; broad ETFs; Treasury duration and high-yield credit; gold, silver, crude and natural gas; valuation dislocations; corporate actions and accessible insider channels; federal awards and policy; supply and inventory developments; and newly published public Motley Fool ideas. Deep comparisons focused on Crown Castle, Robert Half, Broadcom, Adobe, PepsiCo, the October 23 federal-award slate and the existing energy paper portfolio.</x:v>
      </x:c>
      <x:c r="E67" s="29" t="str">
        <x:v>Crown Castle and Robert Half primary results; SEC and issuer records for Broadcom, Adobe and PepsiCo; Reuters; Department of War/AwardTape; official-close public market data; and free Motley Fool editorials. U.S. cash markets were closed, so Friday closes were comparison prices rather than executable Saturday quotes. No proprietary-flow feed, consolidated order book, paid research, complete real-time insider census or portfolio-capital rule was available; coverage was broad but not exhaustive.</x:v>
      </x:c>
      <x:c r="F67" s="29" t="n">
        <x:v>45</x:v>
      </x:c>
      <x:c r="G67" s="29" t="n">
        <x:v>7</x:v>
      </x:c>
      <x:c r="H67" s="29" t="n">
        <x:v>0</x:v>
      </x:c>
      <x:c r="I67" s="29" t="str">
        <x:v>Yes</x:v>
      </x:c>
      <x:c r="J67" s="29" t="str">
        <x:v>No new paper entry or priced pending order qualified. Crown Castle and Robert Half were explicitly rejected at current weekend reference prices after 9.1% and roughly 23% one-day gaps; the former still has declining reported site-rental revenue and EBITDA and an unconfirmed SpaceX catalyst, while the latter has only modest top-line recovery and nine-month cash generation below dividends paid. Public Motley Fool ideas in Broadcom, Adobe and PepsiCo were treated only as triggers; their factual claims were checked against primary records, but the cited catalysts were weeks old and did not justify stale weekend action. The October 23 federal screen was dominated by modifications, ceilings, private recipients or immaterial public-parent awards. Actual paper positions remain BNO, USO and XOP only. At the October 23 official close they were worth $3,453.77, up $453.77 (+15.13%) on $3,000 and up $109.77 (+3.28%) in one day, versus SPY down 1.18% from the September 8 open; the 16.31-point relative lead is concentrated in one geopolitical energy thesis. Hold existing paper positions and do not add after the oil gap. The material portfolio move warrants one concise notification. No real trade was recommended or executed.</x:v>
      </x:c>
    </x:row>
    <x:row r="68">
      <x:c r="A68" s="27" t="str">
        <x:v>RUN-2026-10-25-0843</x:v>
      </x:c>
      <x:c r="B68" s="28" t="d">
        <x:v>2026-10-25T12:43:55.000Z</x:v>
      </x:c>
      <x:c r="C68" s="27" t="str">
        <x:v>Easy E Invest daily scan — weekend cross-asset discovery and decision review</x:v>
      </x:c>
      <x:c r="D68" s="29" t="str">
        <x:v>More than two thirds of research effort was allocated outside the existing watchlist. Public-data coverage included all major equity sectors through sector ETFs and earnings/mover screens; broad ETFs; Treasury duration and high-yield credit; gold, silver, crude and natural gas; earnings and guidance surprises; price and relative-strength dislocations; valuation with identifiable catalysts; corporate actions and public insider filings; regulatory, federal-award and policy channels; physical supply and inventory developments; and newly published free Motley Fool ideas. Deep comparisons focused on Bloom Energy, Comfort Systems, Hasbro, Roper Technologies, Applied Digital, Spotify and Microsoft, plus the existing energy paper exposure after renewed Middle East escalation.</x:v>
      </x:c>
      <x:c r="E68" s="29" t="str">
        <x:v>Primary issuer results for BE, FIX, HAS, ROP, APLD, SPOT and MSFT; Reuters regional-market reporting; public insider filings; government and regulatory releases; official-close public market data; and free Motley Fool editorials as triggers only. U.S. cash markets were closed, so October 23 closes were references rather than executable Sunday quotes. No proprietary-flow feed, consolidated order book, paid research, complete real-time insider census or portfolio-capital rule was available; coverage was broad but not exhaustive.</x:v>
      </x:c>
      <x:c r="F68" s="29" t="n">
        <x:v>47</x:v>
      </x:c>
      <x:c r="G68" s="29" t="n">
        <x:v>7</x:v>
      </x:c>
      <x:c r="H68" s="29" t="n">
        <x:v>0</x:v>
      </x:c>
      <x:c r="I68" s="29" t="str">
        <x:v>No</x:v>
      </x:c>
      <x:c r="J68" s="29" t="str">
        <x:v>No new paper entry or priced pending order qualified. Bloom Energy, Comfort Systems, Hasbro, Roper Technologies and Applied Digital were explicitly rejected at weekend reference prices after considering catalyst materiality, valuation, cash flow, balance sheet, dilution, concentration, already-priced risk and the lack of a contemporaneous executable quote. Free Motley Fool items on Spotify and Microsoft were treated only as idea triggers; Spotify had already repriced sharply after earnings and Microsoft remained above the writer's own preferred price ahead of October 28 results. Sunday regional-market losses after renewed Saudi-Houthi escalation support the existing oil-risk variable but do not prove a new physical supply disruption. Actual paper positions remain BNO, USO and XOP only; no new market mark was available, so their last verified October 23 value remains $3,453.77, up $453.77 (+15.13%) on $3,000. Decision: hold the three existing positions and do not add while U.S. markets are closed; reassess with a fresh regular-session quote and gap-aware reward-to-invalidation test. No notification threshold was met and no email was sent. No real trade was recommended or executed.</x:v>
      </x:c>
    </x:row>
    <x:row r="69">
      <x:c r="A69" s="27" t="str">
        <x:v>RUN-2026-10-26-0833</x:v>
      </x:c>
      <x:c r="B69" s="28" t="d">
        <x:v>2026-10-26T12:33:04.000Z</x:v>
      </x:c>
      <x:c r="C69" s="27" t="str">
        <x:v>Easy E Invest daily scan — broad discovery and premarket priced decision</x:v>
      </x:c>
      <x:c r="D69" s="29" t="str">
        <x:v>More than two thirds of research effort was allocated outside the existing watchlist. Public-data coverage included all major equity sectors through all 11 sector ETFs, broad-cap ETFs, Treasury duration and high-yield credit, gold, silver, crude and natural gas; earnings and guidance surprises; price and relative-strength changes; valuation dislocations; mergers and corporate actions; public insider and SEC channels; policy, regulation and federal awards; supply and inventory developments; and free Motley Fool editorials. Deep comparisons focused on Verizon, EQT/Range, Brazil/EWZ, Iovance, Fluor's Navy modification, 3M and Amazon, plus due Travelers and AT&amp;T reviews and the existing paper portfolio.</x:v>
      </x:c>
      <x:c r="E69" s="29" t="str">
        <x:v>Primary issuer records for Verizon, EQT/Range and Iovance; Brazil's election authority; Department of War and linked award records; Reuters; a timestamped VZ premarket quote plus prior-session official-close reference prices; and free Motley Fool editorials as triggers only. No proprietary-flow feed, consolidated order book, paid research, complete real-time insider census or portfolio-capital and sizing rule was available; coverage was broad but not exhaustive.</x:v>
      </x:c>
      <x:c r="F69" s="29" t="n">
        <x:v>52</x:v>
      </x:c>
      <x:c r="G69" s="29" t="n">
        <x:v>9</x:v>
      </x:c>
      <x:c r="H69" s="29" t="n">
        <x:v>1</x:v>
      </x:c>
      <x:c r="I69" s="29" t="str">
        <x:v>Yes</x:v>
      </x:c>
      <x:c r="J69" s="29" t="str">
        <x:v>Opened EEI-2026-023 Strong at confidence 4/5 and trading edge 3/5. Proposed a $300 VZ research-test paper entry at or below $45.25 through the October 26 close after a 7:47:20 a.m. ET premarket quote of $44.80. This is not a fill or position because portfolio capital and sizing rules are unavailable. EQT/Range, Brazil/EWZ, Iovance, the October 23 federal-award slate and new free Motley Fool ideas were rejected with explicit materiality, valuation, already-priced, data-quality or event-risk reasons. Due Travelers and AT&amp;T proposals remain rejected and unfilled. Actual paper positions remain BNO, USO and XOP only; at the last official close their verified value was $3453.77, up $453.77 (15.13%) on $3,000, versus SPY -1.18% from the September 8 open, a 16.31 percentage-point relative result. No real trade was recommended or executed.</x:v>
      </x:c>
    </x:row>
    <x:row r="70">
      <x:c r="A70" s="27" t="str">
        <x:v>RUN-2026-10-27-1332</x:v>
      </x:c>
      <x:c r="B70" s="28" t="d">
        <x:v>2026-10-27T13:32:55.000Z</x:v>
      </x:c>
      <x:c r="C70" s="27" t="str">
        <x:v>Easy E Invest daily scan — broad discovery and regular-session decision</x:v>
      </x:c>
      <x:c r="D70" s="29" t="str">
        <x:v>More than two thirds of research effort was allocated outside the existing watchlist. Public-data coverage included all major equity sectors through all 11 sector ETFs, broad-cap ETFs, Treasury duration and high-yield credit, gold, silver, crude and natural gas; earnings and guidance surprises; price and relative-strength changes; valuation dislocations; corporate actions and public insider reports; policy, regulation and accessible federal awards; supply and inventory developments; and new free Motley Fool editorials. Deep comparisons focused on SoFi, Celestica, JetBlue, Coca-Cola, Whirlpool and the reported Instacart-DoorDash talks, plus due Boeing and Verizon reviews and the existing paper portfolio.</x:v>
      </x:c>
      <x:c r="E70" s="29" t="str">
        <x:v>Primary issuer results for SoFi, Celestica, JetBlue and Coca-Cola; Boeing results and independent reporting; public agency award channels; Reuters and other high-quality market reporting; timestamped regular-session quotes for decisions and portfolio marks; and free Motley Fool editorials as triggers only. No proprietary-flow feed, consolidated order book, paid research, complete real-time insider census, exhaustive same-day award mapping or portfolio-capital and sizing rule was available; coverage was broad but not exhaustive.</x:v>
      </x:c>
      <x:c r="F70" s="29" t="n">
        <x:v>49</x:v>
      </x:c>
      <x:c r="G70" s="29" t="n">
        <x:v>9</x:v>
      </x:c>
      <x:c r="H70" s="29" t="n">
        <x:v>2</x:v>
      </x:c>
      <x:c r="I70" s="29" t="str">
        <x:v>No</x:v>
      </x:c>
      <x:c r="J70" s="29" t="str">
        <x:v>Opened EEI-2026-024 Strong at confidence 4/5 and trading edge 3/5 after SoFi's record Q3 and 2027 outlook. At 9:32 a.m. ET regular-session checkpoint (15-minute-delayed public feed), SOFI was $15.86, above the $15.25 ceiling, so immediate entry was rejected. Celestica, JetBlue, Coca-Cola and the remaining fresh screens were rejected for cash conversion, leverage, valuation, event or already-priced risk. The Boeing due review converted legacy WAIT to REJECT. Verizon's expired October 26 proposal was rejected and remains unfilled. Actual positions remain BNO, USO and XOP only; at 9:32 a.m. ET regular-session checkpoint (15-minute-delayed public feed) their marked value was $3412.09, up $412.09 (13.74%) on $3,000, versus SPY -0.21% from the September 8 open. No real trade was recommended or executed.</x:v>
      </x:c>
    </x:row>
    <x:row r="71">
      <x:c r="A71" s="27" t="str">
        <x:v>RUN-2026-10-28-BACKFILL</x:v>
      </x:c>
      <x:c r="B71" s="28" t="d">
        <x:v>2026-10-28T13:34:00.000Z</x:v>
      </x:c>
      <x:c r="C71" s="27" t="str">
        <x:v>Easy E Invest daily scan — October 28 backfill</x:v>
      </x:c>
      <x:c r="D71" s="29" t="str">
        <x:v>More than two thirds of research effort was outside the watchlist across all major sectors, broad ETFs, rates/credit, commodities, earnings, valuation dislocations, corporate actions, awards, regulatory sources and free editorial triggers.</x:v>
      </x:c>
      <x:c r="E71" s="29" t="str">
        <x:v>Primary issuer records for NXP and major earnings candidates; government award reporting; Federal Reserve data; public market quotes; Motley Fool as trigger only.</x:v>
      </x:c>
      <x:c r="F71" s="29" t="str">
        <x:v>15</x:v>
      </x:c>
      <x:c r="G71" s="29" t="str">
        <x:v>2</x:v>
      </x:c>
      <x:c r="H71" s="29" t="str">
        <x:v>0</x:v>
      </x:c>
      <x:c r="I71" s="29" t="str">
        <x:v>No</x:v>
      </x:c>
      <x:c r="J71" s="29" t="str">
        <x:v>Opened EEI-2026-025 Strong, but rejected NXPI at $244 above the $240 ceiling. No paper entry or material portfolio action qualified. This row backfills the missed daily-scan record without altering later October 28 close marks.</x:v>
      </x:c>
    </x:row>
    <x:row r="72">
      <x:c r="A72" s="27" t="str">
        <x:v>RUN-2026-10-29-0932</x:v>
      </x:c>
      <x:c r="B72" s="28" t="d">
        <x:v>2026-10-29T13:31:20.000Z</x:v>
      </x:c>
      <x:c r="C72" s="27" t="str">
        <x:v>Easy E Invest daily scan — broad discovery and regular-session decision</x:v>
      </x:c>
      <x:c r="D72" s="29" t="str">
        <x:v>More than two thirds of research effort was outside the existing watchlist. Coverage included all major sectors through ETFs and movers, broad ETFs, Treasury duration and high-yield credit, gold, silver, oil and gas, earnings/guidance, valuation dislocations, corporate actions, public awards, policy/regulatory channels, insider filings and free Motley Fool triggers. Coverage was broad, not exhaustive.</x:v>
      </x:c>
      <x:c r="E72" s="29" t="str">
        <x:v>Primary issuer results for Alphabet, Quanta, Microsoft, Eli Lilly, Pilgrims Pride and Antero; BEA and Federal Reserve data; Reuters; public market quotes; government and regulatory sources; free Motley Fool editorials as triggers only.</x:v>
      </x:c>
      <x:c r="F72" s="29" t="str">
        <x:v>11</x:v>
      </x:c>
      <x:c r="G72" s="29" t="str">
        <x:v>2</x:v>
      </x:c>
      <x:c r="H72" s="29" t="str">
        <x:v>0</x:v>
      </x:c>
      <x:c r="I72" s="29" t="str">
        <x:v>Yes</x:v>
      </x:c>
      <x:c r="J72" s="29" t="str">
        <x:v>Opened EEI-2026-026 Strong at 4/5 confidence and 3/5 edge. At the regular-session checkpoint GOOGL was $285.77; a $300 exploratory paper proposal was logged with a $295 ceiling, $270 daily-close invalidation and November 29 review. No fill or position exists because capital and sizing rules are absent. PWR, MSFT, LLY and other candidates were explicitly rejected. BNO/USO/XOP checkpoint value was $3380.83, +$380.83 (12.69%); positions remain open and paper-only.</x:v>
      </x:c>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26ed558977c4420c"/>
  </x:tableParts>
</x:worksheet>
</file>