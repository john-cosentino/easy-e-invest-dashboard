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ebb510e42cb4da2" /></Relationships>
</file>

<file path=xl/workbook.xml><?xml version="1.0" encoding="utf-8"?>
<x:workbook xmlns:x="http://schemas.openxmlformats.org/spreadsheetml/2006/main">
  <x:sheets>
    <x:sheet xmlns:r="http://schemas.openxmlformats.org/officeDocument/2006/relationships" name="Summary" sheetId="1" r:id="Re86928365e774dd7"/>
    <x:sheet xmlns:r="http://schemas.openxmlformats.org/officeDocument/2006/relationships" name="Thesis Ledger" sheetId="2" r:id="R6ee6380b704c49ca"/>
    <x:sheet xmlns:r="http://schemas.openxmlformats.org/officeDocument/2006/relationships" name="Evidence Log" sheetId="3" r:id="R2ff20941f08849bb"/>
    <x:sheet xmlns:r="http://schemas.openxmlformats.org/officeDocument/2006/relationships" name="Source Registry" sheetId="4" r:id="R9feb29396e904659"/>
    <x:sheet xmlns:r="http://schemas.openxmlformats.org/officeDocument/2006/relationships" name="Paper Trades" sheetId="5" r:id="R6d047411ec274ce4"/>
    <x:sheet xmlns:r="http://schemas.openxmlformats.org/officeDocument/2006/relationships" name="Scan Runs" sheetId="6" r:id="R2047c34985214c77"/>
  </x:sheets>
</x:workbook>
</file>

<file path=xl/sharedStrings.xml><?xml version="1.0" encoding="utf-8"?>
<x:sst xmlns:x="http://schemas.openxmlformats.org/spreadsheetml/2006/main"/>
</file>

<file path=xl/styles.xml><?xml version="1.0" encoding="utf-8"?>
<x:styleSheet xmlns:x="http://schemas.openxmlformats.org/spreadsheetml/2006/main">
  <x:numFmts count="12">
    <x:numFmt numFmtId="200" formatCode="0.0%"/>
    <x:numFmt numFmtId="201" formatCode="mm/dd/yy"/>
    <x:numFmt numFmtId="202" formatCode="mm/dd/yy hh:mm"/>
    <x:numFmt numFmtId="203" formatCode="$#,##0.00"/>
    <x:numFmt numFmtId="204" formatCode="&quot;$&quot;#,##0.00"/>
    <x:numFmt numFmtId="205" formatCode="0.0000"/>
    <x:numFmt numFmtId="206" formatCode="0.00%"/>
    <x:numFmt numFmtId="207" formatCode="mm/dd/yy h:mm AM/PM"/>
    <x:numFmt numFmtId="208" formatCode="mm/dd/yy h:mm"/>
    <x:numFmt numFmtId="209" formatCode="yyyy-mm-dd hh:mm"/>
    <x:numFmt numFmtId="210" formatCode="mm/dd/yyyy hh:mm"/>
    <x:numFmt numFmtId="211" formatCode="0%"/>
  </x:numFmts>
  <x:fonts count="6">
    <x:font>
      <x:sz val="11"/>
      <x:name val="Carlito"/>
    </x:font>
    <x:font>
      <x:sz val="10"/>
      <x:color rgb="FF1F2937"/>
      <x:name val="Arial"/>
    </x:font>
    <x:font>
      <x:b/>
      <x:sz val="15"/>
      <x:color rgb="FF14213D"/>
      <x:name val="Arial"/>
    </x:font>
    <x:font>
      <x:b/>
      <x:sz val="10"/>
      <x:color rgb="FFFFFFFF"/>
      <x:name val="Arial"/>
    </x:font>
    <x:font>
      <x:i/>
      <x:sz val="10"/>
      <x:color rgb="FF374151"/>
      <x:name val="Arial"/>
    </x:font>
    <x:font>
      <x:b/>
      <x:sz val="11"/>
      <x:color rgb="FF14213D"/>
      <x:name val="Arial"/>
    </x:font>
  </x:fonts>
  <x:fills count="5">
    <x:fill>
      <x:patternFill patternType="none"/>
    </x:fill>
    <x:fill>
      <x:patternFill patternType="gray125"/>
    </x:fill>
    <x:fill>
      <x:patternFill patternType="solid">
        <x:fgColor rgb="FF1F4E78"/>
      </x:patternFill>
    </x:fill>
    <x:fill>
      <x:patternFill patternType="solid">
        <x:fgColor rgb="FFFFF8E7"/>
      </x:patternFill>
    </x:fill>
    <x:fill>
      <x:patternFill patternType="solid">
        <x:fgColor rgb="FFDCEAF7"/>
      </x:patternFill>
    </x:fill>
  </x:fills>
  <x:borders count="8">
    <x:border/>
    <x:border>
      <x:bottom style="medium">
        <x:color rgb="FF27C2D1"/>
      </x:bottom>
    </x:border>
    <x:border>
      <x:right style="thin">
        <x:color rgb="FFFFFFFF"/>
      </x:right>
      <x:bottom style="thin">
        <x:color rgb="FFFFFFFF"/>
      </x:bottom>
    </x:border>
    <x:border>
      <x:left style="thin">
        <x:color rgb="FFFFFFFF"/>
      </x:left>
      <x:bottom style="thin">
        <x:color rgb="FFFFFFFF"/>
      </x:bottom>
    </x:border>
    <x:border>
      <x:left style="thin">
        <x:color rgb="FFFFFFFF"/>
      </x:left>
      <x:right style="thin">
        <x:color rgb="FFFFFFFF"/>
      </x:right>
      <x:bottom style="thin">
        <x:color rgb="FFFFFFFF"/>
      </x:bottom>
    </x:border>
    <x:border>
      <x:right style="thin">
        <x:color rgb="FFFFFFFF"/>
      </x:right>
    </x:border>
    <x:border>
      <x:bottom style="thin">
        <x:color rgb="FFC9CED6"/>
      </x:bottom>
    </x:border>
    <x:border>
      <x:right style="thin">
        <x:color rgb="FFFFFFFF"/>
      </x:right>
      <x:bottom style="thin">
        <x:color rgb="FFC9CED6"/>
      </x:bottom>
    </x:border>
  </x:borders>
  <x:cellStyleXfs count="1">
    <x:xf numFmtId="0" fontId="0" fillId="0" borderId="0"/>
  </x:cellStyleXfs>
  <x:cellXfs count="57">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1" xfId="0" applyNumberFormat="1" applyFont="1" applyFill="1" applyBorder="1"/>
    <x:xf numFmtId="0" fontId="1"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horizontal="center"/>
    </x:xf>
    <x:xf numFmtId="0" fontId="3" fillId="2" borderId="0" xfId="0" applyNumberFormat="1" applyFont="1" applyFill="1" applyBorder="1" applyAlignment="1">
      <x:alignment horizontal="center" vertical="center"/>
    </x:xf>
    <x:xf numFmtId="0" fontId="3" fillId="2" borderId="0"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200" fontId="1" fillId="0" borderId="0" xfId="0" applyNumberFormat="1" applyFont="1" applyFill="1" applyBorder="1"/>
    <x:xf numFmtId="0" fontId="3" fillId="2" borderId="4" xfId="0" applyNumberFormat="1" applyFont="1" applyFill="1" applyBorder="1" applyAlignment="1">
      <x:alignment horizontal="center" vertical="center" wrapText="1"/>
    </x:xf>
    <x:xf numFmtId="201" fontId="1" fillId="0" borderId="0" xfId="0" applyNumberFormat="1" applyFont="1" applyFill="1" applyBorder="1"/>
    <x:xf numFmtId="0" fontId="1"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201" fontId="0" fillId="0" borderId="0" xfId="0" applyNumberFormat="1" applyFont="1" applyFill="1" applyBorder="1"/>
    <x:xf numFmtId="200" fontId="0" fillId="0" borderId="0" xfId="0" applyNumberFormat="1" applyFont="1" applyFill="1" applyBorder="1"/>
    <x:xf numFmtId="202" fontId="1" fillId="0" borderId="0" xfId="0" applyNumberFormat="1" applyFont="1" applyFill="1" applyBorder="1"/>
    <x:xf numFmtId="202" fontId="0" fillId="0" borderId="0" xfId="0" applyNumberFormat="1" applyFont="1" applyFill="1" applyBorder="1"/>
    <x:xf numFmtId="203" fontId="1" fillId="0" borderId="0" xfId="0" applyNumberFormat="1" applyFont="1" applyFill="1" applyBorder="1"/>
    <x:xf numFmtId="203" fontId="0" fillId="0" borderId="0" xfId="0" applyNumberFormat="1" applyFont="1" applyFill="1" applyBorder="1"/>
    <x:xf numFmtId="0" fontId="3" fillId="2" borderId="2" xfId="0" applyNumberFormat="1" applyFont="1" applyFill="1" applyBorder="1" applyAlignment="1">
      <x:alignment horizontal="center" vertical="top" wrapText="1"/>
    </x:xf>
    <x:xf numFmtId="0" fontId="3" fillId="2" borderId="4"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1" fillId="0" borderId="0" xfId="0" applyNumberFormat="1" applyFont="1" applyFill="1" applyBorder="1" applyAlignment="1">
      <x:alignment vertical="top"/>
    </x:xf>
    <x:xf numFmtId="202"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201" fontId="1" fillId="0" borderId="0" xfId="0" applyNumberFormat="1" applyFont="1" applyFill="1" applyBorder="1" applyAlignment="1">
      <x:alignment vertical="top"/>
    </x:xf>
    <x:xf numFmtId="200" fontId="1" fillId="0" borderId="0" xfId="0" applyNumberFormat="1" applyFont="1" applyFill="1" applyBorder="1" applyAlignment="1">
      <x:alignment vertical="top"/>
    </x:xf>
    <x:xf numFmtId="203" fontId="1" fillId="0" borderId="0" xfId="0" applyNumberFormat="1" applyFont="1" applyFill="1" applyBorder="1" applyAlignment="1">
      <x:alignment vertical="top"/>
    </x:xf>
    <x:xf numFmtId="0" fontId="1" fillId="0" borderId="5" xfId="0" applyNumberFormat="1" applyFont="1" applyFill="1" applyBorder="1"/>
    <x:xf numFmtId="200" fontId="1" fillId="0" borderId="5" xfId="0" applyNumberFormat="1" applyFont="1" applyFill="1" applyBorder="1"/>
    <x:xf numFmtId="0" fontId="1" fillId="0" borderId="6" xfId="0" applyNumberFormat="1" applyFont="1" applyFill="1" applyBorder="1"/>
    <x:xf numFmtId="0" fontId="1" fillId="0" borderId="7" xfId="0" applyNumberFormat="1" applyFont="1" applyFill="1" applyBorder="1"/>
    <x:xf numFmtId="0" fontId="1" fillId="4" borderId="5" xfId="0" applyNumberFormat="1" applyFont="1" applyFill="1" applyBorder="1"/>
    <x:xf numFmtId="200" fontId="1" fillId="4" borderId="5" xfId="0" applyNumberFormat="1" applyFont="1" applyFill="1" applyBorder="1"/>
    <x:xf numFmtId="0" fontId="1" fillId="4" borderId="7" xfId="0" applyNumberFormat="1" applyFont="1" applyFill="1" applyBorder="1"/>
    <x:xf numFmtId="0" fontId="5" fillId="4" borderId="5" xfId="0" applyNumberFormat="1" applyFont="1" applyFill="1" applyBorder="1"/>
    <x:xf numFmtId="200" fontId="5" fillId="4" borderId="5" xfId="0" applyNumberFormat="1" applyFont="1" applyFill="1" applyBorder="1"/>
    <x:xf numFmtId="0" fontId="5" fillId="4" borderId="7" xfId="0" applyNumberFormat="1" applyFont="1" applyFill="1" applyBorder="1"/>
    <x:xf numFmtId="201" fontId="1"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4" fontId="1" fillId="0" borderId="0" xfId="0" applyNumberFormat="1" applyFont="1" applyFill="1" applyBorder="1" applyAlignment="1">
      <x:alignment vertical="top"/>
    </x:xf>
    <x:xf numFmtId="205" fontId="1" fillId="0" borderId="0" xfId="0" applyNumberFormat="1" applyFont="1" applyFill="1" applyBorder="1" applyAlignment="1">
      <x:alignment vertical="top"/>
    </x:xf>
    <x:xf numFmtId="206" fontId="1" fillId="0" borderId="0" xfId="0" applyNumberFormat="1" applyFont="1" applyFill="1" applyBorder="1" applyAlignment="1">
      <x:alignment vertical="top"/>
    </x:xf>
    <x:xf numFmtId="207" fontId="1" fillId="0" borderId="0" xfId="0" applyNumberFormat="1" applyFont="1" applyFill="1" applyBorder="1" applyAlignment="1">
      <x:alignment vertical="top"/>
    </x:xf>
    <x:xf numFmtId="207" fontId="1" fillId="0" borderId="0" xfId="0" applyNumberFormat="1" applyFont="1" applyFill="1" applyBorder="1" applyAlignment="1">
      <x:alignment vertical="top" wrapText="1"/>
    </x:xf>
    <x:xf numFmtId="208" fontId="1" fillId="0" borderId="0" xfId="0" applyNumberFormat="1" applyFont="1" applyFill="1" applyBorder="1" applyAlignment="1">
      <x:alignment vertical="top"/>
    </x:xf>
    <x:xf numFmtId="209" fontId="1" fillId="0" borderId="0" xfId="0" applyNumberFormat="1" applyFont="1" applyFill="1" applyBorder="1" applyAlignment="1">
      <x:alignment vertical="top"/>
    </x:xf>
    <x:xf numFmtId="210" fontId="0" fillId="0" borderId="0" xfId="0" applyNumberFormat="1" applyFont="1" applyFill="1" applyBorder="1"/>
    <x:xf numFmtId="210" fontId="1" fillId="0" borderId="0" xfId="0" applyNumberFormat="1" applyFont="1" applyFill="1" applyBorder="1" applyAlignment="1">
      <x:alignment vertical="top"/>
    </x:xf>
    <x:xf numFmtId="211" fontId="5" fillId="4" borderId="5" xfId="0" applyNumberFormat="1" applyFont="1" applyFill="1" applyBorder="1"/>
    <x:xf numFmtId="209" fontId="0" fillId="0" borderId="0" xfId="0" applyNumberFormat="1" applyFont="1" applyFill="1" applyBorder="1"/>
  </x:cellXfs>
  <x:cellStyles count="1">
    <x:cellStyle name="Normal" xfId="0"/>
  </x:cellStyles>
  <x:dxfs count="4">
    <x:dxf>
      <x:font>
        <x:b/>
        <x:color rgb="FF7A4B00"/>
      </x:font>
      <x:fill>
        <x:patternFill>
          <x:bgColor rgb="FFFFF0C2"/>
        </x:patternFill>
      </x:fill>
    </x:dxf>
    <x:dxf>
      <x:font>
        <x:b/>
        <x:color rgb="FF1F4E78"/>
      </x:font>
      <x:fill>
        <x:patternFill>
          <x:bgColor rgb="FFDCEAF7"/>
        </x:patternFill>
      </x:fill>
    </x:dxf>
    <x:dxf>
      <x:font>
        <x:b/>
        <x:color rgb="FF235D34"/>
      </x:font>
      <x:fill>
        <x:patternFill>
          <x:bgColor rgb="FFDDEEDD"/>
        </x:patternFill>
      </x:fill>
    </x:dxf>
    <x:dxf>
      <x:font>
        <x:b/>
        <x:color rgb="FF9C1C1C"/>
      </x:font>
      <x:fill>
        <x:patternFill>
          <x:bgColor rgb="FFFCE0E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eee2c80a2b246cb" /><Relationship Type="http://schemas.openxmlformats.org/officeDocument/2006/relationships/theme" Target="/xl/theme/theme1.xml" Id="R9ec4a4a9478b47a1" /><Relationship Type="http://schemas.openxmlformats.org/officeDocument/2006/relationships/sharedStrings" Target="/xl/sharedStrings.xml" Id="R808599cd36b04ff9" /><Relationship Type="http://schemas.openxmlformats.org/officeDocument/2006/relationships/worksheet" Target="/xl/worksheets/sheet1.xml" Id="Re86928365e774dd7" /><Relationship Type="http://schemas.openxmlformats.org/officeDocument/2006/relationships/worksheet" Target="/xl/worksheets/sheet2.xml" Id="R6ee6380b704c49ca" /><Relationship Type="http://schemas.openxmlformats.org/officeDocument/2006/relationships/worksheet" Target="/xl/worksheets/sheet3.xml" Id="R2ff20941f08849bb" /><Relationship Type="http://schemas.openxmlformats.org/officeDocument/2006/relationships/worksheet" Target="/xl/worksheets/sheet4.xml" Id="R9feb29396e904659" /><Relationship Type="http://schemas.openxmlformats.org/officeDocument/2006/relationships/worksheet" Target="/xl/worksheets/sheet5.xml" Id="R6d047411ec274ce4" /><Relationship Type="http://schemas.openxmlformats.org/officeDocument/2006/relationships/worksheet" Target="/xl/worksheets/sheet6.xml" Id="R2047c34985214c77" /></Relationships>
</file>

<file path=xl/tables/table1.xml><?xml version="1.0" encoding="utf-8"?>
<x:table xmlns:x="http://schemas.openxmlformats.org/spreadsheetml/2006/main" id="1" name="ThesisLedgerTable" displayName="ThesisLedgerTable" ref="A5:AE50" headerRowCount="1" totalsRowCount="0" totalsRowShown="0">
  <x:tableColumns count="31">
    <x:tableColumn id="1" name="Thesis ID"/>
    <x:tableColumn id="2" name="Thesis Name"/>
    <x:tableColumn id="3" name="Sector"/>
    <x:tableColumn id="4" name="Trigger Date"/>
    <x:tableColumn id="5" name="First Detected"/>
    <x:tableColumn id="6" name="Status"/>
    <x:tableColumn id="7" name="Trigger Class"/>
    <x:tableColumn id="8" name="Economic Variable"/>
    <x:tableColumn id="9" name="Predicted Direction"/>
    <x:tableColumn id="10" name="Time Horizon"/>
    <x:tableColumn id="11" name="Confidence 1 to 5"/>
    <x:tableColumn id="12" name="Trading Edge 1 to 5"/>
    <x:tableColumn id="13" name="Entry Window"/>
    <x:tableColumn id="14" name="Trigger Summary"/>
    <x:tableColumn id="15" name="Causal Mechanism"/>
    <x:tableColumn id="16" name="Supporting Evidence"/>
    <x:tableColumn id="17" name="Contradictory Evidence"/>
    <x:tableColumn id="18" name="Expert Enhancer"/>
    <x:tableColumn id="19" name="Market Confirmation"/>
    <x:tableColumn id="20" name="Candidate Expressions"/>
    <x:tableColumn id="21" name="Invalidation"/>
    <x:tableColumn id="22" name="Initial Prediction Frozen"/>
    <x:tableColumn id="23" name="Next Evaluation"/>
    <x:tableColumn id="24" name="Evaluation Date"/>
    <x:tableColumn id="25" name="Variable Correct"/>
    <x:tableColumn id="26" name="Direction Correct"/>
    <x:tableColumn id="27" name="Timing Correct"/>
    <x:tableColumn id="28" name="Expression Correct"/>
    <x:tableColumn id="29" name="Entry Discipline Correct"/>
    <x:tableColumn id="30" name="Outcome Notes"/>
    <x:tableColumn id="31" name="Prediction Score"/>
  </x:tableColumns>
  <x:tableStyleInfo name="TableStyleMedium2" showFirstColumn="0" showLastColumn="0" showRowStripes="1" showColumnStripes="0"/>
</x:table>
</file>

<file path=xl/tables/table2.xml><?xml version="1.0" encoding="utf-8"?>
<x:table xmlns:x="http://schemas.openxmlformats.org/spreadsheetml/2006/main" id="2" name="EvidenceLogTable" displayName="EvidenceLogTable" ref="A5:K104" headerRowCount="1" totalsRowCount="0" totalsRowShown="0">
  <x:tableColumns count="11">
    <x:tableColumn id="1" name="Observation ID"/>
    <x:tableColumn id="2" name="Thesis ID"/>
    <x:tableColumn id="3" name="Observed At"/>
    <x:tableColumn id="4" name="Evidence Type"/>
    <x:tableColumn id="5" name="Source"/>
    <x:tableColumn id="6" name="Source Class"/>
    <x:tableColumn id="7" name="URL"/>
    <x:tableColumn id="8" name="Factual Claim"/>
    <x:tableColumn id="9" name="Effect"/>
    <x:tableColumn id="10" name="Reliability 1 to 5"/>
    <x:tableColumn id="11" name="Notes"/>
  </x:tableColumns>
  <x:tableStyleInfo name="TableStyleMedium2" showFirstColumn="0" showLastColumn="0" showRowStripes="1" showColumnStripes="0"/>
</x:table>
</file>

<file path=xl/tables/table3.xml><?xml version="1.0" encoding="utf-8"?>
<x:table xmlns:x="http://schemas.openxmlformats.org/spreadsheetml/2006/main" id="3" name="SourceRegistryTable" displayName="SourceRegistryTable" ref="A5:M50" headerRowCount="1" totalsRowCount="0" totalsRowShown="0">
  <x:tableColumns count="13">
    <x:tableColumn id="1" name="Source"/>
    <x:tableColumn id="2" name="Source Class"/>
    <x:tableColumn id="3" name="Domain"/>
    <x:tableColumn id="4" name="Approved Status"/>
    <x:tableColumn id="5" name="Reliability 1 to 5"/>
    <x:tableColumn id="6" name="Timeliness 1 to 5"/>
    <x:tableColumn id="7" name="Directness 1 to 5"/>
    <x:tableColumn id="8" name="Corroboration Required"/>
    <x:tableColumn id="9" name="Correct Calls"/>
    <x:tableColumn id="10" name="Incorrect Calls"/>
    <x:tableColumn id="11" name="Evaluated Calls"/>
    <x:tableColumn id="12" name="Hit Rate"/>
    <x:tableColumn id="13" name="Notes"/>
  </x:tableColumns>
  <x:tableStyleInfo name="TableStyleMedium2" showFirstColumn="0" showLastColumn="0" showRowStripes="1" showColumnStripes="0"/>
</x:table>
</file>

<file path=xl/tables/table4.xml><?xml version="1.0" encoding="utf-8"?>
<x:table xmlns:x="http://schemas.openxmlformats.org/spreadsheetml/2006/main" id="4" name="PaperTradesTable" displayName="PaperTradesTable" ref="A5:R50" headerRowCount="1" totalsRowCount="0" totalsRowShown="0">
  <x:tableColumns count="18">
    <x:tableColumn id="1" name="Trade ID"/>
    <x:tableColumn id="2" name="Thesis ID"/>
    <x:tableColumn id="3" name="Instrument"/>
    <x:tableColumn id="4" name="Exposure Type"/>
    <x:tableColumn id="5" name="Entry Window"/>
    <x:tableColumn id="6" name="Paper Entry Date"/>
    <x:tableColumn id="7" name="Entry Price"/>
    <x:tableColumn id="8" name="Starting Amount"/>
    <x:tableColumn id="9" name="Units"/>
    <x:tableColumn id="10" name="Current Price"/>
    <x:tableColumn id="11" name="Current Value"/>
    <x:tableColumn id="12" name="Dollar P and L"/>
    <x:tableColumn id="13" name="Return"/>
    <x:tableColumn id="14" name="Exit Date"/>
    <x:tableColumn id="15" name="Exit Price"/>
    <x:tableColumn id="16" name="Realized Value"/>
    <x:tableColumn id="17" name="Realized P and L"/>
    <x:tableColumn id="18" name="Notes"/>
  </x:tableColumns>
  <x:tableStyleInfo name="TableStyleMedium2" showFirstColumn="0" showLastColumn="0" showRowStripes="1" showColumnStripes="0"/>
</x:table>
</file>

<file path=xl/tables/table5.xml><?xml version="1.0" encoding="utf-8"?>
<x:table xmlns:x="http://schemas.openxmlformats.org/spreadsheetml/2006/main" id="5" name="ScanRunsTable" displayName="ScanRunsTable" ref="A5:J101" headerRowCount="1" totalsRowCount="0" totalsRowShown="0">
  <x:tableColumns count="10">
    <x:tableColumn id="1" name="Run ID"/>
    <x:tableColumn id="2" name="Run At"/>
    <x:tableColumn id="3" name="Task"/>
    <x:tableColumn id="4" name="Scope"/>
    <x:tableColumn id="5" name="Sources Checked"/>
    <x:tableColumn id="6" name="New Triggers"/>
    <x:tableColumn id="7" name="Theses Updated"/>
    <x:tableColumn id="8" name="Evaluations Completed"/>
    <x:tableColumn id="9" name="Alert Sent"/>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3027ed6a9b89439b" /></Relationships>
</file>

<file path=xl/worksheets/_rels/sheet3.xml.rels>&#65279;<?xml version="1.0" encoding="utf-8"?><Relationships xmlns="http://schemas.openxmlformats.org/package/2006/relationships"><Relationship Type="http://schemas.openxmlformats.org/officeDocument/2006/relationships/table" Target="/xl/tables/table2.xml" Id="R4eb407c9a66a41c5" /></Relationships>
</file>

<file path=xl/worksheets/_rels/sheet4.xml.rels>&#65279;<?xml version="1.0" encoding="utf-8"?><Relationships xmlns="http://schemas.openxmlformats.org/package/2006/relationships"><Relationship Type="http://schemas.openxmlformats.org/officeDocument/2006/relationships/table" Target="/xl/tables/table3.xml" Id="R0859dcbf3e654540" /></Relationships>
</file>

<file path=xl/worksheets/_rels/sheet5.xml.rels>&#65279;<?xml version="1.0" encoding="utf-8"?><Relationships xmlns="http://schemas.openxmlformats.org/package/2006/relationships"><Relationship Type="http://schemas.openxmlformats.org/officeDocument/2006/relationships/table" Target="/xl/tables/table4.xml" Id="R76ecae88669c4749" /></Relationships>
</file>

<file path=xl/worksheets/_rels/sheet6.xml.rels>&#65279;<?xml version="1.0" encoding="utf-8"?><Relationships xmlns="http://schemas.openxmlformats.org/package/2006/relationships"><Relationship Type="http://schemas.openxmlformats.org/officeDocument/2006/relationships/table" Target="/xl/tables/table5.xml" Id="R65b98c5292ee484d" /></Relationships>
</file>

<file path=xl/worksheets/sheet1.xml><?xml version="1.0" encoding="utf-8"?>
<x:worksheet xmlns:x="http://schemas.openxmlformats.org/spreadsheetml/2006/main">
  <x:sheetPr>
    <x:tabColor rgb="FF14213D"/>
  </x:sheetPr>
  <x:sheetViews>
    <x:sheetView showGridLines="0" workbookViewId="0">
      <x:pane ySplit="3" topLeftCell="A4" activePane="bottomLeft" state="frozen"/>
    </x:sheetView>
  </x:sheetViews>
  <x:sheetFormatPr defaultRowHeight="15"/>
  <x:cols>
    <x:col min="1" max="1" width="20" hidden="0" customWidth="1"/>
    <x:col min="2" max="2" width="30" hidden="0" customWidth="1"/>
    <x:col min="3" max="3" width="22" hidden="0" customWidth="1"/>
    <x:col min="4" max="4" width="16" hidden="0" customWidth="1"/>
    <x:col min="5" max="5" width="14" hidden="0" customWidth="1"/>
    <x:col min="6" max="6" width="14" hidden="0" customWidth="1"/>
    <x:col min="7" max="7" width="14" hidden="0" customWidth="1"/>
    <x:col min="8" max="8" width="14" hidden="0" customWidth="1"/>
    <x:col min="9" max="9" width="38" hidden="0" customWidth="1"/>
    <x:col min="10" max="10" width="16" hidden="0" customWidth="1"/>
  </x:cols>
  <x:sheetData>
    <x:row r="1">
      <x:c r="A1" s="1"/>
      <x:c r="B1" s="1"/>
      <x:c r="C1" s="1"/>
      <x:c r="D1" s="1"/>
      <x:c r="E1" s="1"/>
      <x:c r="F1" s="1"/>
      <x:c r="G1" s="1"/>
      <x:c r="H1" s="1"/>
      <x:c r="I1" s="1"/>
      <x:c r="J1" s="1"/>
    </x:row>
    <x:row r="2">
      <x:c r="A2" s="2" t="str">
        <x:v>Easy E Invest Thesis Performance</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9" t="str">
        <x:v>Metric</x:v>
      </x:c>
      <x:c r="B5" s="12" t="str">
        <x:v>Value</x:v>
      </x:c>
      <x:c r="C5" s="1"/>
      <x:c r="D5" s="1"/>
      <x:c r="E5" s="1"/>
      <x:c r="F5" s="1"/>
      <x:c r="G5" s="1"/>
      <x:c r="H5" s="1"/>
      <x:c r="I5" s="1"/>
      <x:c r="J5" s="1"/>
    </x:row>
    <x:row r="6">
      <x:c r="A6" s="1" t="str">
        <x:v>Total theses</x:v>
      </x:c>
      <x:c r="B6" s="40" t="n">
        <x:f>COUNTA('Thesis Ledger'!A6:A200)</x:f>
        <x:v>13</x:v>
      </x:c>
      <x:c r="C6" s="1"/>
      <x:c r="D6" s="1"/>
      <x:c r="E6" s="1"/>
      <x:c r="F6" s="1"/>
      <x:c r="G6" s="1"/>
      <x:c r="H6" s="1"/>
      <x:c r="I6" s="1"/>
      <x:c r="J6" s="1"/>
    </x:row>
    <x:row r="7">
      <x:c r="A7" s="1" t="str">
        <x:v>Open theses</x:v>
      </x:c>
      <x:c r="B7" s="40" t="n">
        <x:f>COUNTIFS('Thesis Ledger'!A6:A200,"&lt;&gt;",'Thesis Ledger'!F6:F200,"&lt;&gt;Closed",'Thesis Ledger'!F6:F200,"&lt;&gt;Invalidated")</x:f>
        <x:v>11</x:v>
      </x:c>
      <x:c r="C7" s="1"/>
      <x:c r="D7" s="1"/>
      <x:c r="E7" s="1"/>
      <x:c r="F7" s="1"/>
      <x:c r="G7" s="1"/>
      <x:c r="H7" s="1"/>
      <x:c r="I7" s="1"/>
      <x:c r="J7" s="1"/>
    </x:row>
    <x:row r="8">
      <x:c r="A8" s="1" t="str">
        <x:v>Evaluated theses</x:v>
      </x:c>
      <x:c r="B8" s="40" t="n">
        <x:f>COUNT('Thesis Ledger'!AE6:AE200)</x:f>
        <x:v>2</x:v>
      </x:c>
      <x:c r="C8" s="1"/>
      <x:c r="D8" s="1"/>
      <x:c r="E8" s="1"/>
      <x:c r="F8" s="1"/>
      <x:c r="G8" s="1"/>
      <x:c r="H8" s="1"/>
      <x:c r="I8" s="1"/>
      <x:c r="J8" s="1"/>
    </x:row>
    <x:row r="9">
      <x:c r="A9" s="1" t="str">
        <x:v>Average prediction score</x:v>
      </x:c>
      <x:c r="B9" s="55" t="n">
        <x:f>IFERROR(AVERAGE('Thesis Ledger'!AE6:AE200),"")</x:f>
        <x:v>0.8</x:v>
      </x:c>
      <x:c r="C9" s="1"/>
      <x:c r="D9" s="1"/>
      <x:c r="E9" s="1"/>
      <x:c r="F9" s="1"/>
      <x:c r="G9" s="1"/>
      <x:c r="H9" s="1"/>
      <x:c r="I9" s="1"/>
      <x:c r="J9" s="1"/>
    </x:row>
    <x:row r="10">
      <x:c r="A10" s="35" t="str">
        <x:v>Preferred entry theses</x:v>
      </x:c>
      <x:c r="B10" s="42" t="n">
        <x:f>COUNTIF('Thesis Ledger'!M6:M200,"PREFERRED")</x:f>
        <x:v>0</x:v>
      </x:c>
      <x:c r="C10" s="1"/>
      <x:c r="D10" s="1"/>
      <x:c r="E10" s="1"/>
      <x:c r="F10" s="1"/>
      <x:c r="G10" s="1"/>
      <x:c r="H10" s="1"/>
      <x:c r="I10" s="1"/>
      <x:c r="J10" s="1"/>
    </x:row>
    <x:row r="11">
      <x:c r="A11" s="1"/>
      <x:c r="B11" s="1"/>
      <x:c r="C11" s="1"/>
      <x:c r="D11" s="1"/>
      <x:c r="E11" s="1"/>
      <x:c r="F11" s="1"/>
      <x:c r="G11" s="1"/>
      <x:c r="H11" s="1"/>
      <x:c r="I11" s="1"/>
      <x:c r="J11" s="1"/>
    </x:row>
    <x:row r="12">
      <x:c r="A12" s="9" t="str">
        <x:v>Thesis ID</x:v>
      </x:c>
      <x:c r="B12" s="12" t="str">
        <x:v>Thesis</x:v>
      </x:c>
      <x:c r="C12" s="12" t="str">
        <x:v>Sector</x:v>
      </x:c>
      <x:c r="D12" s="12" t="str">
        <x:v>Stage</x:v>
      </x:c>
      <x:c r="E12" s="12" t="str">
        <x:v>Confidence</x:v>
      </x:c>
      <x:c r="F12" s="12" t="str">
        <x:v>Trading Edge</x:v>
      </x:c>
      <x:c r="G12" s="12" t="str">
        <x:v>Entry Window</x:v>
      </x:c>
      <x:c r="H12" s="12" t="str">
        <x:v>Trigger Date</x:v>
      </x:c>
      <x:c r="I12" s="12" t="str">
        <x:v>Economic Variable</x:v>
      </x:c>
      <x:c r="J12" s="10" t="str">
        <x:v>Next Evaluation</x:v>
      </x:c>
    </x:row>
    <x:row r="13">
      <x:c r="A13" s="1" t="str">
        <x:f>'Thesis Ledger'!A6</x:f>
        <x:v>EEI-2026-001</x:v>
      </x:c>
      <x:c r="B13" s="1" t="str">
        <x:f>'Thesis Ledger'!B6</x:f>
        <x:v>Hormuz crude supply risk</x:v>
      </x:c>
      <x:c r="C13" s="1" t="str">
        <x:f>'Thesis Ledger'!C6</x:f>
        <x:v>Energy</x:v>
      </x:c>
      <x:c r="D13" s="1" t="str">
        <x:f>'Thesis Ledger'!F6</x:f>
        <x:v>Closed</x:v>
      </x:c>
      <x:c r="E13" s="1" t="n">
        <x:f>'Thesis Ledger'!K6</x:f>
        <x:v>5</x:v>
      </x:c>
      <x:c r="F13" s="1" t="n">
        <x:f>'Thesis Ledger'!L6</x:f>
        <x:v>1</x:v>
      </x:c>
      <x:c r="G13" s="1" t="str">
        <x:f>'Thesis Ledger'!M6</x:f>
        <x:v>WAIT</x:v>
      </x:c>
      <x:c r="H13" s="13" t="n">
        <x:f>'Thesis Ledger'!D6</x:f>
        <x:v>46271</x:v>
      </x:c>
      <x:c r="I13" s="1" t="str">
        <x:f>'Thesis Ledger'!H6</x:f>
        <x:v>Global crude supply and risk premium</x:v>
      </x:c>
      <x:c r="J13" s="13" t="n">
        <x:f>'Thesis Ledger'!W6</x:f>
        <x:v>0</x:v>
      </x:c>
    </x:row>
    <x:row r="14">
      <x:c r="A14" s="1" t="str">
        <x:f>'Thesis Ledger'!A7</x:f>
        <x:v>EEI-2026-002</x:v>
      </x:c>
      <x:c r="B14" s="1" t="str">
        <x:f>'Thesis Ledger'!B7</x:f>
        <x:v>Gas disruption and coal substitution</x:v>
      </x:c>
      <x:c r="C14" s="1" t="str">
        <x:f>'Thesis Ledger'!C7</x:f>
        <x:v>Energy and materials</x:v>
      </x:c>
      <x:c r="D14" s="1" t="str">
        <x:f>'Thesis Ledger'!F7</x:f>
        <x:v>Strong</x:v>
      </x:c>
      <x:c r="E14" s="1" t="n">
        <x:f>'Thesis Ledger'!K7</x:f>
        <x:v>4</x:v>
      </x:c>
      <x:c r="F14" s="1" t="n">
        <x:f>'Thesis Ledger'!L7</x:f>
        <x:v>2</x:v>
      </x:c>
      <x:c r="G14" s="1" t="str">
        <x:f>'Thesis Ledger'!M7</x:f>
        <x:v>WAIT</x:v>
      </x:c>
      <x:c r="H14" s="13" t="n">
        <x:f>'Thesis Ledger'!D7</x:f>
        <x:v>46275</x:v>
      </x:c>
      <x:c r="I14" s="1" t="str">
        <x:f>'Thesis Ledger'!H7</x:f>
        <x:v>Coal demand from fuel switching</x:v>
      </x:c>
      <x:c r="J14" s="13" t="n">
        <x:f>'Thesis Ledger'!W7</x:f>
        <x:v>46296</x:v>
      </x:c>
    </x:row>
    <x:row r="15">
      <x:c r="A15" s="1" t="str">
        <x:f>'Thesis Ledger'!A8</x:f>
        <x:v>EEI-2026-003</x:v>
      </x:c>
      <x:c r="B15" s="1" t="str">
        <x:f>'Thesis Ledger'!B8</x:f>
        <x:v>2026 midterm political shift</x:v>
      </x:c>
      <x:c r="C15" s="1" t="str">
        <x:f>'Thesis Ledger'!C8</x:f>
        <x:v>Multi-sector</x:v>
      </x:c>
      <x:c r="D15" s="1" t="str">
        <x:f>'Thesis Ledger'!F8</x:f>
        <x:v>Strong</x:v>
      </x:c>
      <x:c r="E15" s="1" t="n">
        <x:f>'Thesis Ledger'!K8</x:f>
        <x:v>4</x:v>
      </x:c>
      <x:c r="F15" s="1" t="n">
        <x:f>'Thesis Ledger'!L8</x:f>
        <x:v>1</x:v>
      </x:c>
      <x:c r="G15" s="1" t="str">
        <x:f>'Thesis Ledger'!M8</x:f>
        <x:v>WAIT</x:v>
      </x:c>
      <x:c r="H15" s="13" t="n">
        <x:f>'Thesis Ledger'!D8</x:f>
        <x:v>46274</x:v>
      </x:c>
      <x:c r="I15" s="1" t="str">
        <x:f>'Thesis Ledger'!H8</x:f>
        <x:v>Market breadth, policy expectations and sector leadership</x:v>
      </x:c>
      <x:c r="J15" s="13" t="n">
        <x:f>'Thesis Ledger'!W8</x:f>
        <x:v>46310</x:v>
      </x:c>
    </x:row>
    <x:row r="16">
      <x:c r="A16" s="1" t="str">
        <x:f>'Thesis Ledger'!A9</x:f>
        <x:v>EEI-2026-004</x:v>
      </x:c>
      <x:c r="B16" s="1" t="str">
        <x:f>'Thesis Ledger'!B9</x:f>
        <x:v>Energy inflation and higher-for-longer rates</x:v>
      </x:c>
      <x:c r="C16" s="1" t="str">
        <x:f>'Thesis Ledger'!C9</x:f>
        <x:v>Macro and fixed income</x:v>
      </x:c>
      <x:c r="D16" s="1" t="str">
        <x:f>'Thesis Ledger'!F9</x:f>
        <x:v>Closed</x:v>
      </x:c>
      <x:c r="E16" s="1" t="n">
        <x:f>'Thesis Ledger'!K9</x:f>
        <x:v>4</x:v>
      </x:c>
      <x:c r="F16" s="1" t="n">
        <x:f>'Thesis Ledger'!L9</x:f>
        <x:v>1</x:v>
      </x:c>
      <x:c r="G16" s="1" t="str">
        <x:f>'Thesis Ledger'!M9</x:f>
        <x:v>WAIT</x:v>
      </x:c>
      <x:c r="H16" s="1" t="n">
        <x:f>'Thesis Ledger'!D9</x:f>
        <x:v>46276.51043981482</x:v>
      </x:c>
      <x:c r="I16" s="1" t="str">
        <x:f>'Thesis Ledger'!H9</x:f>
        <x:v>U.S. producer inflation, Fed policy expectations and long-term Treasury yields</x:v>
      </x:c>
      <x:c r="J16" s="1" t="n">
        <x:f>'Thesis Ledger'!W9</x:f>
        <x:v>0</x:v>
      </x:c>
    </x:row>
    <x:row r="17">
      <x:c r="A17" s="17" t="str">
        <x:v>Scores are calculated only from completed Yes or No evaluations. Blank fields remain unevaluated. Keep economic-thesis accuracy separate from trading performance and entry quality.</x:v>
      </x:c>
      <x:c r="B17" s="1"/>
      <x:c r="C17" s="1"/>
      <x:c r="D17" s="1"/>
      <x:c r="E17" s="1"/>
      <x:c r="F17" s="1"/>
      <x:c r="G17" s="1"/>
      <x:c r="H17" s="1"/>
      <x:c r="I17" s="1"/>
      <x:c r="J17" s="1"/>
    </x:row>
    <x:row r="18">
      <x:c r="A18" s="1"/>
      <x:c r="B18" s="1"/>
      <x:c r="C18" s="1"/>
      <x:c r="D18" s="1"/>
      <x:c r="E18" s="1"/>
      <x:c r="F18" s="1"/>
      <x:c r="G18" s="1"/>
      <x:c r="H18" s="1"/>
      <x:c r="I18" s="1"/>
      <x:c r="J18" s="1"/>
    </x:row>
    <x:row r="19">
      <x:c r="A19" s="1"/>
      <x:c r="B19" s="1"/>
      <x:c r="C19" s="1"/>
      <x:c r="D19" s="1"/>
      <x:c r="E19" s="1"/>
      <x:c r="F19" s="1"/>
      <x:c r="G19" s="1"/>
      <x:c r="H19" s="1"/>
      <x:c r="I19" s="1"/>
      <x:c r="J19" s="1"/>
    </x:row>
    <x:row r="20">
      <x:c r="A20" s="1"/>
      <x:c r="B20" s="1"/>
      <x:c r="C20" s="1"/>
      <x:c r="D20" s="1"/>
      <x:c r="E20" s="1"/>
      <x:c r="F20" s="1"/>
      <x:c r="G20" s="1"/>
      <x:c r="H20" s="1"/>
      <x:c r="I20" s="1"/>
      <x:c r="J20" s="1"/>
    </x:row>
  </x:sheetData>
  <x:mergeCells>
    <x:mergeCell ref="A2:J2"/>
    <x:mergeCell ref="A17:J18"/>
  </x:mergeCells>
  <x:pageMargins left="0.7" right="0.7" top="0.75" bottom="0.75" header="0.3" footer="0.3"/>
</x:worksheet>
</file>

<file path=xl/worksheets/sheet2.xml><?xml version="1.0" encoding="utf-8"?>
<x:worksheet xmlns:x="http://schemas.openxmlformats.org/spreadsheetml/2006/main">
  <x:sheetPr>
    <x:tabColor rgb="FF1F4E78"/>
  </x:sheetPr>
  <x:sheetViews>
    <x:sheetView showGridLines="0" workbookViewId="0">
      <x:pane ySplit="5" topLeftCell="A6" activePane="bottomLeft" state="frozen"/>
    </x:sheetView>
  </x:sheetViews>
  <x:sheetFormatPr defaultRowHeight="15"/>
  <x:cols>
    <x:col min="1" max="1" width="15" hidden="0" customWidth="1"/>
    <x:col min="2" max="2" width="28" hidden="0" customWidth="1"/>
    <x:col min="3" max="3" width="15" hidden="0" customWidth="1"/>
    <x:col min="4" max="4" width="15" hidden="0" customWidth="1"/>
    <x:col min="5" max="5" width="15" hidden="0" customWidth="1"/>
    <x:col min="6" max="6" width="15" hidden="0" customWidth="1"/>
    <x:col min="7" max="7" width="15" hidden="0" customWidth="1"/>
    <x:col min="8" max="8" width="28" hidden="0" customWidth="1"/>
    <x:col min="9" max="9" width="15" hidden="0" customWidth="1"/>
    <x:col min="10" max="10" width="15" hidden="0" customWidth="1"/>
    <x:col min="11" max="11" width="15" hidden="0" customWidth="1"/>
    <x:col min="12" max="12" width="15" hidden="0" customWidth="1"/>
    <x:col min="13" max="13" width="15" hidden="0" customWidth="1"/>
    <x:col min="14" max="14" width="28" hidden="0" customWidth="1"/>
    <x:col min="15" max="15" width="28" hidden="0" customWidth="1"/>
    <x:col min="16" max="16" width="28" hidden="0" customWidth="1"/>
    <x:col min="17" max="17" width="28" hidden="0" customWidth="1"/>
    <x:col min="18" max="18" width="28" hidden="0" customWidth="1"/>
    <x:col min="19" max="19" width="28" hidden="0" customWidth="1"/>
    <x:col min="20" max="20" width="28" hidden="0" customWidth="1"/>
    <x:col min="21" max="21" width="28" hidden="0" customWidth="1"/>
    <x:col min="22" max="22" width="15" hidden="0" customWidth="1"/>
    <x:col min="23" max="23" width="15" hidden="0" customWidth="1"/>
    <x:col min="24" max="24" width="15" hidden="0" customWidth="1"/>
    <x:col min="25" max="25" width="15" hidden="0" customWidth="1"/>
    <x:col min="26" max="26" width="15" hidden="0" customWidth="1"/>
    <x:col min="27" max="27" width="15" hidden="0" customWidth="1"/>
    <x:col min="28" max="28" width="15" hidden="0" customWidth="1"/>
    <x:col min="29" max="29" width="15" hidden="0" customWidth="1"/>
    <x:col min="30" max="30" width="28" hidden="0" customWidth="1"/>
    <x:col min="31" max="31" width="15" hidden="0" customWidth="1"/>
  </x:cols>
  <x:sheetData>
    <x:row r="1">
      <x:c r="A1" s="1"/>
      <x:c r="B1" s="1"/>
      <x:c r="C1" s="1"/>
      <x:c r="D1" s="1"/>
      <x:c r="E1" s="1"/>
      <x:c r="F1" s="1"/>
      <x:c r="G1" s="1"/>
      <x:c r="H1" s="1"/>
      <x:c r="I1" s="1"/>
      <x:c r="J1" s="1"/>
      <x:c r="K1" s="1"/>
      <x:c r="L1" s="1"/>
      <x:c r="M1" s="1"/>
      <x:c r="N1" s="1"/>
      <x:c r="O1" s="1"/>
      <x:c r="P1" s="1"/>
      <x:c r="Q1" s="1"/>
      <x:c r="R1" s="1"/>
      <x:c r="S1" s="1"/>
      <x:c r="T1" s="1"/>
      <x:c r="U1" s="1"/>
      <x:c r="V1" s="1"/>
      <x:c r="W1" s="1"/>
      <x:c r="X1" s="1"/>
      <x:c r="Y1" s="1"/>
      <x:c r="Z1" s="1"/>
      <x:c r="AA1" s="1"/>
      <x:c r="AB1" s="1"/>
      <x:c r="AC1" s="1"/>
      <x:c r="AD1" s="1"/>
      <x:c r="AE1" s="1"/>
    </x:row>
    <x:row r="2">
      <x:c r="A2" s="2" t="str">
        <x:v>Thesis Ledger</x:v>
      </x:c>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row>
    <x:row r="3">
      <x:c r="A3" s="3"/>
      <x:c r="B3" s="3"/>
      <x:c r="C3" s="3"/>
      <x:c r="D3" s="3"/>
      <x:c r="E3" s="3"/>
      <x:c r="F3" s="3"/>
      <x:c r="G3" s="3"/>
      <x:c r="H3" s="3"/>
      <x:c r="I3" s="3"/>
      <x:c r="J3" s="3"/>
      <x:c r="K3" s="3"/>
      <x:c r="L3" s="3"/>
      <x:c r="M3" s="3"/>
      <x:c r="N3" s="3"/>
      <x:c r="O3" s="3"/>
      <x:c r="P3" s="3"/>
      <x:c r="Q3" s="3"/>
      <x:c r="R3" s="3"/>
      <x:c r="S3" s="3"/>
      <x:c r="T3" s="3"/>
      <x:c r="U3" s="3"/>
      <x:c r="V3" s="3"/>
      <x:c r="W3" s="3"/>
      <x:c r="X3" s="3"/>
      <x:c r="Y3" s="3"/>
      <x:c r="Z3" s="3"/>
      <x:c r="AA3" s="3"/>
      <x:c r="AB3" s="3"/>
      <x:c r="AC3" s="3"/>
      <x:c r="AD3" s="3"/>
      <x:c r="AE3" s="3"/>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row>
    <x:row r="5">
      <x:c r="A5" s="24" t="str">
        <x:v>Thesis ID</x:v>
      </x:c>
      <x:c r="B5" s="25" t="str">
        <x:v>Thesis Name</x:v>
      </x:c>
      <x:c r="C5" s="25" t="str">
        <x:v>Sector</x:v>
      </x:c>
      <x:c r="D5" s="25" t="str">
        <x:v>Trigger Date</x:v>
      </x:c>
      <x:c r="E5" s="25" t="str">
        <x:v>First Detected</x:v>
      </x:c>
      <x:c r="F5" s="25" t="str">
        <x:v>Status</x:v>
      </x:c>
      <x:c r="G5" s="25" t="str">
        <x:v>Trigger Class</x:v>
      </x:c>
      <x:c r="H5" s="25" t="str">
        <x:v>Economic Variable</x:v>
      </x:c>
      <x:c r="I5" s="25" t="str">
        <x:v>Predicted Direction</x:v>
      </x:c>
      <x:c r="J5" s="25" t="str">
        <x:v>Time Horizon</x:v>
      </x:c>
      <x:c r="K5" s="25" t="str">
        <x:v>Confidence 1 to 5</x:v>
      </x:c>
      <x:c r="L5" s="25" t="str">
        <x:v>Trading Edge 1 to 5</x:v>
      </x:c>
      <x:c r="M5" s="25" t="str">
        <x:v>Entry Window</x:v>
      </x:c>
      <x:c r="N5" s="25" t="str">
        <x:v>Trigger Summary</x:v>
      </x:c>
      <x:c r="O5" s="25" t="str">
        <x:v>Causal Mechanism</x:v>
      </x:c>
      <x:c r="P5" s="25" t="str">
        <x:v>Supporting Evidence</x:v>
      </x:c>
      <x:c r="Q5" s="25" t="str">
        <x:v>Contradictory Evidence</x:v>
      </x:c>
      <x:c r="R5" s="25" t="str">
        <x:v>Expert Enhancer</x:v>
      </x:c>
      <x:c r="S5" s="25" t="str">
        <x:v>Market Confirmation</x:v>
      </x:c>
      <x:c r="T5" s="25" t="str">
        <x:v>Candidate Expressions</x:v>
      </x:c>
      <x:c r="U5" s="25" t="str">
        <x:v>Invalidation</x:v>
      </x:c>
      <x:c r="V5" s="25" t="str">
        <x:v>Initial Prediction Frozen</x:v>
      </x:c>
      <x:c r="W5" s="25" t="str">
        <x:v>Next Evaluation</x:v>
      </x:c>
      <x:c r="X5" s="25" t="str">
        <x:v>Evaluation Date</x:v>
      </x:c>
      <x:c r="Y5" s="25" t="str">
        <x:v>Variable Correct</x:v>
      </x:c>
      <x:c r="Z5" s="25" t="str">
        <x:v>Direction Correct</x:v>
      </x:c>
      <x:c r="AA5" s="25" t="str">
        <x:v>Timing Correct</x:v>
      </x:c>
      <x:c r="AB5" s="25" t="str">
        <x:v>Expression Correct</x:v>
      </x:c>
      <x:c r="AC5" s="25" t="str">
        <x:v>Entry Discipline Correct</x:v>
      </x:c>
      <x:c r="AD5" s="25" t="str">
        <x:v>Outcome Notes</x:v>
      </x:c>
      <x:c r="AE5" s="26" t="str">
        <x:v>Prediction Score</x:v>
      </x:c>
    </x:row>
    <x:row r="6">
      <x:c r="A6" s="27" t="str">
        <x:v>EEI-2026-001</x:v>
      </x:c>
      <x:c r="B6" s="27" t="str">
        <x:v>Hormuz crude supply risk</x:v>
      </x:c>
      <x:c r="C6" s="27" t="str">
        <x:v>Energy</x:v>
      </x:c>
      <x:c r="D6" s="30" t="n">
        <x:v>46271</x:v>
      </x:c>
      <x:c r="E6" s="30" t="n">
        <x:v>46271.5</x:v>
      </x:c>
      <x:c r="F6" s="27" t="str">
        <x:v>Closed</x:v>
      </x:c>
      <x:c r="G6" s="27" t="str">
        <x:v>Geopolitical</x:v>
      </x:c>
      <x:c r="H6" s="27" t="str">
        <x:v>Global crude supply and risk premium</x:v>
      </x:c>
      <x:c r="I6" s="27" t="str">
        <x:v>Up</x:v>
      </x:c>
      <x:c r="J6" s="27" t="str">
        <x:v>Days to weeks</x:v>
      </x:c>
      <x:c r="K6" s="27" t="n">
        <x:v>5</x:v>
      </x:c>
      <x:c r="L6" s="27" t="n">
        <x:v>1</x:v>
      </x:c>
      <x:c r="M6" s="27" t="str">
        <x:v>WAIT</x:v>
      </x:c>
      <x:c r="N6" s="29" t="str">
        <x:v>Crude supplied the missing liquid-market confirmation on September 14: Brent rose above $108 and WTI above $102 after the weekend pipeline and shipping attacks, while physical crude premiums and replacement-barrel costs surged.</x:v>
      </x:c>
      <x:c r="O6" s="29" t="str">
        <x:v>Constrained Hormuz flows plus the East-West pipeline outage reduce effective exports and force refiners to bid for alternative barrels, raising freight, insurance and crude risk premiums.</x:v>
      </x:c>
      <x:c r="P6" s="29" t="str">
        <x:v>Hormuz traffic fell to only three commercial transits on September 16, versus 12 the prior day and a 10-day average of 17, confirming that the physical chokepoint disruption remains severe.</x:v>
      </x:c>
      <x:c r="Q6" s="29" t="str">
        <x:v>China pressed Iran to restrain Houthi attacks, Saudi Arabia sought partial East-West pipeline restoration, and crude retreated on September 18. These developments show how diplomacy, restored bypass capacity or normalized Hormuz traffic can compress the premium quickly, although only four commodity vessels crossed Hormuz Thursday versus a 10-day average near 16.</x:v>
      </x:c>
      <x:c r="R6" s="29" t="str">
        <x:v>Mr Global remains an enhancer only; no new independently logged enhancer changed the thesis.</x:v>
      </x:c>
      <x:c r="S6" s="29" t="str">
        <x:v>Final September 18 confirmation was mixed but positive overall: BNO gained 5.84% and USO 6.41% from the September 8 open, while XOP lost 1.65%. The equal-weight paper portfolio gained 3.53%. Brent settled at $104.87 and WTI at $100.30; direct crude exposure confirmed the thesis while producer equities did not.</x:v>
      </x:c>
      <x:c r="T6" s="29" t="str">
        <x:v>Conditional only after a non-headline retracement or orderly consolidation with continued physical confirmation: BNO or USO for direct crude exposure; XOP/XLE only if producer breadth confirms. Futures retain leverage, roll and gap risk.</x:v>
      </x:c>
      <x:c r="U6" s="29" t="str">
        <x:v>Verified restoration of Saudi bypass capacity and normal Hormuz traffic, durable de-escalation, or a demand shock that offsets the supply loss.</x:v>
      </x:c>
      <x:c r="V6" s="43" t="n">
        <x:v>46271</x:v>
      </x:c>
      <x:c r="W6" s="43"/>
      <x:c r="X6" s="43" t="n">
        <x:v>46283</x:v>
      </x:c>
      <x:c r="Y6" s="29" t="str">
        <x:v>Yes</x:v>
      </x:c>
      <x:c r="Z6" s="29" t="str">
        <x:v>Yes</x:v>
      </x:c>
      <x:c r="AA6" s="29" t="str">
        <x:v>Yes</x:v>
      </x:c>
      <x:c r="AB6" s="29" t="str">
        <x:v>Yes</x:v>
      </x:c>
      <x:c r="AC6" s="29" t="str">
        <x:v>Yes</x:v>
      </x:c>
      <x:c r="AD6" s="29" t="str">
        <x:v>Closed at the scheduled September 18 evaluation. Economic variable: Yes — effective crude availability tightened and the supply-risk premium rose materially. Direction: Yes — Brent, WTI and the direct crude funds finished above the September 8 paper-entry baseline. Timing: Yes — confirmation occurred inside the days-to-weeks horizon. Investment expression: Yes — BNO gained 5.84% and USO 6.41%; XOP lost 1.65%, so the direct expressions worked while the producer-equity proxy did not. The three-position paper portfolio finished at $3,106.03, up $106.03 (+3.53%). Entry discipline: Yes — WAIT correctly flagged limited remaining edge and avoided turning a deliberately late paper test into a real-money headline chase; the portfolio surrendered more than half its peak paper gain as repair and diplomatic developments emerged. No real trade was made.</x:v>
      </x:c>
      <x:c r="AE6" s="31" t="n">
        <x:f>IF(COUNTA(Y6:AC6)=0,"",COUNTIF(Y6:AC6,"Yes")/COUNTA(Y6:AC6))</x:f>
        <x:v>1</x:v>
      </x:c>
    </x:row>
    <x:row r="7">
      <x:c r="A7" s="27" t="str">
        <x:v>EEI-2026-002</x:v>
      </x:c>
      <x:c r="B7" s="27" t="str">
        <x:v>Gas disruption and coal substitution</x:v>
      </x:c>
      <x:c r="C7" s="27" t="str">
        <x:v>Energy and materials</x:v>
      </x:c>
      <x:c r="D7" s="30" t="n">
        <x:v>46275</x:v>
      </x:c>
      <x:c r="E7" s="30" t="n">
        <x:v>46275.5</x:v>
      </x:c>
      <x:c r="F7" s="27" t="str">
        <x:v>Strong</x:v>
      </x:c>
      <x:c r="G7" s="27" t="str">
        <x:v>Supply chain</x:v>
      </x:c>
      <x:c r="H7" s="27" t="str">
        <x:v>Coal demand from fuel switching</x:v>
      </x:c>
      <x:c r="I7" s="27" t="str">
        <x:v>Up</x:v>
      </x:c>
      <x:c r="J7" s="27" t="str">
        <x:v>Weeks to months</x:v>
      </x:c>
      <x:c r="K7" s="27" t="n">
        <x:v>4</x:v>
      </x:c>
      <x:c r="L7" s="27" t="n">
        <x:v>2</x:v>
      </x:c>
      <x:c r="M7" s="27" t="str">
        <x:v>WAIT</x:v>
      </x:c>
      <x:c r="N7" s="29" t="str">
        <x:v>Gas and LNG disruption is now producing longer-lived supply risk and observable coal-demand pressure. QatarEnergy said 17% of Qatar's LNG capacity is disabled, repairs to two trains may take three years, and later North Field expansion trains could be delayed.</x:v>
      </x:c>
      <x:c r="O7" s="29" t="str">
        <x:v>Constrained LNG availability and higher gas prices improve coal's relative economics where switching capacity exists. Heat-driven power demand and low coal stocks can add a second demand channel.</x:v>
      </x:c>
      <x:c r="P7" s="29" t="str">
        <x:v>QatarEnergy's chief executive said two damaged LNG trains may require three years of repairs and later expansion phases depend on restored Hormuz logistics. Separate Indian government data showed coal imports at a 15-month high and 74 power plants with critically low stocks as electricity demand surged. September 30: QatarEnergy extended force majeure for Edison deliveries into early December and for some Asian clients into November, showing that visible vessel transits have not restored contracted LNG supply.</x:v>
      </x:c>
      <x:c r="Q7" s="29" t="str">
        <x:v>QatarEnergy said normal gas operations could resume within weeks if Hormuz reopens. Alternative LNG supply reduced the net global loss, India's low coal stocks may reflect temporary logistics, renewable generation is rising, and limited switching capacity restricts the mechanism. September 29 contradiction: visible Qatar-linked LNG tanker transits resumed after none were observed in August, showing partial logistical normalization. Force majeure and damaged-train constraints remain, so this does not yet invalidate the multi-year supply mechanism. September 30 contradiction: more Qatar-linked LNG tankers have resumed visible Hormuz transits, indicating partial route normalization even while force majeure remains in place.</x:v>
      </x:c>
      <x:c r="R7" s="29"/>
      <x:c r="S7" s="29" t="str">
        <x:v>The physical mechanism is stronger, but the investable mapping is not confirmed. LNG spot prices and coal demand indicators support fuel switching, while COAL fell about 3% in early September 21 pricing and public coal exposures remain grade-, geography- and policy-sensitive. September 29: resumed visible LNG transits weaken the scarcity signal at the margin, while no clean coal-price or public-equity confirmation justifies an entry. September 30: route evidence is mixed. Visible Qatar-linked transits increased, but force majeure remains extended into November or December for some customers. The supply mechanism remains Strong, while the investable mapping and entry remain unconfirmed.</x:v>
      </x:c>
      <x:c r="T7" s="29" t="str">
        <x:v>Conditional research only: COAL for diversified producer exposure, or coal futures for a cleaner commodity expression where suitable. Producer concentration, fund liquidity, coal-grade mismatch, futures roll, policy and headline risks remain material. WAIT for sustained coal-price or producer confirmation after the LNG shock.</x:v>
      </x:c>
      <x:c r="U7" s="29" t="str">
        <x:v>Hormuz reopens and Qatari LNG operations normalize, alternative LNG supply fully offsets lost volumes, coal imports and burn fail to rise, or renewable output and demand destruction absorb the shock.</x:v>
      </x:c>
      <x:c r="V7" s="43" t="n">
        <x:v>46275</x:v>
      </x:c>
      <x:c r="W7" s="43" t="n">
        <x:v>46296</x:v>
      </x:c>
      <x:c r="X7" s="43"/>
      <x:c r="Y7" s="29"/>
      <x:c r="Z7" s="29"/>
      <x:c r="AA7" s="29"/>
      <x:c r="AB7" s="29"/>
      <x:c r="AC7" s="29"/>
      <x:c r="AD7" s="29" t="str">
        <x:v>Open. Promoted from Developing to Strong on September 21 after QatarEnergy disclosed a multi-year repair burden and possible LNG expansion delays, while Indian government data showed stronger coal demand and critically low plant stocks. Confidence increased to 4/5. Trading edge fell to 2/5 because fuel switching is constrained, supply alternatives are growing and public expressions are indirect. Entry Window remains WAIT. September 29 review added partial LNG-route normalization. Stage remains Strong, confidence 4/5, trading edge 2/5 and Entry Window WAIT. September 30 review added both extended force majeure and resumed visible tanker traffic. These facts reinforce the existing scarcity-versus-normalization balance; stage remains Strong, confidence 4/5, trading edge 2/5 and Entry Window WAIT.</x:v>
      </x:c>
      <x:c r="AE7" s="31" t="str">
        <x:f>IF(COUNTA(Y7:AC7)=0,"",COUNTIF(Y7:AC7,"Yes")/COUNTA(Y7:AC7))</x:f>
      </x:c>
    </x:row>
    <x:row r="8">
      <x:c r="A8" s="27" t="str">
        <x:v>EEI-2026-003</x:v>
      </x:c>
      <x:c r="B8" s="27" t="str">
        <x:v>2026 midterm political shift</x:v>
      </x:c>
      <x:c r="C8" s="27" t="str">
        <x:v>Multi-sector</x:v>
      </x:c>
      <x:c r="D8" s="30" t="n">
        <x:v>46274</x:v>
      </x:c>
      <x:c r="E8" s="30" t="n">
        <x:v>46274.5</x:v>
      </x:c>
      <x:c r="F8" s="27" t="str">
        <x:v>Strong</x:v>
      </x:c>
      <x:c r="G8" s="27" t="str">
        <x:v>Political and policy</x:v>
      </x:c>
      <x:c r="H8" s="27" t="str">
        <x:v>Market breadth, policy expectations and sector leadership</x:v>
      </x:c>
      <x:c r="I8" s="27" t="str">
        <x:v>Mixed to up</x:v>
      </x:c>
      <x:c r="J8" s="27" t="str">
        <x:v>Weeks to months</x:v>
      </x:c>
      <x:c r="K8" s="27" t="n">
        <x:v>4</x:v>
      </x:c>
      <x:c r="L8" s="27" t="n">
        <x:v>1</x:v>
      </x:c>
      <x:c r="M8" s="27" t="str">
        <x:v>WAIT</x:v>
      </x:c>
      <x:c r="N8" s="29" t="str">
        <x:v>Cook Political Report shifted 15 House races toward Democrats on September 25 and now says Republicans are on track to lose the House majority; it separately rates Senate control a true toss-up. This independently reinforces the Reuters/Ipsos national signal and competitive-state polling without treating a forecast as an election result.</x:v>
      </x:c>
      <x:c r="O8" s="29" t="str">
        <x:v>Expected changes in fiscal, regulatory and sector policy could alter risk appetite and relative performance.</x:v>
      </x:c>
      <x:c r="P8" s="29" t="str">
        <x:v>Cook's district ratings, the Reuters/Ipsos generic ballot and Reuters' review of late campaign spending now provide independent political confirmation. Republican groups began spending in at least 39 additional House races after internal polling showed risk even in previously safe districts. This reinforces the House-shift signal but does not establish the election result or Senate control. September 29: Associated Press reported Republicans shifting Senate resources from offense toward defending Texas and Ohio as Georgia and North Carolina prospects weakened, adding independent campaign-behavior support for a possible chamber shift.</x:v>
      </x:c>
      <x:c r="Q8" s="29" t="str">
        <x:v>Race ratings, polls, campaign spending and conditional oversight plans are not votes; turnout, candidate quality, district geography and late events can still change control. Cook still calls the Senate a toss-up. On September 28, Brent near $108.50, the 10-year Treasury yield near 5.22% and a 68% implied chance of an October Fed hike strengthened the macro contradiction, while industrials, financials and small caps fell. Cook still shows 50 Republican, 46 Democratic and 4 independent Senate seats in its September 28 ratings summary, and the chamber outcome remains unresolved. Oil near $105 and the 10-year Treasury yield near 5.27% strengthen the adverse inflation-and-rates modifier. September 30: AP documented a roughly 40% nationwide Republican advertising-spending advantage from September 1 through Election Day and a meaningful Republican spending edge in New Hampshire, where the open Senate race is pivotal. This challenges assumptions that national Democratic enthusiasm will translate cleanly into Senate control.</x:v>
      </x:c>
      <x:c r="R8" s="29"/>
      <x:c r="S8" s="29" t="str">
        <x:v>September 29 near 10:57 a.m. ET: SPY -0.02%, RSP -0.30%, IWM -0.31%, XLI +0.21%, XLB -0.60%, XLV -1.13%, XBI -0.70%, XLF -0.43% and CPER +0.48%. Reuters reported more decliners than advancers on both major exchanges and the 10-year Treasury yield near 5.08%. The premarket health-care and biotech strength reversed, equal weight and small caps lagged SPY, and only XLI and copper were positive. This does not confirm broad post-election-risk participation. September 30 premarket and prior-close evidence remains adverse: the 10-year Treasury yield was near 5.24%, small caps had fallen more than the S&amp;P 500 on September 29, and broad participation remained weak despite major indexes staying near records.</x:v>
      </x:c>
      <x:c r="T8" s="29" t="str">
        <x:v>Conditional only: RSP versus SPY remains the central breadth test. XLI regained limited relative strength and CPER was positive, but neither confirms the broad mechanism. XLV/XBI reversed their premarket gains; IWM, XLB and XLF remain unconfirmed. WAIT until political evidence stays intact, rates and oil stabilize, and participation broadens. No real trade is authorized.</x:v>
      </x:c>
      <x:c r="U8" s="29" t="str">
        <x:v>Political-control uncertainty remains unresolved, or breadth fails to broaden; earnings revisions weaken; oil and inflation stay elevated; Treasury yields hold above 5%; or the candidate sectors fail to outperform SPY as the election approaches.</x:v>
      </x:c>
      <x:c r="V8" s="43" t="n">
        <x:v>46274</x:v>
      </x:c>
      <x:c r="W8" s="43" t="n">
        <x:v>46310</x:v>
      </x:c>
      <x:c r="X8" s="43"/>
      <x:c r="Y8" s="29"/>
      <x:c r="Z8" s="29"/>
      <x:c r="AA8" s="29"/>
      <x:c r="AB8" s="29"/>
      <x:c r="AC8" s="29"/>
      <x:c r="AD8" s="29" t="str">
        <x:v>Strong at financial-thesis confidence 4/5 and trading edge 1/5. September 29 added independent campaign-allocation support for a possible Senate shift, but live market evidence remained adverse: RSP and IWM lagged SPY, the premarket health-care/biotech advance reversed, and declining issues outnumbered advancing issues. XLI and copper showed isolated relative strength, not broad confirmation. Entry Window remains WAIT and inactive because the thesis is not Actionable. Initial Prediction Frozen was not changed. September 30 added a credible Senate-map contradiction from New Hampshire financing and continued weak breadth with the 10-year yield near 5.24%. The House-shift case remains supported, but Senate control and investable breadth are unresolved. Stage remains Strong, confidence 4/5, trading edge 1/5 and Entry Window WAIT.</x:v>
      </x:c>
      <x:c r="AE8" s="31" t="str">
        <x:f>IF(COUNTA(Y8:AC8)=0,"",COUNTIF(Y8:AC8,"Yes")/COUNTA(Y8:AC8))</x:f>
      </x:c>
    </x:row>
    <x:row r="9">
      <x:c r="A9" s="27" t="str">
        <x:v>EEI-2026-004</x:v>
      </x:c>
      <x:c r="B9" s="27" t="str">
        <x:v>Energy inflation and higher-for-longer rates</x:v>
      </x:c>
      <x:c r="C9" s="27" t="str">
        <x:v>Macro and fixed income</x:v>
      </x:c>
      <x:c r="D9" s="30" t="n">
        <x:v>46276.51043981482</x:v>
      </x:c>
      <x:c r="E9" s="30" t="n">
        <x:v>46276.51043981482</x:v>
      </x:c>
      <x:c r="F9" s="27" t="str">
        <x:v>Closed</x:v>
      </x:c>
      <x:c r="G9" s="27" t="str">
        <x:v>Economic data and market repricing</x:v>
      </x:c>
      <x:c r="H9" s="27" t="str">
        <x:v>U.S. producer inflation, Fed policy expectations and long-term Treasury yields</x:v>
      </x:c>
      <x:c r="I9" s="27" t="str">
        <x:v>Up</x:v>
      </x:c>
      <x:c r="J9" s="27" t="str">
        <x:v>Days to weeks</x:v>
      </x:c>
      <x:c r="K9" s="27" t="n">
        <x:v>4</x:v>
      </x:c>
      <x:c r="L9" s="27" t="n">
        <x:v>1</x:v>
      </x:c>
      <x:c r="M9" s="27" t="str">
        <x:v>WAIT</x:v>
      </x:c>
      <x:c r="N9" s="29" t="str">
        <x:v>Triple-digit crude and widened physical premiums reinforced the energy-inflation channel before the September 16 Federal Reserve decision.</x:v>
      </x:c>
      <x:c r="O9" s="29" t="str">
        <x:v>Higher fuel, freight and replacement-barrel costs can pass into producer prices and inflation expectations, keeping policy expectations and term yields elevated and pressuring long-duration bonds.</x:v>
      </x:c>
      <x:c r="P9" s="29" t="str">
        <x:v>The Federal Reserve raised the federal-funds target range 25 basis points to 3.75%-4.00% on September 16 in a unanimous 12-0 decision and said inflation remains elevated. Most policymakers projected at least one additional increase in 2026.</x:v>
      </x:c>
      <x:c r="Q9" s="29" t="str">
        <x:v>The hike was widely expected. Long-duration Treasury yields edged lower after the decision while equity futures rose, weakening TBF as the clean expression. A temporary supply shock, growth slowdown, repaired energy logistics or later policy reversal could limit the thesis.</x:v>
      </x:c>
      <x:c r="R9" s="29"/>
      <x:c r="S9" s="29" t="str">
        <x:v>Economic and policy confirmation strengthened, but market confirmation for the long-yield expression weakened: short yields rose while longer yields eased and equity futures advanced. The rate path was largely priced before the announcement.</x:v>
      </x:c>
      <x:c r="T9" s="29" t="str">
        <x:v>TBF only after a non-gap yield breakout holds or after a retracement that preserves the inflation thesis; SGOV or BIL remain defensive cash-like alternatives. TLT becomes relevant only if the thesis invalidates. Duration, policy-reversal and daily-pricing risks apply.</x:v>
      </x:c>
      <x:c r="U9" s="29" t="str">
        <x:v>Oil and physical premiums retreat and remain lower, the Fed signals it will look through the shock, hike expectations fall, and long yields fail to hold their breakout.</x:v>
      </x:c>
      <x:c r="V9" s="43" t="str">
        <x:v>2026-09-11: Energy-led producer inflation will keep Fed expectations and long Treasury yields biased upward over days to weeks, causing long-duration bonds to underperform short-duration Treasury exposure. Initial Entry Window: WAIT pending CPI and a non-chasing setup.</x:v>
      </x:c>
      <x:c r="W9" s="43"/>
      <x:c r="X9" s="43" t="n">
        <x:v>46283</x:v>
      </x:c>
      <x:c r="Y9" s="29" t="str">
        <x:v>Yes</x:v>
      </x:c>
      <x:c r="Z9" s="29" t="str">
        <x:v>No</x:v>
      </x:c>
      <x:c r="AA9" s="29" t="str">
        <x:v>Yes</x:v>
      </x:c>
      <x:c r="AB9" s="29" t="str">
        <x:v>No</x:v>
      </x:c>
      <x:c r="AC9" s="29" t="str">
        <x:v>Yes</x:v>
      </x:c>
      <x:c r="AD9" s="29" t="str">
        <x:v>Closed after the scheduled September 18 evaluation. Economic variable: Yes — energy inflation and tighter policy expectations were economically relevant, and the Federal Reserve raised its target range 25 basis points. Direction: No — the predicted rise in long-term Treasury yields did not hold; the 10-year yield fell back below 5%. Timing: Yes — the policy and bond-market responses occurred inside the days-to-weeks horizon. Investment expression: No — TBF fell while TLT rose, so the intended long-duration-underperformance expression failed. Entry discipline: Yes — WAIT prevented entry into the failed expression. No real trade was made.</x:v>
      </x:c>
      <x:c r="AE9" s="31" t="n">
        <x:f>IF(COUNTA(Y9:AC9)=0,"",COUNTIF(Y9:AC9,"Yes")/COUNTA(Y9:AC9))</x:f>
        <x:v>0.6</x:v>
      </x:c>
    </x:row>
    <x:row r="10">
      <x:c r="A10" s="27" t="str">
        <x:v>EEI-2026-005</x:v>
      </x:c>
      <x:c r="B10" s="27" t="str">
        <x:v>Bristol Myers growth-portfolio offset</x:v>
      </x:c>
      <x:c r="C10" s="27" t="str">
        <x:v>Healthcare</x:v>
      </x:c>
      <x:c r="D10" s="30" t="n">
        <x:v>46278</x:v>
      </x:c>
      <x:c r="E10" s="30" t="n">
        <x:v>46279.38055555556</x:v>
      </x:c>
      <x:c r="F10" s="27" t="str">
        <x:v>Developing</x:v>
      </x:c>
      <x:c r="G10" s="27" t="str">
        <x:v>Motley Fool idea trigger</x:v>
      </x:c>
      <x:c r="H10" s="27" t="str">
        <x:v>Growth-portfolio revenue and cash flow relative to legacy-drug erosion</x:v>
      </x:c>
      <x:c r="I10" s="27" t="str">
        <x:v>Up relative to legacy decline</x:v>
      </x:c>
      <x:c r="J10" s="27" t="str">
        <x:v>Quarters to years</x:v>
      </x:c>
      <x:c r="K10" s="27" t="n">
        <x:v>3</x:v>
      </x:c>
      <x:c r="L10" s="27" t="n">
        <x:v>3</x:v>
      </x:c>
      <x:c r="M10" s="27" t="str">
        <x:v>WAIT</x:v>
      </x:c>
      <x:c r="N10" s="29" t="str">
        <x:v>A September 13 free Motley Fool article highlighted BMY's yield and growth portfolio as a possible offset to the patent cliff. Motley Fool is recorded only as the trigger, not confirmation.</x:v>
      </x:c>
      <x:c r="O10" s="29" t="str">
        <x:v>If newer medicines keep growing fast enough, aggregate revenue and free cash flow can stabilize despite mature-product erosion, supporting debt reduction and dividend coverage.</x:v>
      </x:c>
      <x:c r="P10" s="29" t="str">
        <x:v>BMY's SEC-filed Q2 release reported total revenue of $13.0 billion, up 6%, Growth Portfolio revenue of $7.6 billion, up 15%, and raised 2026 guidance to $49-$50 billion revenue and $6.75-$7.00 non-GAAP EPS. On September 25, detailed Phase 3 EXCALIBER-RRMM results showed MRD-negative complete response of 41.1% with ZENBEXUS versus 20.7% for the comparator, overall response of 88.9% versus 76.1%, and complete response or better of 45.9% versus 24.9%.</x:v>
      </x:c>
      <x:c r="Q10" s="29" t="str">
        <x:v>Legacy portfolio revenue still fell 4%; major exclusivity losses remain multi-year; long-term debt was about $42.1 billion at quarter-end; and one strong quarter does not prove the portfolio can offset the full patent cliff. ZENBEXUS progression-free-survival confirmation is still ongoing, while Grade 3/4 neutropenia was 84.3% versus 11.3% and Grade 3/4 infections were 39.2% versus 21.6%, limiting commercial certainty.</x:v>
      </x:c>
      <x:c r="R10" s="29"/>
      <x:c r="S10" s="29" t="str">
        <x:v>BMY traded near $63.64 during the scan without a distinct new breakout tied to the article. Fundamental confirmation exists, but sustained post-earnings relative strength and another quarter of growth/FCF evidence are still needed.</x:v>
      </x:c>
      <x:c r="T10" s="29" t="str">
        <x:v>BMY shares are the direct conditional expression; a broad pharma ETF dilutes company-specific upside. WAIT for either another quarter confirming growth-portfolio/FCF durability or a non-chasing pullback that holds after guidance is digested. Dividend, pipeline, patent and leverage risks apply.</x:v>
      </x:c>
      <x:c r="U10" s="29" t="str">
        <x:v>Growth Portfolio growth falls below the pace needed to offset legacy erosion, guidance is cut, operating cash flow weakens, leverage rises, or dividend coverage deteriorates.</x:v>
      </x:c>
      <x:c r="V10" s="43" t="str">
        <x:v>2026-09-14: Newer-product growth will partially offset legacy erosion over coming quarters, but the size and durability of the offset remain unproven. Initial Entry Window: WAIT pending another quarter and cash-flow/debt confirmation.</x:v>
      </x:c>
      <x:c r="W10" s="43" t="n">
        <x:v>46325</x:v>
      </x:c>
      <x:c r="X10" s="43"/>
      <x:c r="Y10" s="29"/>
      <x:c r="Z10" s="29"/>
      <x:c r="AA10" s="29"/>
      <x:c r="AB10" s="29"/>
      <x:c r="AC10" s="29"/>
      <x:c r="AD10" s="29" t="str">
        <x:v>Open. September 27 review added detailed ZENBEXUS Phase 3 response-depth and safety evidence. The result supports the growth-portfolio mechanism but does not yet quantify patent-cliff offset, and confirmatory progression-free survival remains pending. Motley Fool remains trigger only. Stage stays Developing at 3/5 confidence and 3/5 trading edge; Entry Window stays WAIT pending another quarter of growth-portfolio, cash-flow and debt confirmation. Initial Prediction Frozen was not changed.</x:v>
      </x:c>
      <x:c r="AE10" s="31" t="str">
        <x:f>IF(COUNTA(Y10:AC10)=0,"",COUNTIF(Y10:AC10,"Yes")/COUNTA(Y10:AC10))</x:f>
      </x:c>
    </x:row>
    <x:row r="11">
      <x:c r="A11" s="27" t="str">
        <x:v>EEI-2026-006</x:v>
      </x:c>
      <x:c r="B11" s="27" t="str">
        <x:v>lululemon turnaround and demand stabilization</x:v>
      </x:c>
      <x:c r="C11" s="27" t="str">
        <x:v>Consumer discretionary</x:v>
      </x:c>
      <x:c r="D11" s="30" t="n">
        <x:v>46278</x:v>
      </x:c>
      <x:c r="E11" s="30" t="n">
        <x:v>46279.38055555556</x:v>
      </x:c>
      <x:c r="F11" s="27" t="str">
        <x:v>Hypothesis</x:v>
      </x:c>
      <x:c r="G11" s="27" t="str">
        <x:v>Motley Fool idea trigger</x:v>
      </x:c>
      <x:c r="H11" s="27" t="str">
        <x:v>Comparable sales, inventory quality and gross margin</x:v>
      </x:c>
      <x:c r="I11" s="27" t="str">
        <x:v>Stabilize then up</x:v>
      </x:c>
      <x:c r="J11" s="27" t="str">
        <x:v>Two to six quarters</x:v>
      </x:c>
      <x:c r="K11" s="27" t="n">
        <x:v>2</x:v>
      </x:c>
      <x:c r="L11" s="27" t="n">
        <x:v>2</x:v>
      </x:c>
      <x:c r="M11" s="27" t="str">
        <x:v>WAIT</x:v>
      </x:c>
      <x:c r="N11" s="29" t="str">
        <x:v>A September 13 free Motley Fool article argued that LULU may be nearing a bottom as a new chief executive begins a turnaround. Motley Fool is the idea trigger only.</x:v>
      </x:c>
      <x:c r="O11" s="29" t="str">
        <x:v>Product and brand repair could restore traffic and comparable sales, improve inventory productivity and rebuild gross margin, allowing depressed earnings expectations to stabilize.</x:v>
      </x:c>
      <x:c r="P11" s="29" t="str">
        <x:v>The valuation and price decline create optionality if operating measures stop worsening; incoming leadership is a potential implementation modifier.</x:v>
      </x:c>
      <x:c r="Q11" s="29" t="str">
        <x:v>Q2 revenue fell about 4% to $2.42 billion, global comparable sales fell 9%, Americas comps fell 12%, gross margin weakened excluding a tariff refund, and full-year revenue guidance was cut to a 5%-7% decline. The core economic variable is still deteriorating.</x:v>
      </x:c>
      <x:c r="R11" s="29"/>
      <x:c r="S11" s="29" t="str">
        <x:v>LULU traded near $98.97, close to recent lows. Low valuation and a large historical drawdown are not market confirmation of a turnaround.</x:v>
      </x:c>
      <x:c r="T11" s="29" t="str">
        <x:v>LULU shares only after comparable sales, inventories and underlying gross margin show a verified turn; consumer-discretionary ETFs are too diluted. WAIT. Brand, fashion-cycle, tariff, margin and falling-knife risks are high.</x:v>
      </x:c>
      <x:c r="U11" s="29" t="str">
        <x:v>Comparable sales and traffic continue to deteriorate, inventories rise faster than sales, underlying gross margin keeps falling, or the new product/leadership plan fails to improve demand.</x:v>
      </x:c>
      <x:c r="V11" s="43" t="str">
        <x:v>2026-09-14: A turnaround could eventually stabilize comparable sales and margins, but current evidence still points down. Initial Entry Window: WAIT until operating data turn rather than valuation alone.</x:v>
      </x:c>
      <x:c r="W11" s="43" t="n">
        <x:v>46360</x:v>
      </x:c>
      <x:c r="X11" s="43"/>
      <x:c r="Y11" s="29"/>
      <x:c r="Z11" s="29"/>
      <x:c r="AA11" s="29"/>
      <x:c r="AB11" s="29"/>
      <x:c r="AC11" s="29"/>
      <x:c r="AD11" s="29" t="str">
        <x:v>Open. The Motley Fool article supplied a research trigger, but primary operating evidence contradicts the thesis. Classified Hypothesis at 2/5 confidence, 2/5 edge, Entry Window WAIT.</x:v>
      </x:c>
      <x:c r="AE11" s="31" t="str">
        <x:f>IF(COUNTA(Y11:AC11)=0,"",COUNTIF(Y11:AC11,"Yes")/COUNTA(Y11:AC11))</x:f>
      </x:c>
    </x:row>
    <x:row r="12">
      <x:c r="A12" s="27" t="str">
        <x:v>EEI-2026-007</x:v>
      </x:c>
      <x:c r="B12" s="27" t="str">
        <x:v>AeroVironment autonomous-systems backlog</x:v>
      </x:c>
      <x:c r="C12" s="27" t="str">
        <x:v>Defense and aerospace</x:v>
      </x:c>
      <x:c r="D12" s="30" t="n">
        <x:v>46274</x:v>
      </x:c>
      <x:c r="E12" s="30" t="n">
        <x:v>46279.38055555556</x:v>
      </x:c>
      <x:c r="F12" s="27" t="str">
        <x:v>Strong</x:v>
      </x:c>
      <x:c r="G12" s="27" t="str">
        <x:v>Motley Fool idea trigger</x:v>
      </x:c>
      <x:c r="H12" s="27" t="str">
        <x:v>Autonomous-systems bookings, backlog conversion and profitable revenue</x:v>
      </x:c>
      <x:c r="I12" s="27" t="str">
        <x:v>Up</x:v>
      </x:c>
      <x:c r="J12" s="27" t="str">
        <x:v>Quarters to years</x:v>
      </x:c>
      <x:c r="K12" s="27" t="n">
        <x:v>4</x:v>
      </x:c>
      <x:c r="L12" s="27" t="n">
        <x:v>2</x:v>
      </x:c>
      <x:c r="M12" s="27" t="str">
        <x:v>WAIT</x:v>
      </x:c>
      <x:c r="N12" s="29" t="str">
        <x:v>A September 9 free Motley Fool article highlighted AVAV's record results and counter-drone demand. Motley Fool is the trigger only; SEC filings supply the confirmation.</x:v>
      </x:c>
      <x:c r="O12" s="29" t="str">
        <x:v>Higher defense demand for autonomous systems and counter-drone capabilities raises bookings and funded backlog, which can convert into revenue and operating leverage if execution and accounting controls hold.</x:v>
      </x:c>
      <x:c r="P12" s="29" t="str">
        <x:v>AVAV's SEC-filed Q1 data showed $480.5 million revenue, Autonomous Systems revenue of $346 million up 21%, bookings of $683 million, a 1.4 book-to-bill ratio and funded backlog near $1.46 billion, with 78% expected in fiscal 2027.</x:v>
      </x:c>
      <x:c r="Q12" s="29" t="str">
        <x:v>Space, Cyber and Directed Energy revenue fell 21%; inventory rose to about $410.8 million; material weaknesses remain; a prior restatement corrected an $87.3 million equity overstatement; convertible debt and a high valuation magnify execution risk.</x:v>
      </x:c>
      <x:c r="R12" s="29"/>
      <x:c r="S12" s="29" t="str">
        <x:v>AVAV traded near $146.71 during the scan. Demand and backlog are confirmed, but valuation and accounting-control risk leave limited evidence of a favorable entry rather than merely a valid business catalyst.</x:v>
      </x:c>
      <x:c r="T12" s="29" t="str">
        <x:v>AVAV shares are the direct conditional expression; defense ETFs dilute the autonomous-systems catalyst. WAIT for clean control remediation and either profitable backlog conversion or a non-chasing valuation reset that holds support. Accounting, contract timing, integration and valuation risks apply.</x:v>
      </x:c>
      <x:c r="U12" s="29" t="str">
        <x:v>Book-to-bill falls below 1 for a sustained period, backlog conversion slips, margins/cash flow fail to improve, material weaknesses persist or expand, or demand shifts away from AVAV programs.</x:v>
      </x:c>
      <x:c r="V12" s="43" t="str">
        <x:v>2026-09-14: Autonomous-systems demand and backlog should support higher revenue over coming quarters, conditional on conversion, profitability and control remediation. Initial Entry Window: WAIT due valuation and accounting risk.</x:v>
      </x:c>
      <x:c r="W12" s="43" t="n">
        <x:v>46366</x:v>
      </x:c>
      <x:c r="X12" s="43"/>
      <x:c r="Y12" s="29"/>
      <x:c r="Z12" s="29"/>
      <x:c r="AA12" s="29"/>
      <x:c r="AB12" s="29"/>
      <x:c r="AC12" s="29"/>
      <x:c r="AD12" s="29" t="str">
        <x:v>Open. Primary SEC evidence supports a Strong thesis at 4/5 confidence, but accounting, profitability and valuation risks limit trading edge to 2/5. Entry Window WAIT.</x:v>
      </x:c>
      <x:c r="AE12" s="31" t="str">
        <x:f>IF(COUNTA(Y12:AC12)=0,"",COUNTIF(Y12:AC12,"Yes")/COUNTA(Y12:AC12))</x:f>
      </x:c>
    </x:row>
    <x:row r="13">
      <x:c r="A13" s="27" t="str">
        <x:v>EEI-2026-008</x:v>
      </x:c>
      <x:c r="B13" s="27" t="str">
        <x:v>U.S. tungsten stockpile and domestic buildout</x:v>
      </x:c>
      <x:c r="C13" s="27" t="str">
        <x:v>Critical minerals and defense</x:v>
      </x:c>
      <x:c r="D13" s="30" t="n">
        <x:v>46279.38055555556</x:v>
      </x:c>
      <x:c r="E13" s="30" t="n">
        <x:v>46279.38055555556</x:v>
      </x:c>
      <x:c r="F13" s="27" t="str">
        <x:v>Actionable</x:v>
      </x:c>
      <x:c r="G13" s="27" t="str">
        <x:v>Government award and industrial policy</x:v>
      </x:c>
      <x:c r="H13" s="27" t="str">
        <x:v>U.S. tungsten procurement, domestic capacity and Elmet contracted revenue</x:v>
      </x:c>
      <x:c r="I13" s="27" t="str">
        <x:v>Up</x:v>
      </x:c>
      <x:c r="J13" s="27" t="str">
        <x:v>Years</x:v>
      </x:c>
      <x:c r="K13" s="27" t="n">
        <x:v>4</x:v>
      </x:c>
      <x:c r="L13" s="27" t="n">
        <x:v>1</x:v>
      </x:c>
      <x:c r="M13" s="27" t="str">
        <x:v>WAIT</x:v>
      </x:c>
      <x:c r="N13" s="29" t="str">
        <x:v>Reuters reported a new Defense Logistics Agency tungsten stockpile award to an Elmet subsidiary with a reported $150 million guaranteed commitment and a potential value near $2 billion. The Department of War separately announced a $450 million preferred-equity investment in Elmet.</x:v>
      </x:c>
      <x:c r="O13" s="29" t="str">
        <x:v>Government procurement and preferred-equity capital can accelerate domestic tungsten processing, mining and component capacity. Greater domestic capacity should reduce exposure to a China-dominated strategic-material chokepoint over a multi-year horizon.</x:v>
      </x:c>
      <x:c r="P13" s="29" t="str">
        <x:v>The Department of War confirmed a $450 million redeemable preferred-equity investment and said Elmet supports more than 100 defense programs. Reuters separately reported the DLA award. Elmet's latest filing confirms a company still early in its public transition and dependent on project execution.</x:v>
      </x:c>
      <x:c r="Q13" s="29" t="str">
        <x:v>A primary USAspending award identifier, action type, NAICS/PSC, competition status, period of performance and exact obligation schedule were still not publicly indexed. Government warrants may reach 19.9% and most preferred-equity funding is milestone-dependent. Scale-up, dilution and execution risks remain material.</x:v>
      </x:c>
      <x:c r="R13" s="29" t="str">
        <x:v>No external expert enhancer was required; the thesis rests on primary government records, company filings and independent reporting.</x:v>
      </x:c>
      <x:c r="S13" s="29" t="str">
        <x:v>Elmet closed September 14 at $21.56, up about 33% on record volume and above its prior price structure. This confirms market recognition but sharply increases headline-chasing and reversal risk.</x:v>
      </x:c>
      <x:c r="T13" s="29" t="str">
        <x:v>ELMT is the most direct public-company expression but only after an orderly consolidation or retracement and fuller award/SEC documentation. Broader critical-minerals exposure can dilute tungsten specificity. Direct tungsten is not a practical liquid retail expression.</x:v>
      </x:c>
      <x:c r="U13" s="29" t="str">
        <x:v>Material reduction or cancellation of the government commitments, milestone failure, uneconomic Springer restart, severe dilution, or procurement redirection away from domestic tungsten.</x:v>
      </x:c>
      <x:c r="V13" s="43" t="str">
        <x:v>2026-09-14: The reported guaranteed procurement and financing should raise U.S. tungsten capacity and Elmet contracted revenue over years, but timing and per-share value depend on award documentation, project execution and dilution. Initial Entry Window: WAIT.</x:v>
      </x:c>
      <x:c r="W13" s="43" t="n">
        <x:v>46310</x:v>
      </x:c>
      <x:c r="X13" s="43"/>
      <x:c r="Y13" s="29"/>
      <x:c r="Z13" s="29"/>
      <x:c r="AA13" s="29"/>
      <x:c r="AB13" s="29"/>
      <x:c r="AC13" s="29"/>
      <x:c r="AD13" s="29" t="str">
        <x:v>Open. September 18 was an interim documentation checkpoint, not the multi-year outcome horizon. The government financing and procurement mechanism remains supported, but the formal outcome fields stay blank. Entry Window remains WAIT because ELMT still trades well above the pre-announcement structure and the primary USAspending award identifier, obligation schedule, competition details and full capital terms remain incomplete. Next documentation checkpoint: October 15.</x:v>
      </x:c>
      <x:c r="AE13" s="31" t="str">
        <x:f>IF(COUNTA(Y13:AC13)=0,"",COUNTIF(Y13:AC13,"Yes")/COUNTA(Y13:AC13))</x:f>
      </x:c>
    </x:row>
    <x:row r="14">
      <x:c r="A14" s="27" t="str">
        <x:v>EEI-2026-009</x:v>
      </x:c>
      <x:c r="B14" s="27" t="str">
        <x:v>Global diesel scarcity and refining margins</x:v>
      </x:c>
      <x:c r="C14" s="27" t="str">
        <x:v>Energy / refined products</x:v>
      </x:c>
      <x:c r="D14" s="30" t="n">
        <x:v>46281.32777777778</x:v>
      </x:c>
      <x:c r="E14" s="30" t="n">
        <x:v>46281.32777777778</x:v>
      </x:c>
      <x:c r="F14" s="27" t="str">
        <x:v>Actionable</x:v>
      </x:c>
      <x:c r="G14" s="27" t="str">
        <x:v>Supply chain and market dislocation</x:v>
      </x:c>
      <x:c r="H14" s="27" t="str">
        <x:v>Global diesel crack spreads, distillate inventories and refinery margins</x:v>
      </x:c>
      <x:c r="I14" s="27" t="str">
        <x:v>Up</x:v>
      </x:c>
      <x:c r="J14" s="27" t="str">
        <x:v>Days to months</x:v>
      </x:c>
      <x:c r="K14" s="27" t="n">
        <x:v>5</x:v>
      </x:c>
      <x:c r="L14" s="27" t="n">
        <x:v>1</x:v>
      </x:c>
      <x:c r="M14" s="27" t="str">
        <x:v>WAIT</x:v>
      </x:c>
      <x:c r="N14" s="29" t="str">
        <x:v>Serbia said on September 24 that it would release about 5,000 metric tons of diesel from state reserves because of the global shortage. Danube fuel imports had fallen to roughly 25%-30% of planned August volume as low water restricted barge loads. September 30: Russia extended its diesel-export ban for producers through the end of October, tightening a market in which Russia is normally the second-largest diesel exporter.</x:v>
      </x:c>
      <x:c r="O14" s="29" t="str">
        <x:v>Disrupted Middle East and Russian product flows, low European inventories and constrained export availability force buyers to bid for scarce distillates. Refiners with reliable feedstock and operating capacity can capture wider diesel cracks, although crude disruption can also limit throughput.</x:v>
      </x:c>
      <x:c r="P14" s="29" t="str">
        <x:v>Physical confirmation strengthened. Serbia announced an emergency diesel-reserve release; low Danube water limited barges to roughly 30%-40% of normal capacity and sharply reduced planned fuel imports. European diesel futures remained near all-time highs, and U.S. distillate stocks fell 428,000 barrels to 107.4 million. Disrupted Middle East and Russian product flows remain the core support. On September 28 Brent rose 3.82% to $108.30 and WTI rose 3.81% to $95.93 after the United States rejected Iran's peace proposal. Capital Economics said the market remained in deficit despite improving Hormuz flows. Russia's government extended the producer diesel-export ban through October after refinery disruptions and domestic shortages. Tight product markets continued to support Brent and refined-product prices even as Middle East crude exports recovered.</x:v>
      </x:c>
      <x:c r="Q14" s="29" t="str">
        <x:v>The White House denied that a 90-day U.S. diesel-export ban was being prepared, removing one immediate policy shock. U.S. crude inventories rose about 3 million barrels. Saudi bypass-pipeline restoration, diplomacy and longer-run Russian Vostok Oil supply can improve crude availability, while demand destruction, substitution and refinery operating constraints can cap investable margins. Middle East crude exports rebounded to 12.8 million barrels per day in September, the highest since the war began, as Saudi Arabia and the UAE raised shipments; U.S.-Iran talks were expected to continue. This improves crude availability but does not resolve the separate refined-product shortage. September 29: the U.S. considered broader sales of red-dyed diesel as an alternative to an export ban, a domestic-price relief option that avoids a new global export shock. Middle East crude exports remained recovered at 12.8 million barrels per day. Middle East crude exports recovered toward 2025 averages and visible Qatar-linked LNG traffic increased. These developments reduce the crude and logistics scarcity component, although they have not restored refined-product supply or ended Russia's export restriction.</x:v>
      </x:c>
      <x:c r="R14" s="29"/>
      <x:c r="S14" s="29" t="str">
        <x:v>The underlying commodity signal strengthened before the U.S. cash-market open: Reuters reported Brent up about 2.36% to $105.51 and WTI up 1.89% to $93.90, with European diesel futures near all-time highs. The prior session showed a roughly 5% diesel-futures reversal around conflicting export-ban headlines, confirming scarcity but also severe policy and headline volatility. September 28 premarket confirmation strengthened the scarcity signal but weakened entry quality: Brent and WTI each rose about 3.8% on rejected peace terms, reinforcing headline sensitivity and the WAIT classification. September 29: Brent held near $105 and WTI near $92; expected U.S. distillate inventories were unchanged. Scarcity remains supported, but the absence of a fresh physical tightening and extended prices keep the entry unattractive. September 30: active Brent December traded near $96-$97 and WTI near $90 while Reuters described tight fuel markets despite recovering Gulf crude supply. The diesel mechanism strengthened, but extended prices and policy volatility still weaken the entry.</x:v>
      </x:c>
      <x:c r="T14" s="29" t="str">
        <x:v>Conditional only after an orderly consolidation or retracement while inventories, backwardation and cracks remain elevated. CRAK is the diversified refining expression. VLO, MPC and PSX add company-specific execution and valuation risk. Direct diesel or gasoil futures are cleaner but introduce leverage, roll, liquidity and contract-specification risks.</x:v>
      </x:c>
      <x:c r="U14" s="29" t="str">
        <x:v>Diesel cracks and backwardation normalize as inventories and exports recover, Saudi and Russian flows normalize, demand falls materially, or refinery operating constraints prevent margins from converting into cash flow.</x:v>
      </x:c>
      <x:c r="V14" s="43" t="str">
        <x:v>2026-09-16: Global diesel crack spreads and refinery margins will remain elevated over coming weeks to months as Middle East and Russian product disruptions keep distillate supply tight, but investable equity expressions may underperform the commodity economics. Initial Entry Window: WAIT because margins and prices are already at records and clean retail exposure is limited.</x:v>
      </x:c>
      <x:c r="W14" s="43" t="n">
        <x:v>46296</x:v>
      </x:c>
      <x:c r="X14" s="43"/>
      <x:c r="Y14" s="29"/>
      <x:c r="Z14" s="29"/>
      <x:c r="AA14" s="29"/>
      <x:c r="AB14" s="29"/>
      <x:c r="AC14" s="29"/>
      <x:c r="AD14" s="29" t="str">
        <x:v>Open. Serbia's state-reserve release and sharply impaired Danube imports add direct physical and government-response confirmation to global diesel scarcity. Near-record European diesel and falling U.S. distillate stocks support the economic variable, while the White House export-ban denial and normalization options reduce the incremental policy shock. Stage remains Actionable, confidence 5/5, trading edge 1/5 and Entry Window WAIT. Prices are extended and headline-sensitive; require an orderly retracement or consolidation with inventories, exports and physical cracks still confirming. Invalidate on sustained normalization in exports, inventories, logistics and cracks. September 28 review: the economic thesis remains supported, but higher crude exports and continued talks are credible normalization modifiers. Stage remains Actionable, confidence 5/5, trading edge 1/5 and Entry Window WAIT. September 29 review added red-dyed-diesel regulatory relief as a policy modifier. Stage remains Actionable, confidence 5/5, trading edge 1/5 and Entry Window WAIT. September 30 review: Russia's extension of its diesel-export ban is material new policy confirmation for the physical scarcity thesis. Recovering Gulf crude exports remain the strongest counterweight. Stage stays Actionable, confidence 5/5, trading edge 1/5 and Entry Window WAIT because prices remain extended and headline-sensitive.</x:v>
      </x:c>
      <x:c r="AE14" s="31" t="str">
        <x:f>IF(COUNTA(Y14:AC14)=0,"",COUNTIF(Y14:AC14,"Yes")/COUNTA(Y14:AC14))</x:f>
      </x:c>
    </x:row>
    <x:row r="15">
      <x:c r="A15" s="27" t="str">
        <x:v>EEI-2026-010</x:v>
      </x:c>
      <x:c r="B15" s="27" t="str">
        <x:v>EU electrical-steel safeguards and transformer economics</x:v>
      </x:c>
      <x:c r="C15" s="27" t="str">
        <x:v>Industrials / grid infrastructure</x:v>
      </x:c>
      <x:c r="D15" s="30" t="n">
        <x:v>46284</x:v>
      </x:c>
      <x:c r="E15" s="30" t="n">
        <x:v>46284.33085648148</x:v>
      </x:c>
      <x:c r="F15" s="27" t="str">
        <x:v>Developing</x:v>
      </x:c>
      <x:c r="G15" s="27" t="str">
        <x:v>Trade policy and supply chain</x:v>
      </x:c>
      <x:c r="H15" s="27" t="str">
        <x:v>European GOES and transformer-core pricing, utilization and input costs</x:v>
      </x:c>
      <x:c r="I15" s="27" t="str">
        <x:v>Up</x:v>
      </x:c>
      <x:c r="J15" s="27" t="str">
        <x:v>Months</x:v>
      </x:c>
      <x:c r="K15" s="27" t="n">
        <x:v>3</x:v>
      </x:c>
      <x:c r="L15" s="27" t="n">
        <x:v>2</x:v>
      </x:c>
      <x:c r="M15" s="27" t="str">
        <x:v>WAIT</x:v>
      </x:c>
      <x:c r="N15" s="29" t="str">
        <x:v>The European Commission imposed provisional tariff-rate quotas and price thresholds on grain-oriented electrical steel, laminations and transformer cores, effective September 25. The measure protects the full transformer-core value chain rather than raw steel alone.</x:v>
      </x:c>
      <x:c r="O15" s="29" t="str">
        <x:v>Higher landed costs and quota constraints on low-priced imports can lift pricing and utilization for the remaining European GOES and core producers. Covering cores already incorporated in transformers may also raise downstream transformer input costs and change procurement behavior.</x:v>
      </x:c>
      <x:c r="P15" s="29" t="str">
        <x:v>The European Commission said urgent measures were needed after an investigation found heavy import pressure on a strategic EU industry. Reuters independently reported minimum prices of roughly EUR2,800-EUR3,400 per metric ton inside quotas and EUR3,500 above them, named Thyssenkrupp Steel Europe and Stalprodukt as likely beneficiaries, and noted prior production stops caused by imports sold at reported 25% discounts.</x:v>
      </x:c>
      <x:c r="Q15" s="29" t="str">
        <x:v>The measure is provisional, lasts 155 days and needs a qualified majority of EU member states for definitive adoption. Quotas and thresholds may not bind if import prices rise or demand weakens. There is no clean liquid U.S. expression; Thyssenkrupp is a diversified restructuring story and Stalprodukt is foreign and relatively illiquid. Transformer manufacturers may pass costs through, source elsewhere or benefit from protection on finished cores.</x:v>
      </x:c>
      <x:c r="R15" s="29"/>
      <x:c r="S15" s="29" t="str">
        <x:v>No reliable post-announcement market confirmation is available because the measure was announced late Friday and the review is occurring before the next European session. Prior producer weakness supports the economic problem but not an entry.</x:v>
      </x:c>
      <x:c r="T15" s="29" t="str">
        <x:v>Conditional research only: Thyssenkrupp or its ADR offers indirect exposure to TKSE but adds conglomerate and restructuring risk; Warsaw-listed Stalprodukt is more direct but adds foreign-market and liquidity risk. European transformer manufacturers could benefit from finished-core protection yet face higher inputs. WAIT for final-measure visibility, evidence that quotas or price floors bind, producer utilization or margin confirmation, and a non-chasing price structure.</x:v>
      </x:c>
      <x:c r="U15" s="29" t="str">
        <x:v>The provisional measure lapses or fails the member-state vote; quotas and thresholds do not bind; EU GOES or core utilization and margins fail to improve; transformer costs or lead times do not rise; or import substitution and demand weakness offset the protection.</x:v>
      </x:c>
      <x:c r="V15" s="43" t="str">
        <x:v>2026-09-19: EU tariff quotas and price thresholds should raise protected European GOES and transformer-core pricing or utilization, and may lift transformer input costs over coming months, conditional on the measures binding and surviving the provisional period. Initial Entry Window: WAIT because final adoption, company-level materiality and a clean liquid expression are not yet established.</x:v>
      </x:c>
      <x:c r="W15" s="43" t="n">
        <x:v>46310</x:v>
      </x:c>
      <x:c r="X15" s="43"/>
      <x:c r="Y15" s="29"/>
      <x:c r="Z15" s="29"/>
      <x:c r="AA15" s="29"/>
      <x:c r="AB15" s="29"/>
      <x:c r="AC15" s="29"/>
      <x:c r="AD15" s="29" t="str">
        <x:v>Open. New Developing thesis at confidence 3/5 and trading edge 2/5. Primary and independent reporting confirm the mechanism, but the 155-day provisional term, member-state vote, uncertain company-level pass-through and poor instrument purity keep Entry Window WAIT. Next check: first post-announcement market reaction, quota utilization, producer guidance and progress toward definitive EU adoption.</x:v>
      </x:c>
      <x:c r="AE15" s="31" t="str">
        <x:f>IF(COUNTA(Y15:AC15)=0,"",COUNTIF(Y15:AC15,"Yes")/COUNTA(Y15:AC15))</x:f>
      </x:c>
    </x:row>
    <x:row r="16">
      <x:c r="A16" s="27" t="str">
        <x:v>EEI-2026-011</x:v>
      </x:c>
      <x:c r="B16" s="27" t="str">
        <x:v>Gulf tanker shortage and VLCC freight</x:v>
      </x:c>
      <x:c r="C16" s="27" t="str">
        <x:v>Energy / shipping</x:v>
      </x:c>
      <x:c r="D16" s="30" t="n">
        <x:v>46286</x:v>
      </x:c>
      <x:c r="E16" s="30" t="n">
        <x:v>46286.35158564815</x:v>
      </x:c>
      <x:c r="F16" s="27" t="str">
        <x:v>Strong</x:v>
      </x:c>
      <x:c r="G16" s="27" t="str">
        <x:v>Supply chain and energy logistics</x:v>
      </x:c>
      <x:c r="H16" s="27" t="str">
        <x:v>VLCC utilization, spot freight rates and tanker earnings</x:v>
      </x:c>
      <x:c r="I16" s="27" t="str">
        <x:v>Up</x:v>
      </x:c>
      <x:c r="J16" s="27" t="str">
        <x:v>Weeks to months</x:v>
      </x:c>
      <x:c r="K16" s="27" t="n">
        <x:v>4</x:v>
      </x:c>
      <x:c r="L16" s="27" t="n">
        <x:v>1</x:v>
      </x:c>
      <x:c r="M16" s="27" t="str">
        <x:v>WAIT</x:v>
      </x:c>
      <x:c r="N16" s="29" t="str">
        <x:v>Record VLCC rates and a new ship-to-ship shuttle system around Hormuz show that continued oil exports are consuming far more tanker capacity. Trafigura also launched a 14-vessel tanker arm and plans an Oslo listing to capture the changed economics.</x:v>
      </x:c>
      <x:c r="O16" s="29" t="str">
        <x:v>Repeated short shuttle voyages, cargo transfers, longer routes and conflict-zone risk absorb vessel-days and raise charter scarcity. Tanker owners with spot exposure can earn higher rates while producers and refiners bear more freight cost.</x:v>
      </x:c>
      <x:c r="P16" s="29" t="str">
        <x:v>Reuters reported Iraqi officials saying transport costs rose from about $26 to $37 per barrel amid vessel scarcity. Saudi Arabia disputed Iraq's claim that it had bought 25 tankers but attributed exceptional shipping costs to the regional war and Hormuz disruption. Traffic remained well below pre-conflict norms and attacks continued, supporting the physical freight variable. September 29: Gulf exports still relied on inefficient, costly ship-to-ship transfers even as aggregate Middle East exports recovered, preserving the vessel-day mechanism.</x:v>
      </x:c>
      <x:c r="Q16" s="29" t="str">
        <x:v>France said it was drafting with the United States a possible U.N. Security Council resolution for an international mission to restore commercial movement through Hormuz. Earlier initiatives did not secure China and Russia, and no implementation timetable was provided. Saudi bypass-pipeline restoration, diplomacy, producer-owned fleets and newbuilds remain material reversal risks. Middle East crude exports rebounded to 12.8 million barrels per day in September, the highest since the war began, as Saudi Arabia and the UAE raised shipments through improving Hormuz flows. This can reduce the disruption premium even if higher volumes temporarily absorb tanker capacity. Recovered Middle East exports and renewed U.S.-Iran mediation continue to raise route-normalization risk; no fresh verified VLCC-rate evidence established a stronger listed-equity setup.</x:v>
      </x:c>
      <x:c r="R16" s="29"/>
      <x:c r="S16" s="29" t="str">
        <x:v>Exceptional freight remains observable, but delayed U.S. quotes weakened: FRO about -3.83% and DHT -4.72%. The economic variable is still supported by higher reported transport costs, while listed tanker equities and normalization proposals do not confirm a favorable entry. September 28 crude gains confirmed renewed geopolitical risk, but no fresh verified VLCC-rate or listed-tanker cash-flow evidence established a better entry.</x:v>
      </x:c>
      <x:c r="T16" s="29" t="str">
        <x:v>Conditional research only: FRO and DHT for crude-tanker exposure; BOAT is broader and dilutes VLCC specificity. STNG is more product-tanker focused. Volare may become a direct Oslo-listed expression only after final offering documents and trading history exist. Company leverage, vessel age, charter mix, dilution and cyclicality matter.</x:v>
      </x:c>
      <x:c r="U16" s="29" t="str">
        <x:v>Hormuz and Red Sea routes normalize, shuttle transfers unwind, VLCC spot rates retreat toward pre-shock levels, fleet availability rises faster than demand, or company earnings fail to convert record freight into cash flow.</x:v>
      </x:c>
      <x:c r="V16" s="43" t="str">
        <x:v>2026-09-21: Conflict-driven shuttle transfers and longer routes will keep VLCC utilization and spot freight rates elevated over coming weeks to months, but public tanker equities may not track the freight spike cleanly. Initial Entry Window: WAIT because rates are at records and equities already carry event and reversal risk.</x:v>
      </x:c>
      <x:c r="W16" s="43" t="n">
        <x:v>46300</x:v>
      </x:c>
      <x:c r="X16" s="43"/>
      <x:c r="Y16" s="29"/>
      <x:c r="Z16" s="29"/>
      <x:c r="AA16" s="29"/>
      <x:c r="AB16" s="29"/>
      <x:c r="AC16" s="29"/>
      <x:c r="AD16" s="29" t="str">
        <x:v>Open. September 23 strengthened physical freight confirmation but not the investable entry. Iraq reported sharply higher transport costs, while Saudi Arabia confirmed exceptional shipping costs even as it rejected a tanker-purchase claim. A proposed international Hormuz mission and bypass-pipeline restoration could release vessel-days. Stage remains Strong, confidence 4/5, trading edge 1/5 and Entry Window WAIT. Next check: verified route normalization, sustained VLCC/Aframax rates and listed-tanker cash conversion. September 28 review: export recovery and ongoing diplomacy increase normalization risk, while the freight mechanism remains plausible. Stage stays Strong, confidence 4/5, trading edge 1/5 and Entry Window WAIT. September 29 review preserved the freight mechanism but added no stage, confidence, edge or Entry Window change. Strong 4/5, trading edge 1/5, WAIT.</x:v>
      </x:c>
      <x:c r="AE16" s="31" t="str">
        <x:f>IF(COUNTA(Y16:AC16)=0,"",COUNTIF(Y16:AC16,"Yes")/COUNTA(Y16:AC16))</x:f>
      </x:c>
    </x:row>
    <x:row r="17">
      <x:c r="A17" s="27" t="str">
        <x:v>EEI-2026-012</x:v>
      </x:c>
      <x:c r="B17" s="27" t="str">
        <x:v>RTX AMRAAM multiyear production ramp</x:v>
      </x:c>
      <x:c r="C17" s="27" t="str">
        <x:v>Defense and aerospace</x:v>
      </x:c>
      <x:c r="D17" s="30" t="n">
        <x:v>46290.166666666664</x:v>
      </x:c>
      <x:c r="E17" s="30" t="n">
        <x:v>46294.50347222222</x:v>
      </x:c>
      <x:c r="F17" s="27" t="str">
        <x:v>Strong</x:v>
      </x:c>
      <x:c r="G17" s="27" t="str">
        <x:v>Government award and defense industrial policy</x:v>
      </x:c>
      <x:c r="H17" s="27" t="str">
        <x:v>Raytheon AMRAAM backlog, production volume and recognized defense revenue</x:v>
      </x:c>
      <x:c r="I17" s="27" t="str">
        <x:v>Up</x:v>
      </x:c>
      <x:c r="J17" s="27" t="str">
        <x:v>One to seven years</x:v>
      </x:c>
      <x:c r="K17" s="27" t="n">
        <x:v>4</x:v>
      </x:c>
      <x:c r="L17" s="27" t="n">
        <x:v>1</x:v>
      </x:c>
      <x:c r="M17" s="27" t="str">
        <x:v>WAIT</x:v>
      </x:c>
      <x:c r="N17" s="29" t="str">
        <x:v>The Air Force awarded Raytheon a new sole-source, not-to-exceed $20.699 billion multiyear AMRAAM contract through June 2033. The award covers all-up rounds, guidance sections, direct charges and foreign-military-sales offsets; about $154.35 million was obligated at award.</x:v>
      </x:c>
      <x:c r="O17" s="29" t="str">
        <x:v>Funded missile orders and capacity investment can raise AMRAAM output, Raytheon backlog and recognized defense revenue over multiple years. The same production ramp can support suppliers, but RTX is the only clean named public recipient.</x:v>
      </x:c>
      <x:c r="P17" s="29" t="str">
        <x:v>The Department of War contract notice identifies award FA8556-26-C-B001 as a sole-source multiyear action, and RTX confirmed a five-year term plus two option years. RTX said 2025 output nearly doubled and the program targets at least 1,900 missiles annually. RTX had already reported $119 billion of defense backlog and 18% Raytheon sales growth in Q2.</x:v>
      </x:c>
      <x:c r="Q17" s="29" t="str">
        <x:v>The $20.699 billion figure is a ceiling, not funded revenue. Only about $154.35 million was obligated initially; the action is partly undefinitized and Congress has not appropriated the full multiyear amount. February production agreements made the ramp partly expected, while fixed-price execution, supply-chain capacity and margin conversion remain material risks.</x:v>
      </x:c>
      <x:c r="R17" s="29"/>
      <x:c r="S17" s="29" t="str">
        <x:v>RTX rose about 1.3% after hours on the announcement but was near $187.66 at the scan, without a distinct sustained breakout. Market recognition is positive but modest relative to the headline ceiling, consistent with the small initial obligation and prior expectations.</x:v>
      </x:c>
      <x:c r="T17" s="29" t="str">
        <x:v>RTX is the direct conditional expression. Broad defense ETFs dilute AMRAAM exposure. WAIT for larger funded obligations, appropriations and backlog-to-revenue evidence, or an orderly non-headline pullback or consolidation. Valuation, fixed-price execution, supply-chain and capital-allocation risks remain.</x:v>
      </x:c>
      <x:c r="U17" s="29" t="str">
        <x:v>Congress fails to fund the multiyear plan, obligations remain immaterial, production does not approach the 1,900-unit goal, cost overruns or supplier constraints compress margins, or backlog fails to convert into cash flow.</x:v>
      </x:c>
      <x:c r="V17" s="43" t="str">
        <x:v>2026-09-29: The new AMRAAM award should increase Raytheon funded backlog, production volume and recognized defense revenue over one to seven years, but the $20.699 billion ceiling will convert only as Congress funds orders and RTX executes deliveries. Initial Entry Window: WAIT because only about $154.35 million was initially obligated, the ramp was partly anticipated and valuation leaves limited unpriced edge.</x:v>
      </x:c>
      <x:c r="W17" s="43" t="n">
        <x:v>46325.166666666664</x:v>
      </x:c>
      <x:c r="X17" s="43"/>
      <x:c r="Y17" s="29"/>
      <x:c r="Z17" s="29"/>
      <x:c r="AA17" s="29"/>
      <x:c r="AB17" s="29"/>
      <x:c r="AC17" s="29"/>
      <x:c r="AD17" s="29" t="str">
        <x:v>Open. New Strong thesis at confidence 4/5 and trading edge 1/5. Primary government and company records establish the award and production mechanism; limited initial obligations, appropriation risk, partial prior anticipation and fixed-price execution risk keep Entry Window WAIT. No real trade is authorized.</x:v>
      </x:c>
      <x:c r="AE17" s="31" t="str">
        <x:f>IF(COUNTA(Y17:AC17)=0,"",COUNTIF(Y17:AC17,"Yes")/COUNTA(Y17:AC17))</x:f>
      </x:c>
    </x:row>
    <x:row r="18">
      <x:c r="A18" s="27" t="str">
        <x:v>EEI-2026-013</x:v>
      </x:c>
      <x:c r="B18" s="27" t="str">
        <x:v>Boeing F/A-XX development and defense backlog</x:v>
      </x:c>
      <x:c r="C18" s="27" t="str">
        <x:v>Defense and aerospace</x:v>
      </x:c>
      <x:c r="D18" s="30" t="n">
        <x:v>46295.51619212963</x:v>
      </x:c>
      <x:c r="E18" s="30" t="n">
        <x:v>46295.51619212963</x:v>
      </x:c>
      <x:c r="F18" s="27" t="str">
        <x:v>Strong</x:v>
      </x:c>
      <x:c r="G18" s="27" t="str">
        <x:v>Government contract award</x:v>
      </x:c>
      <x:c r="H18" s="27" t="str">
        <x:v>Boeing defense development backlog and funded revenue conversion</x:v>
      </x:c>
      <x:c r="I18" s="27" t="str">
        <x:v>Up</x:v>
      </x:c>
      <x:c r="J18" s="27" t="str">
        <x:v>Years</x:v>
      </x:c>
      <x:c r="K18" s="27" t="n">
        <x:v>4</x:v>
      </x:c>
      <x:c r="L18" s="27" t="n">
        <x:v>1</x:v>
      </x:c>
      <x:c r="M18" s="27" t="str">
        <x:v>WAIT</x:v>
      </x:c>
      <x:c r="N18" s="29" t="str">
        <x:v>The Pentagon selected Boeing for the Navy's F/A-XX next-generation stealth fighter development contract, reported at about $20 billion for test aircraft. The program could become much larger if production proceeds in the 2030s.</x:v>
      </x:c>
      <x:c r="O18" s="29" t="str">
        <x:v>A large new development program can sustain Boeing's St. Louis fighter engineering and production base, expand Defense, Space &amp; Security backlog and create long-duration revenue if appropriations, engineering milestones and later production awards convert into funded work.</x:v>
      </x:c>
      <x:c r="P18" s="29" t="str">
        <x:v>Reuters reported the Pentagon's selection and a roughly $20 billion development value. Congress had already provided $750 million in the 2025 spending law and another $1.4 billion for fiscal 2026. Boeing's Q2 filing reported $7.5 billion of quarterly Defense, Space &amp; Security revenue and $715 billion of total company backlog, establishing company-scale context.</x:v>
      </x:c>
      <x:c r="Q18" s="29" t="str">
        <x:v>The public announcement did not disclose an award identifier, current obligated amount, NAICS or PSC, detailed period of performance or contract type. The Navy previously considered a delay because of engineering and supply-chain capacity; first production is not expected until the 2030s. Boeing is simultaneously developing the Air Force F-47, its defense segment remained near break-even, and the FAA's MAX 10 delay shows material company-wide execution risk.</x:v>
      </x:c>
      <x:c r="R18" s="29" t="str"/>
      <x:c r="S18" s="29" t="str">
        <x:v>Boeing rose about 2.25% after hours and roughly 2.1% premarket, while Northrop Grumman fell about 3.5%. The immediate reaction confirms importance but also shows that part of the award was repriced quickly.</x:v>
      </x:c>
      <x:c r="T18" s="29" t="str">
        <x:v>BA is the direct conditional expression, but commercial-aircraft, certification, labor, balance-sheet and fixed-price defense risks dilute the F/A-XX catalyst. WAIT for disclosed funding and backlog treatment, a clearer contract structure and evidence that defense margins can absorb parallel sixth-generation programs without a headline-chasing entry.</x:v>
      </x:c>
      <x:c r="U18" s="29" t="str">
        <x:v>The award is delayed, materially underfunded, reduced or reversed; engineering capacity prevents simultaneous F-47 and F/A-XX execution; cost overruns erase margin; or funded backlog and defense cash flow fail to improve.</x:v>
      </x:c>
      <x:c r="V18" s="43" t="str">
        <x:v>2026-09-30: The F/A-XX selection should increase Boeing's long-duration defense backlog and preserve its fighter franchise, but revenue and margin conversion depend on appropriations, undisclosed contract terms and execution across two sixth-generation programs. Initial Entry Window: WAIT pending funded backlog disclosure and non-headline price confirmation.</x:v>
      </x:c>
      <x:c r="W18" s="43" t="n">
        <x:v>46325.5</x:v>
      </x:c>
      <x:c r="X18" s="43"/>
      <x:c r="Y18" s="29"/>
      <x:c r="Z18" s="29"/>
      <x:c r="AA18" s="29"/>
      <x:c r="AB18" s="29"/>
      <x:c r="AC18" s="29"/>
      <x:c r="AD18" s="29" t="str">
        <x:v>Open. New Strong thesis at confidence 4/5 and trading edge 1/5. The Pentagon selection and program value are material, but the public record lacks the award identifier, obligated amount, contract type and detailed performance period. Market reaction was immediate and Boeing retains substantial commercial and defense execution risk. Entry Window WAIT. No real trade is authorized.</x:v>
      </x:c>
      <x:c r="AE18" s="31" t="str">
        <x:f>IF(COUNTA(Y18:AC18)=0,"",COUNTIF(Y18:AC18,"Yes")/COUNTA(Y18:AC18))</x:f>
      </x:c>
    </x:row>
    <x:row r="19">
      <x:c r="A19" s="27"/>
      <x:c r="B19" s="27"/>
      <x:c r="C19" s="27"/>
      <x:c r="D19" s="30"/>
      <x:c r="E19" s="30"/>
      <x:c r="F19" s="27"/>
      <x:c r="G19" s="27"/>
      <x:c r="H19" s="27"/>
      <x:c r="I19" s="27"/>
      <x:c r="J19" s="27"/>
      <x:c r="K19" s="27"/>
      <x:c r="L19" s="27"/>
      <x:c r="M19" s="27"/>
      <x:c r="N19" s="29"/>
      <x:c r="O19" s="29"/>
      <x:c r="P19" s="29"/>
      <x:c r="Q19" s="29"/>
      <x:c r="R19" s="29"/>
      <x:c r="S19" s="29"/>
      <x:c r="T19" s="29"/>
      <x:c r="U19" s="29"/>
      <x:c r="V19" s="43"/>
      <x:c r="W19" s="43"/>
      <x:c r="X19" s="43"/>
      <x:c r="Y19" s="29"/>
      <x:c r="Z19" s="29"/>
      <x:c r="AA19" s="29"/>
      <x:c r="AB19" s="29"/>
      <x:c r="AC19" s="29"/>
      <x:c r="AD19" s="29"/>
      <x:c r="AE19" s="31" t="str">
        <x:f>IF(COUNTA(Y19:AC19)=0,"",COUNTIF(Y19:AC19,"Yes")/COUNTA(Y19:AC19))</x:f>
      </x:c>
    </x:row>
    <x:row r="20">
      <x:c r="A20" s="27"/>
      <x:c r="B20" s="27"/>
      <x:c r="C20" s="27"/>
      <x:c r="D20" s="30"/>
      <x:c r="E20" s="30"/>
      <x:c r="F20" s="27"/>
      <x:c r="G20" s="27"/>
      <x:c r="H20" s="27"/>
      <x:c r="I20" s="27"/>
      <x:c r="J20" s="27"/>
      <x:c r="K20" s="27"/>
      <x:c r="L20" s="27"/>
      <x:c r="M20" s="27"/>
      <x:c r="N20" s="29"/>
      <x:c r="O20" s="29"/>
      <x:c r="P20" s="29"/>
      <x:c r="Q20" s="29"/>
      <x:c r="R20" s="29"/>
      <x:c r="S20" s="29"/>
      <x:c r="T20" s="29"/>
      <x:c r="U20" s="29"/>
      <x:c r="V20" s="43"/>
      <x:c r="W20" s="43"/>
      <x:c r="X20" s="43"/>
      <x:c r="Y20" s="29"/>
      <x:c r="Z20" s="29"/>
      <x:c r="AA20" s="29"/>
      <x:c r="AB20" s="29"/>
      <x:c r="AC20" s="29"/>
      <x:c r="AD20" s="29"/>
      <x:c r="AE20" s="31" t="str">
        <x:f>IF(COUNTA(Y20:AC20)=0,"",COUNTIF(Y20:AC20,"Yes")/COUNTA(Y20:AC20))</x:f>
      </x:c>
    </x:row>
    <x:row r="21">
      <x:c r="A21" s="27"/>
      <x:c r="B21" s="27"/>
      <x:c r="C21" s="27"/>
      <x:c r="D21" s="30"/>
      <x:c r="E21" s="30"/>
      <x:c r="F21" s="27"/>
      <x:c r="G21" s="27"/>
      <x:c r="H21" s="27"/>
      <x:c r="I21" s="27"/>
      <x:c r="J21" s="27"/>
      <x:c r="K21" s="27"/>
      <x:c r="L21" s="27"/>
      <x:c r="M21" s="27"/>
      <x:c r="N21" s="29"/>
      <x:c r="O21" s="29"/>
      <x:c r="P21" s="29"/>
      <x:c r="Q21" s="29"/>
      <x:c r="R21" s="29"/>
      <x:c r="S21" s="29"/>
      <x:c r="T21" s="29"/>
      <x:c r="U21" s="29"/>
      <x:c r="V21" s="43"/>
      <x:c r="W21" s="43"/>
      <x:c r="X21" s="43"/>
      <x:c r="Y21" s="29"/>
      <x:c r="Z21" s="29"/>
      <x:c r="AA21" s="29"/>
      <x:c r="AB21" s="29"/>
      <x:c r="AC21" s="29"/>
      <x:c r="AD21" s="29"/>
      <x:c r="AE21" s="31" t="str">
        <x:f>IF(COUNTA(Y21:AC21)=0,"",COUNTIF(Y21:AC21,"Yes")/COUNTA(Y21:AC21))</x:f>
      </x:c>
    </x:row>
    <x:row r="22">
      <x:c r="A22" s="27"/>
      <x:c r="B22" s="27"/>
      <x:c r="C22" s="27"/>
      <x:c r="D22" s="30"/>
      <x:c r="E22" s="30"/>
      <x:c r="F22" s="27"/>
      <x:c r="G22" s="27"/>
      <x:c r="H22" s="27"/>
      <x:c r="I22" s="27"/>
      <x:c r="J22" s="27"/>
      <x:c r="K22" s="27"/>
      <x:c r="L22" s="27"/>
      <x:c r="M22" s="27"/>
      <x:c r="N22" s="29"/>
      <x:c r="O22" s="29"/>
      <x:c r="P22" s="29"/>
      <x:c r="Q22" s="29"/>
      <x:c r="R22" s="29"/>
      <x:c r="S22" s="29"/>
      <x:c r="T22" s="29"/>
      <x:c r="U22" s="29"/>
      <x:c r="V22" s="43"/>
      <x:c r="W22" s="43"/>
      <x:c r="X22" s="43"/>
      <x:c r="Y22" s="29"/>
      <x:c r="Z22" s="29"/>
      <x:c r="AA22" s="29"/>
      <x:c r="AB22" s="29"/>
      <x:c r="AC22" s="29"/>
      <x:c r="AD22" s="29"/>
      <x:c r="AE22" s="31" t="str">
        <x:f>IF(COUNTA(Y22:AC22)=0,"",COUNTIF(Y22:AC22,"Yes")/COUNTA(Y22:AC22))</x:f>
      </x:c>
    </x:row>
    <x:row r="23">
      <x:c r="A23" s="27"/>
      <x:c r="B23" s="27"/>
      <x:c r="C23" s="27"/>
      <x:c r="D23" s="30"/>
      <x:c r="E23" s="30"/>
      <x:c r="F23" s="27"/>
      <x:c r="G23" s="27"/>
      <x:c r="H23" s="27"/>
      <x:c r="I23" s="27"/>
      <x:c r="J23" s="27"/>
      <x:c r="K23" s="27"/>
      <x:c r="L23" s="27"/>
      <x:c r="M23" s="27"/>
      <x:c r="N23" s="29"/>
      <x:c r="O23" s="29"/>
      <x:c r="P23" s="29"/>
      <x:c r="Q23" s="29"/>
      <x:c r="R23" s="29"/>
      <x:c r="S23" s="29"/>
      <x:c r="T23" s="29"/>
      <x:c r="U23" s="29"/>
      <x:c r="V23" s="43"/>
      <x:c r="W23" s="43"/>
      <x:c r="X23" s="43"/>
      <x:c r="Y23" s="29"/>
      <x:c r="Z23" s="29"/>
      <x:c r="AA23" s="29"/>
      <x:c r="AB23" s="29"/>
      <x:c r="AC23" s="29"/>
      <x:c r="AD23" s="29"/>
      <x:c r="AE23" s="31" t="str">
        <x:f>IF(COUNTA(Y23:AC23)=0,"",COUNTIF(Y23:AC23,"Yes")/COUNTA(Y23:AC23))</x:f>
      </x:c>
    </x:row>
    <x:row r="24">
      <x:c r="A24" s="27"/>
      <x:c r="B24" s="27"/>
      <x:c r="C24" s="27"/>
      <x:c r="D24" s="30"/>
      <x:c r="E24" s="30"/>
      <x:c r="F24" s="27"/>
      <x:c r="G24" s="27"/>
      <x:c r="H24" s="27"/>
      <x:c r="I24" s="27"/>
      <x:c r="J24" s="27"/>
      <x:c r="K24" s="27"/>
      <x:c r="L24" s="27"/>
      <x:c r="M24" s="27"/>
      <x:c r="N24" s="29"/>
      <x:c r="O24" s="29"/>
      <x:c r="P24" s="29"/>
      <x:c r="Q24" s="29"/>
      <x:c r="R24" s="29"/>
      <x:c r="S24" s="29"/>
      <x:c r="T24" s="29"/>
      <x:c r="U24" s="29"/>
      <x:c r="V24" s="43"/>
      <x:c r="W24" s="43"/>
      <x:c r="X24" s="43"/>
      <x:c r="Y24" s="29"/>
      <x:c r="Z24" s="29"/>
      <x:c r="AA24" s="29"/>
      <x:c r="AB24" s="29"/>
      <x:c r="AC24" s="29"/>
      <x:c r="AD24" s="29"/>
      <x:c r="AE24" s="31" t="str">
        <x:f>IF(COUNTA(Y24:AC24)=0,"",COUNTIF(Y24:AC24,"Yes")/COUNTA(Y24:AC24))</x:f>
      </x:c>
    </x:row>
    <x:row r="25">
      <x:c r="A25" s="27"/>
      <x:c r="B25" s="27"/>
      <x:c r="C25" s="27"/>
      <x:c r="D25" s="30"/>
      <x:c r="E25" s="30"/>
      <x:c r="F25" s="27"/>
      <x:c r="G25" s="27"/>
      <x:c r="H25" s="27"/>
      <x:c r="I25" s="27"/>
      <x:c r="J25" s="27"/>
      <x:c r="K25" s="27"/>
      <x:c r="L25" s="27"/>
      <x:c r="M25" s="27"/>
      <x:c r="N25" s="29"/>
      <x:c r="O25" s="29"/>
      <x:c r="P25" s="29"/>
      <x:c r="Q25" s="29"/>
      <x:c r="R25" s="29"/>
      <x:c r="S25" s="29"/>
      <x:c r="T25" s="29"/>
      <x:c r="U25" s="29"/>
      <x:c r="V25" s="43"/>
      <x:c r="W25" s="43"/>
      <x:c r="X25" s="43"/>
      <x:c r="Y25" s="29"/>
      <x:c r="Z25" s="29"/>
      <x:c r="AA25" s="29"/>
      <x:c r="AB25" s="29"/>
      <x:c r="AC25" s="29"/>
      <x:c r="AD25" s="29"/>
      <x:c r="AE25" s="31" t="str">
        <x:f>IF(COUNTA(Y25:AC25)=0,"",COUNTIF(Y25:AC25,"Yes")/COUNTA(Y25:AC25))</x:f>
      </x:c>
    </x:row>
    <x:row r="26">
      <x:c r="A26" s="27"/>
      <x:c r="B26" s="27"/>
      <x:c r="C26" s="27"/>
      <x:c r="D26" s="30"/>
      <x:c r="E26" s="30"/>
      <x:c r="F26" s="27"/>
      <x:c r="G26" s="27"/>
      <x:c r="H26" s="27"/>
      <x:c r="I26" s="27"/>
      <x:c r="J26" s="27"/>
      <x:c r="K26" s="27"/>
      <x:c r="L26" s="27"/>
      <x:c r="M26" s="27"/>
      <x:c r="N26" s="29"/>
      <x:c r="O26" s="29"/>
      <x:c r="P26" s="29"/>
      <x:c r="Q26" s="29"/>
      <x:c r="R26" s="29"/>
      <x:c r="S26" s="29"/>
      <x:c r="T26" s="29"/>
      <x:c r="U26" s="29"/>
      <x:c r="V26" s="43"/>
      <x:c r="W26" s="43"/>
      <x:c r="X26" s="43"/>
      <x:c r="Y26" s="29"/>
      <x:c r="Z26" s="29"/>
      <x:c r="AA26" s="29"/>
      <x:c r="AB26" s="29"/>
      <x:c r="AC26" s="29"/>
      <x:c r="AD26" s="29"/>
      <x:c r="AE26" s="31" t="str">
        <x:f>IF(COUNTA(Y26:AC26)=0,"",COUNTIF(Y26:AC26,"Yes")/COUNTA(Y26:AC26))</x:f>
      </x:c>
    </x:row>
    <x:row r="27">
      <x:c r="A27" s="27"/>
      <x:c r="B27" s="27"/>
      <x:c r="C27" s="27"/>
      <x:c r="D27" s="30"/>
      <x:c r="E27" s="30"/>
      <x:c r="F27" s="27"/>
      <x:c r="G27" s="27"/>
      <x:c r="H27" s="27"/>
      <x:c r="I27" s="27"/>
      <x:c r="J27" s="27"/>
      <x:c r="K27" s="27"/>
      <x:c r="L27" s="27"/>
      <x:c r="M27" s="27"/>
      <x:c r="N27" s="29"/>
      <x:c r="O27" s="29"/>
      <x:c r="P27" s="29"/>
      <x:c r="Q27" s="29"/>
      <x:c r="R27" s="29"/>
      <x:c r="S27" s="29"/>
      <x:c r="T27" s="29"/>
      <x:c r="U27" s="29"/>
      <x:c r="V27" s="43"/>
      <x:c r="W27" s="43"/>
      <x:c r="X27" s="43"/>
      <x:c r="Y27" s="29"/>
      <x:c r="Z27" s="29"/>
      <x:c r="AA27" s="29"/>
      <x:c r="AB27" s="29"/>
      <x:c r="AC27" s="29"/>
      <x:c r="AD27" s="29"/>
      <x:c r="AE27" s="31" t="str">
        <x:f>IF(COUNTA(Y27:AC27)=0,"",COUNTIF(Y27:AC27,"Yes")/COUNTA(Y27:AC27))</x:f>
      </x:c>
    </x:row>
    <x:row r="28">
      <x:c r="A28" s="27"/>
      <x:c r="B28" s="27"/>
      <x:c r="C28" s="27"/>
      <x:c r="D28" s="30"/>
      <x:c r="E28" s="30"/>
      <x:c r="F28" s="27"/>
      <x:c r="G28" s="27"/>
      <x:c r="H28" s="27"/>
      <x:c r="I28" s="27"/>
      <x:c r="J28" s="27"/>
      <x:c r="K28" s="27"/>
      <x:c r="L28" s="27"/>
      <x:c r="M28" s="27"/>
      <x:c r="N28" s="29"/>
      <x:c r="O28" s="29"/>
      <x:c r="P28" s="29"/>
      <x:c r="Q28" s="29"/>
      <x:c r="R28" s="29"/>
      <x:c r="S28" s="29"/>
      <x:c r="T28" s="29"/>
      <x:c r="U28" s="29"/>
      <x:c r="V28" s="43"/>
      <x:c r="W28" s="43"/>
      <x:c r="X28" s="43"/>
      <x:c r="Y28" s="29"/>
      <x:c r="Z28" s="29"/>
      <x:c r="AA28" s="29"/>
      <x:c r="AB28" s="29"/>
      <x:c r="AC28" s="29"/>
      <x:c r="AD28" s="29"/>
      <x:c r="AE28" s="31" t="str">
        <x:f>IF(COUNTA(Y28:AC28)=0,"",COUNTIF(Y28:AC28,"Yes")/COUNTA(Y28:AC28))</x:f>
      </x:c>
    </x:row>
    <x:row r="29">
      <x:c r="A29" s="27"/>
      <x:c r="B29" s="27"/>
      <x:c r="C29" s="27"/>
      <x:c r="D29" s="30"/>
      <x:c r="E29" s="30"/>
      <x:c r="F29" s="27"/>
      <x:c r="G29" s="27"/>
      <x:c r="H29" s="27"/>
      <x:c r="I29" s="27"/>
      <x:c r="J29" s="27"/>
      <x:c r="K29" s="27"/>
      <x:c r="L29" s="27"/>
      <x:c r="M29" s="27"/>
      <x:c r="N29" s="29"/>
      <x:c r="O29" s="29"/>
      <x:c r="P29" s="29"/>
      <x:c r="Q29" s="29"/>
      <x:c r="R29" s="29"/>
      <x:c r="S29" s="29"/>
      <x:c r="T29" s="29"/>
      <x:c r="U29" s="29"/>
      <x:c r="V29" s="43"/>
      <x:c r="W29" s="43"/>
      <x:c r="X29" s="43"/>
      <x:c r="Y29" s="29"/>
      <x:c r="Z29" s="29"/>
      <x:c r="AA29" s="29"/>
      <x:c r="AB29" s="29"/>
      <x:c r="AC29" s="29"/>
      <x:c r="AD29" s="29"/>
      <x:c r="AE29" s="31" t="str">
        <x:f>IF(COUNTA(Y29:AC29)=0,"",COUNTIF(Y29:AC29,"Yes")/COUNTA(Y29:AC29))</x:f>
      </x:c>
    </x:row>
    <x:row r="30">
      <x:c r="A30" s="27"/>
      <x:c r="B30" s="27"/>
      <x:c r="C30" s="27"/>
      <x:c r="D30" s="30"/>
      <x:c r="E30" s="30"/>
      <x:c r="F30" s="27"/>
      <x:c r="G30" s="27"/>
      <x:c r="H30" s="27"/>
      <x:c r="I30" s="27"/>
      <x:c r="J30" s="27"/>
      <x:c r="K30" s="27"/>
      <x:c r="L30" s="27"/>
      <x:c r="M30" s="27"/>
      <x:c r="N30" s="29"/>
      <x:c r="O30" s="29"/>
      <x:c r="P30" s="29"/>
      <x:c r="Q30" s="29"/>
      <x:c r="R30" s="29"/>
      <x:c r="S30" s="29"/>
      <x:c r="T30" s="29"/>
      <x:c r="U30" s="29"/>
      <x:c r="V30" s="43"/>
      <x:c r="W30" s="43"/>
      <x:c r="X30" s="43"/>
      <x:c r="Y30" s="29"/>
      <x:c r="Z30" s="29"/>
      <x:c r="AA30" s="29"/>
      <x:c r="AB30" s="29"/>
      <x:c r="AC30" s="29"/>
      <x:c r="AD30" s="29"/>
      <x:c r="AE30" s="31" t="str">
        <x:f>IF(COUNTA(Y30:AC30)=0,"",COUNTIF(Y30:AC30,"Yes")/COUNTA(Y30:AC30))</x:f>
      </x:c>
    </x:row>
    <x:row r="31">
      <x:c r="A31" s="27"/>
      <x:c r="B31" s="27"/>
      <x:c r="C31" s="27"/>
      <x:c r="D31" s="30"/>
      <x:c r="E31" s="30"/>
      <x:c r="F31" s="27"/>
      <x:c r="G31" s="27"/>
      <x:c r="H31" s="27"/>
      <x:c r="I31" s="27"/>
      <x:c r="J31" s="27"/>
      <x:c r="K31" s="27"/>
      <x:c r="L31" s="27"/>
      <x:c r="M31" s="27"/>
      <x:c r="N31" s="29"/>
      <x:c r="O31" s="29"/>
      <x:c r="P31" s="29"/>
      <x:c r="Q31" s="29"/>
      <x:c r="R31" s="29"/>
      <x:c r="S31" s="29"/>
      <x:c r="T31" s="29"/>
      <x:c r="U31" s="29"/>
      <x:c r="V31" s="43"/>
      <x:c r="W31" s="43"/>
      <x:c r="X31" s="43"/>
      <x:c r="Y31" s="29"/>
      <x:c r="Z31" s="29"/>
      <x:c r="AA31" s="29"/>
      <x:c r="AB31" s="29"/>
      <x:c r="AC31" s="29"/>
      <x:c r="AD31" s="29"/>
      <x:c r="AE31" s="31" t="str">
        <x:f>IF(COUNTA(Y31:AC31)=0,"",COUNTIF(Y31:AC31,"Yes")/COUNTA(Y31:AC31))</x:f>
      </x:c>
    </x:row>
    <x:row r="32">
      <x:c r="A32" s="27"/>
      <x:c r="B32" s="27"/>
      <x:c r="C32" s="27"/>
      <x:c r="D32" s="30"/>
      <x:c r="E32" s="30"/>
      <x:c r="F32" s="27"/>
      <x:c r="G32" s="27"/>
      <x:c r="H32" s="27"/>
      <x:c r="I32" s="27"/>
      <x:c r="J32" s="27"/>
      <x:c r="K32" s="27"/>
      <x:c r="L32" s="27"/>
      <x:c r="M32" s="27"/>
      <x:c r="N32" s="29"/>
      <x:c r="O32" s="29"/>
      <x:c r="P32" s="29"/>
      <x:c r="Q32" s="29"/>
      <x:c r="R32" s="29"/>
      <x:c r="S32" s="29"/>
      <x:c r="T32" s="29"/>
      <x:c r="U32" s="29"/>
      <x:c r="V32" s="43"/>
      <x:c r="W32" s="43"/>
      <x:c r="X32" s="43"/>
      <x:c r="Y32" s="29"/>
      <x:c r="Z32" s="29"/>
      <x:c r="AA32" s="29"/>
      <x:c r="AB32" s="29"/>
      <x:c r="AC32" s="29"/>
      <x:c r="AD32" s="29"/>
      <x:c r="AE32" s="31" t="str">
        <x:f>IF(COUNTA(Y32:AC32)=0,"",COUNTIF(Y32:AC32,"Yes")/COUNTA(Y32:AC32))</x:f>
      </x:c>
    </x:row>
    <x:row r="33">
      <x:c r="A33" s="27"/>
      <x:c r="B33" s="27"/>
      <x:c r="C33" s="27"/>
      <x:c r="D33" s="30"/>
      <x:c r="E33" s="30"/>
      <x:c r="F33" s="27"/>
      <x:c r="G33" s="27"/>
      <x:c r="H33" s="27"/>
      <x:c r="I33" s="27"/>
      <x:c r="J33" s="27"/>
      <x:c r="K33" s="27"/>
      <x:c r="L33" s="27"/>
      <x:c r="M33" s="27"/>
      <x:c r="N33" s="29"/>
      <x:c r="O33" s="29"/>
      <x:c r="P33" s="29"/>
      <x:c r="Q33" s="29"/>
      <x:c r="R33" s="29"/>
      <x:c r="S33" s="29"/>
      <x:c r="T33" s="29"/>
      <x:c r="U33" s="29"/>
      <x:c r="V33" s="43"/>
      <x:c r="W33" s="43"/>
      <x:c r="X33" s="43"/>
      <x:c r="Y33" s="29"/>
      <x:c r="Z33" s="29"/>
      <x:c r="AA33" s="29"/>
      <x:c r="AB33" s="29"/>
      <x:c r="AC33" s="29"/>
      <x:c r="AD33" s="29"/>
      <x:c r="AE33" s="31" t="str">
        <x:f>IF(COUNTA(Y33:AC33)=0,"",COUNTIF(Y33:AC33,"Yes")/COUNTA(Y33:AC33))</x:f>
      </x:c>
    </x:row>
    <x:row r="34">
      <x:c r="A34" s="27"/>
      <x:c r="B34" s="27"/>
      <x:c r="C34" s="27"/>
      <x:c r="D34" s="30"/>
      <x:c r="E34" s="30"/>
      <x:c r="F34" s="27"/>
      <x:c r="G34" s="27"/>
      <x:c r="H34" s="27"/>
      <x:c r="I34" s="27"/>
      <x:c r="J34" s="27"/>
      <x:c r="K34" s="27"/>
      <x:c r="L34" s="27"/>
      <x:c r="M34" s="27"/>
      <x:c r="N34" s="29"/>
      <x:c r="O34" s="29"/>
      <x:c r="P34" s="29"/>
      <x:c r="Q34" s="29"/>
      <x:c r="R34" s="29"/>
      <x:c r="S34" s="29"/>
      <x:c r="T34" s="29"/>
      <x:c r="U34" s="29"/>
      <x:c r="V34" s="43"/>
      <x:c r="W34" s="43"/>
      <x:c r="X34" s="43"/>
      <x:c r="Y34" s="29"/>
      <x:c r="Z34" s="29"/>
      <x:c r="AA34" s="29"/>
      <x:c r="AB34" s="29"/>
      <x:c r="AC34" s="29"/>
      <x:c r="AD34" s="29"/>
      <x:c r="AE34" s="31" t="str">
        <x:f>IF(COUNTA(Y34:AC34)=0,"",COUNTIF(Y34:AC34,"Yes")/COUNTA(Y34:AC34))</x:f>
      </x:c>
    </x:row>
    <x:row r="35">
      <x:c r="A35" s="27"/>
      <x:c r="B35" s="27"/>
      <x:c r="C35" s="27"/>
      <x:c r="D35" s="30"/>
      <x:c r="E35" s="30"/>
      <x:c r="F35" s="27"/>
      <x:c r="G35" s="27"/>
      <x:c r="H35" s="27"/>
      <x:c r="I35" s="27"/>
      <x:c r="J35" s="27"/>
      <x:c r="K35" s="27"/>
      <x:c r="L35" s="27"/>
      <x:c r="M35" s="27"/>
      <x:c r="N35" s="29"/>
      <x:c r="O35" s="29"/>
      <x:c r="P35" s="29"/>
      <x:c r="Q35" s="29"/>
      <x:c r="R35" s="29"/>
      <x:c r="S35" s="29"/>
      <x:c r="T35" s="29"/>
      <x:c r="U35" s="29"/>
      <x:c r="V35" s="43"/>
      <x:c r="W35" s="43"/>
      <x:c r="X35" s="43"/>
      <x:c r="Y35" s="29"/>
      <x:c r="Z35" s="29"/>
      <x:c r="AA35" s="29"/>
      <x:c r="AB35" s="29"/>
      <x:c r="AC35" s="29"/>
      <x:c r="AD35" s="29"/>
      <x:c r="AE35" s="31" t="str">
        <x:f>IF(COUNTA(Y35:AC35)=0,"",COUNTIF(Y35:AC35,"Yes")/COUNTA(Y35:AC35))</x:f>
      </x:c>
    </x:row>
    <x:row r="36">
      <x:c r="A36" s="27"/>
      <x:c r="B36" s="27"/>
      <x:c r="C36" s="27"/>
      <x:c r="D36" s="30"/>
      <x:c r="E36" s="30"/>
      <x:c r="F36" s="27"/>
      <x:c r="G36" s="27"/>
      <x:c r="H36" s="27"/>
      <x:c r="I36" s="27"/>
      <x:c r="J36" s="27"/>
      <x:c r="K36" s="27"/>
      <x:c r="L36" s="27"/>
      <x:c r="M36" s="27"/>
      <x:c r="N36" s="29"/>
      <x:c r="O36" s="29"/>
      <x:c r="P36" s="29"/>
      <x:c r="Q36" s="29"/>
      <x:c r="R36" s="29"/>
      <x:c r="S36" s="29"/>
      <x:c r="T36" s="29"/>
      <x:c r="U36" s="29"/>
      <x:c r="V36" s="43"/>
      <x:c r="W36" s="43"/>
      <x:c r="X36" s="43"/>
      <x:c r="Y36" s="29"/>
      <x:c r="Z36" s="29"/>
      <x:c r="AA36" s="29"/>
      <x:c r="AB36" s="29"/>
      <x:c r="AC36" s="29"/>
      <x:c r="AD36" s="29"/>
      <x:c r="AE36" s="31" t="str">
        <x:f>IF(COUNTA(Y36:AC36)=0,"",COUNTIF(Y36:AC36,"Yes")/COUNTA(Y36:AC36))</x:f>
      </x:c>
    </x:row>
    <x:row r="37">
      <x:c r="A37" s="27"/>
      <x:c r="B37" s="27"/>
      <x:c r="C37" s="27"/>
      <x:c r="D37" s="30"/>
      <x:c r="E37" s="30"/>
      <x:c r="F37" s="27"/>
      <x:c r="G37" s="27"/>
      <x:c r="H37" s="27"/>
      <x:c r="I37" s="27"/>
      <x:c r="J37" s="27"/>
      <x:c r="K37" s="27"/>
      <x:c r="L37" s="27"/>
      <x:c r="M37" s="27"/>
      <x:c r="N37" s="29"/>
      <x:c r="O37" s="29"/>
      <x:c r="P37" s="29"/>
      <x:c r="Q37" s="29"/>
      <x:c r="R37" s="29"/>
      <x:c r="S37" s="29"/>
      <x:c r="T37" s="29"/>
      <x:c r="U37" s="29"/>
      <x:c r="V37" s="43"/>
      <x:c r="W37" s="43"/>
      <x:c r="X37" s="43"/>
      <x:c r="Y37" s="29"/>
      <x:c r="Z37" s="29"/>
      <x:c r="AA37" s="29"/>
      <x:c r="AB37" s="29"/>
      <x:c r="AC37" s="29"/>
      <x:c r="AD37" s="29"/>
      <x:c r="AE37" s="31" t="str">
        <x:f>IF(COUNTA(Y37:AC37)=0,"",COUNTIF(Y37:AC37,"Yes")/COUNTA(Y37:AC37))</x:f>
      </x:c>
    </x:row>
    <x:row r="38">
      <x:c r="A38" s="27"/>
      <x:c r="B38" s="27"/>
      <x:c r="C38" s="27"/>
      <x:c r="D38" s="30"/>
      <x:c r="E38" s="30"/>
      <x:c r="F38" s="27"/>
      <x:c r="G38" s="27"/>
      <x:c r="H38" s="27"/>
      <x:c r="I38" s="27"/>
      <x:c r="J38" s="27"/>
      <x:c r="K38" s="27"/>
      <x:c r="L38" s="27"/>
      <x:c r="M38" s="27"/>
      <x:c r="N38" s="29"/>
      <x:c r="O38" s="29"/>
      <x:c r="P38" s="29"/>
      <x:c r="Q38" s="29"/>
      <x:c r="R38" s="29"/>
      <x:c r="S38" s="29"/>
      <x:c r="T38" s="29"/>
      <x:c r="U38" s="29"/>
      <x:c r="V38" s="43"/>
      <x:c r="W38" s="43"/>
      <x:c r="X38" s="43"/>
      <x:c r="Y38" s="29"/>
      <x:c r="Z38" s="29"/>
      <x:c r="AA38" s="29"/>
      <x:c r="AB38" s="29"/>
      <x:c r="AC38" s="29"/>
      <x:c r="AD38" s="29"/>
      <x:c r="AE38" s="31" t="str">
        <x:f>IF(COUNTA(Y38:AC38)=0,"",COUNTIF(Y38:AC38,"Yes")/COUNTA(Y38:AC38))</x:f>
      </x:c>
    </x:row>
    <x:row r="39">
      <x:c r="A39" s="27"/>
      <x:c r="B39" s="27"/>
      <x:c r="C39" s="27"/>
      <x:c r="D39" s="30"/>
      <x:c r="E39" s="30"/>
      <x:c r="F39" s="27"/>
      <x:c r="G39" s="27"/>
      <x:c r="H39" s="27"/>
      <x:c r="I39" s="27"/>
      <x:c r="J39" s="27"/>
      <x:c r="K39" s="27"/>
      <x:c r="L39" s="27"/>
      <x:c r="M39" s="27"/>
      <x:c r="N39" s="29"/>
      <x:c r="O39" s="29"/>
      <x:c r="P39" s="29"/>
      <x:c r="Q39" s="29"/>
      <x:c r="R39" s="29"/>
      <x:c r="S39" s="29"/>
      <x:c r="T39" s="29"/>
      <x:c r="U39" s="29"/>
      <x:c r="V39" s="43"/>
      <x:c r="W39" s="43"/>
      <x:c r="X39" s="43"/>
      <x:c r="Y39" s="29"/>
      <x:c r="Z39" s="29"/>
      <x:c r="AA39" s="29"/>
      <x:c r="AB39" s="29"/>
      <x:c r="AC39" s="29"/>
      <x:c r="AD39" s="29"/>
      <x:c r="AE39" s="31" t="str">
        <x:f>IF(COUNTA(Y39:AC39)=0,"",COUNTIF(Y39:AC39,"Yes")/COUNTA(Y39:AC39))</x:f>
      </x:c>
    </x:row>
    <x:row r="40">
      <x:c r="A40" s="27"/>
      <x:c r="B40" s="27"/>
      <x:c r="C40" s="27"/>
      <x:c r="D40" s="30"/>
      <x:c r="E40" s="30"/>
      <x:c r="F40" s="27"/>
      <x:c r="G40" s="27"/>
      <x:c r="H40" s="27"/>
      <x:c r="I40" s="27"/>
      <x:c r="J40" s="27"/>
      <x:c r="K40" s="27"/>
      <x:c r="L40" s="27"/>
      <x:c r="M40" s="27"/>
      <x:c r="N40" s="29"/>
      <x:c r="O40" s="29"/>
      <x:c r="P40" s="29"/>
      <x:c r="Q40" s="29"/>
      <x:c r="R40" s="29"/>
      <x:c r="S40" s="29"/>
      <x:c r="T40" s="29"/>
      <x:c r="U40" s="29"/>
      <x:c r="V40" s="43"/>
      <x:c r="W40" s="43"/>
      <x:c r="X40" s="43"/>
      <x:c r="Y40" s="29"/>
      <x:c r="Z40" s="29"/>
      <x:c r="AA40" s="29"/>
      <x:c r="AB40" s="29"/>
      <x:c r="AC40" s="29"/>
      <x:c r="AD40" s="29"/>
      <x:c r="AE40" s="31" t="str">
        <x:f>IF(COUNTA(Y40:AC40)=0,"",COUNTIF(Y40:AC40,"Yes")/COUNTA(Y40:AC40))</x:f>
      </x:c>
    </x:row>
    <x:row r="41">
      <x:c r="A41" s="27"/>
      <x:c r="B41" s="27"/>
      <x:c r="C41" s="27"/>
      <x:c r="D41" s="30"/>
      <x:c r="E41" s="30"/>
      <x:c r="F41" s="27"/>
      <x:c r="G41" s="27"/>
      <x:c r="H41" s="27"/>
      <x:c r="I41" s="27"/>
      <x:c r="J41" s="27"/>
      <x:c r="K41" s="27"/>
      <x:c r="L41" s="27"/>
      <x:c r="M41" s="27"/>
      <x:c r="N41" s="29"/>
      <x:c r="O41" s="29"/>
      <x:c r="P41" s="29"/>
      <x:c r="Q41" s="29"/>
      <x:c r="R41" s="29"/>
      <x:c r="S41" s="29"/>
      <x:c r="T41" s="29"/>
      <x:c r="U41" s="29"/>
      <x:c r="V41" s="43"/>
      <x:c r="W41" s="43"/>
      <x:c r="X41" s="43"/>
      <x:c r="Y41" s="29"/>
      <x:c r="Z41" s="29"/>
      <x:c r="AA41" s="29"/>
      <x:c r="AB41" s="29"/>
      <x:c r="AC41" s="29"/>
      <x:c r="AD41" s="29"/>
      <x:c r="AE41" s="31" t="str">
        <x:f>IF(COUNTA(Y41:AC41)=0,"",COUNTIF(Y41:AC41,"Yes")/COUNTA(Y41:AC41))</x:f>
      </x:c>
    </x:row>
    <x:row r="42">
      <x:c r="A42" s="27"/>
      <x:c r="B42" s="27"/>
      <x:c r="C42" s="27"/>
      <x:c r="D42" s="30"/>
      <x:c r="E42" s="30"/>
      <x:c r="F42" s="27"/>
      <x:c r="G42" s="27"/>
      <x:c r="H42" s="27"/>
      <x:c r="I42" s="27"/>
      <x:c r="J42" s="27"/>
      <x:c r="K42" s="27"/>
      <x:c r="L42" s="27"/>
      <x:c r="M42" s="27"/>
      <x:c r="N42" s="29"/>
      <x:c r="O42" s="29"/>
      <x:c r="P42" s="29"/>
      <x:c r="Q42" s="29"/>
      <x:c r="R42" s="29"/>
      <x:c r="S42" s="29"/>
      <x:c r="T42" s="29"/>
      <x:c r="U42" s="29"/>
      <x:c r="V42" s="43"/>
      <x:c r="W42" s="43"/>
      <x:c r="X42" s="43"/>
      <x:c r="Y42" s="29"/>
      <x:c r="Z42" s="29"/>
      <x:c r="AA42" s="29"/>
      <x:c r="AB42" s="29"/>
      <x:c r="AC42" s="29"/>
      <x:c r="AD42" s="29"/>
      <x:c r="AE42" s="31" t="str">
        <x:f>IF(COUNTA(Y42:AC42)=0,"",COUNTIF(Y42:AC42,"Yes")/COUNTA(Y42:AC42))</x:f>
      </x:c>
    </x:row>
    <x:row r="43">
      <x:c r="A43" s="27"/>
      <x:c r="B43" s="27"/>
      <x:c r="C43" s="27"/>
      <x:c r="D43" s="30"/>
      <x:c r="E43" s="30"/>
      <x:c r="F43" s="27"/>
      <x:c r="G43" s="27"/>
      <x:c r="H43" s="27"/>
      <x:c r="I43" s="27"/>
      <x:c r="J43" s="27"/>
      <x:c r="K43" s="27"/>
      <x:c r="L43" s="27"/>
      <x:c r="M43" s="27"/>
      <x:c r="N43" s="29"/>
      <x:c r="O43" s="29"/>
      <x:c r="P43" s="29"/>
      <x:c r="Q43" s="29"/>
      <x:c r="R43" s="29"/>
      <x:c r="S43" s="29"/>
      <x:c r="T43" s="29"/>
      <x:c r="U43" s="29"/>
      <x:c r="V43" s="43"/>
      <x:c r="W43" s="43"/>
      <x:c r="X43" s="43"/>
      <x:c r="Y43" s="29"/>
      <x:c r="Z43" s="29"/>
      <x:c r="AA43" s="29"/>
      <x:c r="AB43" s="29"/>
      <x:c r="AC43" s="29"/>
      <x:c r="AD43" s="29"/>
      <x:c r="AE43" s="31" t="str">
        <x:f>IF(COUNTA(Y43:AC43)=0,"",COUNTIF(Y43:AC43,"Yes")/COUNTA(Y43:AC43))</x:f>
      </x:c>
    </x:row>
    <x:row r="44">
      <x:c r="A44" s="27"/>
      <x:c r="B44" s="27"/>
      <x:c r="C44" s="27"/>
      <x:c r="D44" s="30"/>
      <x:c r="E44" s="30"/>
      <x:c r="F44" s="27"/>
      <x:c r="G44" s="27"/>
      <x:c r="H44" s="27"/>
      <x:c r="I44" s="27"/>
      <x:c r="J44" s="27"/>
      <x:c r="K44" s="27"/>
      <x:c r="L44" s="27"/>
      <x:c r="M44" s="27"/>
      <x:c r="N44" s="29"/>
      <x:c r="O44" s="29"/>
      <x:c r="P44" s="29"/>
      <x:c r="Q44" s="29"/>
      <x:c r="R44" s="29"/>
      <x:c r="S44" s="29"/>
      <x:c r="T44" s="29"/>
      <x:c r="U44" s="29"/>
      <x:c r="V44" s="43"/>
      <x:c r="W44" s="43"/>
      <x:c r="X44" s="43"/>
      <x:c r="Y44" s="29"/>
      <x:c r="Z44" s="29"/>
      <x:c r="AA44" s="29"/>
      <x:c r="AB44" s="29"/>
      <x:c r="AC44" s="29"/>
      <x:c r="AD44" s="29"/>
      <x:c r="AE44" s="31" t="str">
        <x:f>IF(COUNTA(Y44:AC44)=0,"",COUNTIF(Y44:AC44,"Yes")/COUNTA(Y44:AC44))</x:f>
      </x:c>
    </x:row>
    <x:row r="45">
      <x:c r="A45" s="27"/>
      <x:c r="B45" s="27"/>
      <x:c r="C45" s="27"/>
      <x:c r="D45" s="30"/>
      <x:c r="E45" s="30"/>
      <x:c r="F45" s="27"/>
      <x:c r="G45" s="27"/>
      <x:c r="H45" s="27"/>
      <x:c r="I45" s="27"/>
      <x:c r="J45" s="27"/>
      <x:c r="K45" s="27"/>
      <x:c r="L45" s="27"/>
      <x:c r="M45" s="27"/>
      <x:c r="N45" s="29"/>
      <x:c r="O45" s="29"/>
      <x:c r="P45" s="29"/>
      <x:c r="Q45" s="29"/>
      <x:c r="R45" s="29"/>
      <x:c r="S45" s="29"/>
      <x:c r="T45" s="29"/>
      <x:c r="U45" s="29"/>
      <x:c r="V45" s="43"/>
      <x:c r="W45" s="43"/>
      <x:c r="X45" s="43"/>
      <x:c r="Y45" s="29"/>
      <x:c r="Z45" s="29"/>
      <x:c r="AA45" s="29"/>
      <x:c r="AB45" s="29"/>
      <x:c r="AC45" s="29"/>
      <x:c r="AD45" s="29"/>
      <x:c r="AE45" s="31" t="str">
        <x:f>IF(COUNTA(Y45:AC45)=0,"",COUNTIF(Y45:AC45,"Yes")/COUNTA(Y45:AC45))</x:f>
      </x:c>
    </x:row>
    <x:row r="46">
      <x:c r="A46" s="27"/>
      <x:c r="B46" s="27"/>
      <x:c r="C46" s="27"/>
      <x:c r="D46" s="30"/>
      <x:c r="E46" s="30"/>
      <x:c r="F46" s="27"/>
      <x:c r="G46" s="27"/>
      <x:c r="H46" s="27"/>
      <x:c r="I46" s="27"/>
      <x:c r="J46" s="27"/>
      <x:c r="K46" s="27"/>
      <x:c r="L46" s="27"/>
      <x:c r="M46" s="27"/>
      <x:c r="N46" s="29"/>
      <x:c r="O46" s="29"/>
      <x:c r="P46" s="29"/>
      <x:c r="Q46" s="29"/>
      <x:c r="R46" s="29"/>
      <x:c r="S46" s="29"/>
      <x:c r="T46" s="29"/>
      <x:c r="U46" s="29"/>
      <x:c r="V46" s="43"/>
      <x:c r="W46" s="43"/>
      <x:c r="X46" s="43"/>
      <x:c r="Y46" s="29"/>
      <x:c r="Z46" s="29"/>
      <x:c r="AA46" s="29"/>
      <x:c r="AB46" s="29"/>
      <x:c r="AC46" s="29"/>
      <x:c r="AD46" s="29"/>
      <x:c r="AE46" s="31" t="str">
        <x:f>IF(COUNTA(Y46:AC46)=0,"",COUNTIF(Y46:AC46,"Yes")/COUNTA(Y46:AC46))</x:f>
      </x:c>
    </x:row>
    <x:row r="47">
      <x:c r="A47" s="27"/>
      <x:c r="B47" s="27"/>
      <x:c r="C47" s="27"/>
      <x:c r="D47" s="30"/>
      <x:c r="E47" s="30"/>
      <x:c r="F47" s="27"/>
      <x:c r="G47" s="27"/>
      <x:c r="H47" s="27"/>
      <x:c r="I47" s="27"/>
      <x:c r="J47" s="27"/>
      <x:c r="K47" s="27"/>
      <x:c r="L47" s="27"/>
      <x:c r="M47" s="27"/>
      <x:c r="N47" s="29"/>
      <x:c r="O47" s="29"/>
      <x:c r="P47" s="29"/>
      <x:c r="Q47" s="29"/>
      <x:c r="R47" s="29"/>
      <x:c r="S47" s="29"/>
      <x:c r="T47" s="29"/>
      <x:c r="U47" s="29"/>
      <x:c r="V47" s="43"/>
      <x:c r="W47" s="43"/>
      <x:c r="X47" s="43"/>
      <x:c r="Y47" s="29"/>
      <x:c r="Z47" s="29"/>
      <x:c r="AA47" s="29"/>
      <x:c r="AB47" s="29"/>
      <x:c r="AC47" s="29"/>
      <x:c r="AD47" s="29"/>
      <x:c r="AE47" s="31" t="str">
        <x:f>IF(COUNTA(Y47:AC47)=0,"",COUNTIF(Y47:AC47,"Yes")/COUNTA(Y47:AC47))</x:f>
      </x:c>
    </x:row>
    <x:row r="48">
      <x:c r="A48" s="27"/>
      <x:c r="B48" s="27"/>
      <x:c r="C48" s="27"/>
      <x:c r="D48" s="30"/>
      <x:c r="E48" s="30"/>
      <x:c r="F48" s="27"/>
      <x:c r="G48" s="27"/>
      <x:c r="H48" s="27"/>
      <x:c r="I48" s="27"/>
      <x:c r="J48" s="27"/>
      <x:c r="K48" s="27"/>
      <x:c r="L48" s="27"/>
      <x:c r="M48" s="27"/>
      <x:c r="N48" s="29"/>
      <x:c r="O48" s="29"/>
      <x:c r="P48" s="29"/>
      <x:c r="Q48" s="29"/>
      <x:c r="R48" s="29"/>
      <x:c r="S48" s="29"/>
      <x:c r="T48" s="29"/>
      <x:c r="U48" s="29"/>
      <x:c r="V48" s="43"/>
      <x:c r="W48" s="43"/>
      <x:c r="X48" s="43"/>
      <x:c r="Y48" s="29"/>
      <x:c r="Z48" s="29"/>
      <x:c r="AA48" s="29"/>
      <x:c r="AB48" s="29"/>
      <x:c r="AC48" s="29"/>
      <x:c r="AD48" s="29"/>
      <x:c r="AE48" s="31" t="str">
        <x:f>IF(COUNTA(Y48:AC48)=0,"",COUNTIF(Y48:AC48,"Yes")/COUNTA(Y48:AC48))</x:f>
      </x:c>
    </x:row>
    <x:row r="49">
      <x:c r="A49" s="27"/>
      <x:c r="B49" s="27"/>
      <x:c r="C49" s="27"/>
      <x:c r="D49" s="30"/>
      <x:c r="E49" s="30"/>
      <x:c r="F49" s="27"/>
      <x:c r="G49" s="27"/>
      <x:c r="H49" s="27"/>
      <x:c r="I49" s="27"/>
      <x:c r="J49" s="27"/>
      <x:c r="K49" s="27"/>
      <x:c r="L49" s="27"/>
      <x:c r="M49" s="27"/>
      <x:c r="N49" s="29"/>
      <x:c r="O49" s="29"/>
      <x:c r="P49" s="29"/>
      <x:c r="Q49" s="29"/>
      <x:c r="R49" s="29"/>
      <x:c r="S49" s="29"/>
      <x:c r="T49" s="29"/>
      <x:c r="U49" s="29"/>
      <x:c r="V49" s="43"/>
      <x:c r="W49" s="43"/>
      <x:c r="X49" s="43"/>
      <x:c r="Y49" s="29"/>
      <x:c r="Z49" s="29"/>
      <x:c r="AA49" s="29"/>
      <x:c r="AB49" s="29"/>
      <x:c r="AC49" s="29"/>
      <x:c r="AD49" s="29"/>
      <x:c r="AE49" s="31" t="str">
        <x:f>IF(COUNTA(Y49:AC49)=0,"",COUNTIF(Y49:AC49,"Yes")/COUNTA(Y49:AC49))</x:f>
      </x:c>
    </x:row>
    <x:row r="50">
      <x:c r="A50" s="27"/>
      <x:c r="B50" s="27"/>
      <x:c r="C50" s="27"/>
      <x:c r="D50" s="30"/>
      <x:c r="E50" s="30"/>
      <x:c r="F50" s="27"/>
      <x:c r="G50" s="27"/>
      <x:c r="H50" s="27"/>
      <x:c r="I50" s="27"/>
      <x:c r="J50" s="27"/>
      <x:c r="K50" s="27"/>
      <x:c r="L50" s="27"/>
      <x:c r="M50" s="27"/>
      <x:c r="N50" s="29"/>
      <x:c r="O50" s="29"/>
      <x:c r="P50" s="29"/>
      <x:c r="Q50" s="29"/>
      <x:c r="R50" s="29"/>
      <x:c r="S50" s="29"/>
      <x:c r="T50" s="29"/>
      <x:c r="U50" s="29"/>
      <x:c r="V50" s="43"/>
      <x:c r="W50" s="43"/>
      <x:c r="X50" s="43"/>
      <x:c r="Y50" s="29"/>
      <x:c r="Z50" s="29"/>
      <x:c r="AA50" s="29"/>
      <x:c r="AB50" s="29"/>
      <x:c r="AC50" s="29"/>
      <x:c r="AD50" s="29"/>
      <x:c r="AE50" s="31" t="str">
        <x:f>IF(COUNTA(Y50:AC50)=0,"",COUNTIF(Y50:AC50,"Yes")/COUNTA(Y50:AC50))</x:f>
      </x:c>
    </x:row>
    <x:row r="51">
      <x:c r="D51" s="18"/>
      <x:c r="E51" s="18"/>
      <x:c r="N51" s="44"/>
      <x:c r="O51" s="44"/>
      <x:c r="P51" s="44"/>
      <x:c r="Q51" s="44"/>
      <x:c r="R51" s="44"/>
      <x:c r="S51" s="44"/>
      <x:c r="T51" s="44"/>
      <x:c r="U51" s="44"/>
      <x:c r="V51" s="45"/>
      <x:c r="W51" s="45"/>
      <x:c r="X51" s="45"/>
      <x:c r="Y51" s="44"/>
      <x:c r="Z51" s="44"/>
      <x:c r="AA51" s="44"/>
      <x:c r="AB51" s="44"/>
      <x:c r="AC51" s="44"/>
      <x:c r="AD51" s="44"/>
      <x:c r="AE51" s="19" t="str">
        <x:f>IF(COUNTA(Y51:AC51)=0,"",COUNTIF(Y51:AC51,"Yes")/COUNTA(Y51:AC51))</x:f>
      </x:c>
    </x:row>
    <x:row r="52">
      <x:c r="D52" s="18"/>
      <x:c r="E52" s="18"/>
      <x:c r="N52" s="44"/>
      <x:c r="O52" s="44"/>
      <x:c r="P52" s="44"/>
      <x:c r="Q52" s="44"/>
      <x:c r="R52" s="44"/>
      <x:c r="S52" s="44"/>
      <x:c r="T52" s="44"/>
      <x:c r="U52" s="44"/>
      <x:c r="V52" s="45"/>
      <x:c r="W52" s="45"/>
      <x:c r="X52" s="45"/>
      <x:c r="Y52" s="44"/>
      <x:c r="Z52" s="44"/>
      <x:c r="AA52" s="44"/>
      <x:c r="AB52" s="44"/>
      <x:c r="AC52" s="44"/>
      <x:c r="AD52" s="44"/>
      <x:c r="AE52" s="19" t="str">
        <x:f>IF(COUNTA(Y52:AC52)=0,"",COUNTIF(Y52:AC52,"Yes")/COUNTA(Y52:AC52))</x:f>
      </x:c>
    </x:row>
    <x:row r="53">
      <x:c r="D53" s="18"/>
      <x:c r="E53" s="18"/>
      <x:c r="N53" s="44"/>
      <x:c r="O53" s="44"/>
      <x:c r="P53" s="44"/>
      <x:c r="Q53" s="44"/>
      <x:c r="R53" s="44"/>
      <x:c r="S53" s="44"/>
      <x:c r="T53" s="44"/>
      <x:c r="U53" s="44"/>
      <x:c r="V53" s="45"/>
      <x:c r="W53" s="45"/>
      <x:c r="X53" s="45"/>
      <x:c r="Y53" s="44"/>
      <x:c r="Z53" s="44"/>
      <x:c r="AA53" s="44"/>
      <x:c r="AB53" s="44"/>
      <x:c r="AC53" s="44"/>
      <x:c r="AD53" s="44"/>
      <x:c r="AE53" s="19" t="str">
        <x:f>IF(COUNTA(Y53:AC53)=0,"",COUNTIF(Y53:AC53,"Yes")/COUNTA(Y53:AC53))</x:f>
      </x:c>
    </x:row>
    <x:row r="54">
      <x:c r="D54" s="18"/>
      <x:c r="E54" s="18"/>
      <x:c r="N54" s="44"/>
      <x:c r="O54" s="44"/>
      <x:c r="P54" s="44"/>
      <x:c r="Q54" s="44"/>
      <x:c r="R54" s="44"/>
      <x:c r="S54" s="44"/>
      <x:c r="T54" s="44"/>
      <x:c r="U54" s="44"/>
      <x:c r="V54" s="45"/>
      <x:c r="W54" s="45"/>
      <x:c r="X54" s="45"/>
      <x:c r="Y54" s="44"/>
      <x:c r="Z54" s="44"/>
      <x:c r="AA54" s="44"/>
      <x:c r="AB54" s="44"/>
      <x:c r="AC54" s="44"/>
      <x:c r="AD54" s="44"/>
      <x:c r="AE54" s="19" t="str">
        <x:f>IF(COUNTA(Y54:AC54)=0,"",COUNTIF(Y54:AC54,"Yes")/COUNTA(Y54:AC54))</x:f>
      </x:c>
    </x:row>
    <x:row r="55">
      <x:c r="D55" s="18"/>
      <x:c r="E55" s="18"/>
      <x:c r="N55" s="44"/>
      <x:c r="O55" s="44"/>
      <x:c r="P55" s="44"/>
      <x:c r="Q55" s="44"/>
      <x:c r="R55" s="44"/>
      <x:c r="S55" s="44"/>
      <x:c r="T55" s="44"/>
      <x:c r="U55" s="44"/>
      <x:c r="V55" s="45"/>
      <x:c r="W55" s="45"/>
      <x:c r="X55" s="45"/>
      <x:c r="Y55" s="44"/>
      <x:c r="Z55" s="44"/>
      <x:c r="AA55" s="44"/>
      <x:c r="AB55" s="44"/>
      <x:c r="AC55" s="44"/>
      <x:c r="AD55" s="44"/>
      <x:c r="AE55" s="19" t="str">
        <x:f>IF(COUNTA(Y55:AC55)=0,"",COUNTIF(Y55:AC55,"Yes")/COUNTA(Y55:AC55))</x:f>
      </x:c>
    </x:row>
    <x:row r="56">
      <x:c r="D56" s="18"/>
      <x:c r="E56" s="18"/>
      <x:c r="N56" s="44"/>
      <x:c r="O56" s="44"/>
      <x:c r="P56" s="44"/>
      <x:c r="Q56" s="44"/>
      <x:c r="R56" s="44"/>
      <x:c r="S56" s="44"/>
      <x:c r="T56" s="44"/>
      <x:c r="U56" s="44"/>
      <x:c r="V56" s="45"/>
      <x:c r="W56" s="45"/>
      <x:c r="X56" s="45"/>
      <x:c r="Y56" s="44"/>
      <x:c r="Z56" s="44"/>
      <x:c r="AA56" s="44"/>
      <x:c r="AB56" s="44"/>
      <x:c r="AC56" s="44"/>
      <x:c r="AD56" s="44"/>
      <x:c r="AE56" s="19" t="str">
        <x:f>IF(COUNTA(Y56:AC56)=0,"",COUNTIF(Y56:AC56,"Yes")/COUNTA(Y56:AC56))</x:f>
      </x:c>
    </x:row>
    <x:row r="57">
      <x:c r="D57" s="18"/>
      <x:c r="E57" s="18"/>
      <x:c r="N57" s="44"/>
      <x:c r="O57" s="44"/>
      <x:c r="P57" s="44"/>
      <x:c r="Q57" s="44"/>
      <x:c r="R57" s="44"/>
      <x:c r="S57" s="44"/>
      <x:c r="T57" s="44"/>
      <x:c r="U57" s="44"/>
      <x:c r="V57" s="45"/>
      <x:c r="W57" s="45"/>
      <x:c r="X57" s="45"/>
      <x:c r="Y57" s="44"/>
      <x:c r="Z57" s="44"/>
      <x:c r="AA57" s="44"/>
      <x:c r="AB57" s="44"/>
      <x:c r="AC57" s="44"/>
      <x:c r="AD57" s="44"/>
      <x:c r="AE57" s="19" t="str">
        <x:f>IF(COUNTA(Y57:AC57)=0,"",COUNTIF(Y57:AC57,"Yes")/COUNTA(Y57:AC57))</x:f>
      </x:c>
    </x:row>
    <x:row r="58">
      <x:c r="D58" s="18"/>
      <x:c r="E58" s="18"/>
      <x:c r="N58" s="44"/>
      <x:c r="O58" s="44"/>
      <x:c r="P58" s="44"/>
      <x:c r="Q58" s="44"/>
      <x:c r="R58" s="44"/>
      <x:c r="S58" s="44"/>
      <x:c r="T58" s="44"/>
      <x:c r="U58" s="44"/>
      <x:c r="V58" s="45"/>
      <x:c r="W58" s="45"/>
      <x:c r="X58" s="45"/>
      <x:c r="Y58" s="44"/>
      <x:c r="Z58" s="44"/>
      <x:c r="AA58" s="44"/>
      <x:c r="AB58" s="44"/>
      <x:c r="AC58" s="44"/>
      <x:c r="AD58" s="44"/>
      <x:c r="AE58" s="19" t="str">
        <x:f>IF(COUNTA(Y58:AC58)=0,"",COUNTIF(Y58:AC58,"Yes")/COUNTA(Y58:AC58))</x:f>
      </x:c>
    </x:row>
    <x:row r="59">
      <x:c r="D59" s="18"/>
      <x:c r="E59" s="18"/>
      <x:c r="N59" s="44"/>
      <x:c r="O59" s="44"/>
      <x:c r="P59" s="44"/>
      <x:c r="Q59" s="44"/>
      <x:c r="R59" s="44"/>
      <x:c r="S59" s="44"/>
      <x:c r="T59" s="44"/>
      <x:c r="U59" s="44"/>
      <x:c r="V59" s="45"/>
      <x:c r="W59" s="45"/>
      <x:c r="X59" s="45"/>
      <x:c r="Y59" s="44"/>
      <x:c r="Z59" s="44"/>
      <x:c r="AA59" s="44"/>
      <x:c r="AB59" s="44"/>
      <x:c r="AC59" s="44"/>
      <x:c r="AD59" s="44"/>
      <x:c r="AE59" s="19" t="str">
        <x:f>IF(COUNTA(Y59:AC59)=0,"",COUNTIF(Y59:AC59,"Yes")/COUNTA(Y59:AC59))</x:f>
      </x:c>
    </x:row>
    <x:row r="60">
      <x:c r="D60" s="18"/>
      <x:c r="E60" s="18"/>
      <x:c r="N60" s="44"/>
      <x:c r="O60" s="44"/>
      <x:c r="P60" s="44"/>
      <x:c r="Q60" s="44"/>
      <x:c r="R60" s="44"/>
      <x:c r="S60" s="44"/>
      <x:c r="T60" s="44"/>
      <x:c r="U60" s="44"/>
      <x:c r="V60" s="45"/>
      <x:c r="W60" s="45"/>
      <x:c r="X60" s="45"/>
      <x:c r="Y60" s="44"/>
      <x:c r="Z60" s="44"/>
      <x:c r="AA60" s="44"/>
      <x:c r="AB60" s="44"/>
      <x:c r="AC60" s="44"/>
      <x:c r="AD60" s="44"/>
      <x:c r="AE60" s="19" t="str">
        <x:f>IF(COUNTA(Y60:AC60)=0,"",COUNTIF(Y60:AC60,"Yes")/COUNTA(Y60:AC60))</x:f>
      </x:c>
    </x:row>
    <x:row r="61">
      <x:c r="D61" s="18"/>
      <x:c r="E61" s="18"/>
      <x:c r="N61" s="44"/>
      <x:c r="O61" s="44"/>
      <x:c r="P61" s="44"/>
      <x:c r="Q61" s="44"/>
      <x:c r="R61" s="44"/>
      <x:c r="S61" s="44"/>
      <x:c r="T61" s="44"/>
      <x:c r="U61" s="44"/>
      <x:c r="V61" s="45"/>
      <x:c r="W61" s="45"/>
      <x:c r="X61" s="45"/>
      <x:c r="Y61" s="44"/>
      <x:c r="Z61" s="44"/>
      <x:c r="AA61" s="44"/>
      <x:c r="AB61" s="44"/>
      <x:c r="AC61" s="44"/>
      <x:c r="AD61" s="44"/>
      <x:c r="AE61" s="19" t="str">
        <x:f>IF(COUNTA(Y61:AC61)=0,"",COUNTIF(Y61:AC61,"Yes")/COUNTA(Y61:AC61))</x:f>
      </x:c>
    </x:row>
    <x:row r="62">
      <x:c r="D62" s="18"/>
      <x:c r="E62" s="18"/>
      <x:c r="N62" s="44"/>
      <x:c r="O62" s="44"/>
      <x:c r="P62" s="44"/>
      <x:c r="Q62" s="44"/>
      <x:c r="R62" s="44"/>
      <x:c r="S62" s="44"/>
      <x:c r="T62" s="44"/>
      <x:c r="U62" s="44"/>
      <x:c r="V62" s="45"/>
      <x:c r="W62" s="45"/>
      <x:c r="X62" s="45"/>
      <x:c r="Y62" s="44"/>
      <x:c r="Z62" s="44"/>
      <x:c r="AA62" s="44"/>
      <x:c r="AB62" s="44"/>
      <x:c r="AC62" s="44"/>
      <x:c r="AD62" s="44"/>
      <x:c r="AE62" s="19" t="str">
        <x:f>IF(COUNTA(Y62:AC62)=0,"",COUNTIF(Y62:AC62,"Yes")/COUNTA(Y62:AC62))</x:f>
      </x:c>
    </x:row>
    <x:row r="63">
      <x:c r="D63" s="18"/>
      <x:c r="E63" s="18"/>
      <x:c r="N63" s="44"/>
      <x:c r="O63" s="44"/>
      <x:c r="P63" s="44"/>
      <x:c r="Q63" s="44"/>
      <x:c r="R63" s="44"/>
      <x:c r="S63" s="44"/>
      <x:c r="T63" s="44"/>
      <x:c r="U63" s="44"/>
      <x:c r="V63" s="45"/>
      <x:c r="W63" s="45"/>
      <x:c r="X63" s="45"/>
      <x:c r="Y63" s="44"/>
      <x:c r="Z63" s="44"/>
      <x:c r="AA63" s="44"/>
      <x:c r="AB63" s="44"/>
      <x:c r="AC63" s="44"/>
      <x:c r="AD63" s="44"/>
      <x:c r="AE63" s="19" t="str">
        <x:f>IF(COUNTA(Y63:AC63)=0,"",COUNTIF(Y63:AC63,"Yes")/COUNTA(Y63:AC63))</x:f>
      </x:c>
    </x:row>
    <x:row r="64">
      <x:c r="D64" s="18"/>
      <x:c r="E64" s="18"/>
      <x:c r="N64" s="44"/>
      <x:c r="O64" s="44"/>
      <x:c r="P64" s="44"/>
      <x:c r="Q64" s="44"/>
      <x:c r="R64" s="44"/>
      <x:c r="S64" s="44"/>
      <x:c r="T64" s="44"/>
      <x:c r="U64" s="44"/>
      <x:c r="V64" s="45"/>
      <x:c r="W64" s="45"/>
      <x:c r="X64" s="45"/>
      <x:c r="Y64" s="44"/>
      <x:c r="Z64" s="44"/>
      <x:c r="AA64" s="44"/>
      <x:c r="AB64" s="44"/>
      <x:c r="AC64" s="44"/>
      <x:c r="AD64" s="44"/>
      <x:c r="AE64" s="19" t="str">
        <x:f>IF(COUNTA(Y64:AC64)=0,"",COUNTIF(Y64:AC64,"Yes")/COUNTA(Y64:AC64))</x:f>
      </x:c>
    </x:row>
    <x:row r="65">
      <x:c r="D65" s="18"/>
      <x:c r="E65" s="18"/>
      <x:c r="N65" s="44"/>
      <x:c r="O65" s="44"/>
      <x:c r="P65" s="44"/>
      <x:c r="Q65" s="44"/>
      <x:c r="R65" s="44"/>
      <x:c r="S65" s="44"/>
      <x:c r="T65" s="44"/>
      <x:c r="U65" s="44"/>
      <x:c r="V65" s="45"/>
      <x:c r="W65" s="45"/>
      <x:c r="X65" s="45"/>
      <x:c r="Y65" s="44"/>
      <x:c r="Z65" s="44"/>
      <x:c r="AA65" s="44"/>
      <x:c r="AB65" s="44"/>
      <x:c r="AC65" s="44"/>
      <x:c r="AD65" s="44"/>
      <x:c r="AE65" s="19" t="str">
        <x:f>IF(COUNTA(Y65:AC65)=0,"",COUNTIF(Y65:AC65,"Yes")/COUNTA(Y65:AC65))</x:f>
      </x:c>
    </x:row>
    <x:row r="66">
      <x:c r="D66" s="18"/>
      <x:c r="E66" s="18"/>
      <x:c r="N66" s="44"/>
      <x:c r="O66" s="44"/>
      <x:c r="P66" s="44"/>
      <x:c r="Q66" s="44"/>
      <x:c r="R66" s="44"/>
      <x:c r="S66" s="44"/>
      <x:c r="T66" s="44"/>
      <x:c r="U66" s="44"/>
      <x:c r="V66" s="45"/>
      <x:c r="W66" s="45"/>
      <x:c r="X66" s="45"/>
      <x:c r="Y66" s="44"/>
      <x:c r="Z66" s="44"/>
      <x:c r="AA66" s="44"/>
      <x:c r="AB66" s="44"/>
      <x:c r="AC66" s="44"/>
      <x:c r="AD66" s="44"/>
      <x:c r="AE66" s="19" t="str">
        <x:f>IF(COUNTA(Y66:AC66)=0,"",COUNTIF(Y66:AC66,"Yes")/COUNTA(Y66:AC66))</x:f>
      </x:c>
    </x:row>
    <x:row r="67">
      <x:c r="D67" s="18"/>
      <x:c r="E67" s="18"/>
      <x:c r="N67" s="44"/>
      <x:c r="O67" s="44"/>
      <x:c r="P67" s="44"/>
      <x:c r="Q67" s="44"/>
      <x:c r="R67" s="44"/>
      <x:c r="S67" s="44"/>
      <x:c r="T67" s="44"/>
      <x:c r="U67" s="44"/>
      <x:c r="V67" s="45"/>
      <x:c r="W67" s="45"/>
      <x:c r="X67" s="45"/>
      <x:c r="Y67" s="44"/>
      <x:c r="Z67" s="44"/>
      <x:c r="AA67" s="44"/>
      <x:c r="AB67" s="44"/>
      <x:c r="AC67" s="44"/>
      <x:c r="AD67" s="44"/>
      <x:c r="AE67" s="19" t="str">
        <x:f>IF(COUNTA(Y67:AC67)=0,"",COUNTIF(Y67:AC67,"Yes")/COUNTA(Y67:AC67))</x:f>
      </x:c>
    </x:row>
    <x:row r="68">
      <x:c r="D68" s="18"/>
      <x:c r="E68" s="18"/>
      <x:c r="N68" s="44"/>
      <x:c r="O68" s="44"/>
      <x:c r="P68" s="44"/>
      <x:c r="Q68" s="44"/>
      <x:c r="R68" s="44"/>
      <x:c r="S68" s="44"/>
      <x:c r="T68" s="44"/>
      <x:c r="U68" s="44"/>
      <x:c r="V68" s="45"/>
      <x:c r="W68" s="45"/>
      <x:c r="X68" s="45"/>
      <x:c r="Y68" s="44"/>
      <x:c r="Z68" s="44"/>
      <x:c r="AA68" s="44"/>
      <x:c r="AB68" s="44"/>
      <x:c r="AC68" s="44"/>
      <x:c r="AD68" s="44"/>
      <x:c r="AE68" s="19" t="str">
        <x:f>IF(COUNTA(Y68:AC68)=0,"",COUNTIF(Y68:AC68,"Yes")/COUNTA(Y68:AC68))</x:f>
      </x:c>
    </x:row>
    <x:row r="69">
      <x:c r="D69" s="18"/>
      <x:c r="E69" s="18"/>
      <x:c r="N69" s="44"/>
      <x:c r="O69" s="44"/>
      <x:c r="P69" s="44"/>
      <x:c r="Q69" s="44"/>
      <x:c r="R69" s="44"/>
      <x:c r="S69" s="44"/>
      <x:c r="T69" s="44"/>
      <x:c r="U69" s="44"/>
      <x:c r="V69" s="45"/>
      <x:c r="W69" s="45"/>
      <x:c r="X69" s="45"/>
      <x:c r="Y69" s="44"/>
      <x:c r="Z69" s="44"/>
      <x:c r="AA69" s="44"/>
      <x:c r="AB69" s="44"/>
      <x:c r="AC69" s="44"/>
      <x:c r="AD69" s="44"/>
      <x:c r="AE69" s="19" t="str">
        <x:f>IF(COUNTA(Y69:AC69)=0,"",COUNTIF(Y69:AC69,"Yes")/COUNTA(Y69:AC69))</x:f>
      </x:c>
    </x:row>
    <x:row r="70">
      <x:c r="D70" s="18"/>
      <x:c r="E70" s="18"/>
      <x:c r="N70" s="44"/>
      <x:c r="O70" s="44"/>
      <x:c r="P70" s="44"/>
      <x:c r="Q70" s="44"/>
      <x:c r="R70" s="44"/>
      <x:c r="S70" s="44"/>
      <x:c r="T70" s="44"/>
      <x:c r="U70" s="44"/>
      <x:c r="V70" s="45"/>
      <x:c r="W70" s="45"/>
      <x:c r="X70" s="45"/>
      <x:c r="Y70" s="44"/>
      <x:c r="Z70" s="44"/>
      <x:c r="AA70" s="44"/>
      <x:c r="AB70" s="44"/>
      <x:c r="AC70" s="44"/>
      <x:c r="AD70" s="44"/>
      <x:c r="AE70" s="19" t="str">
        <x:f>IF(COUNTA(Y70:AC70)=0,"",COUNTIF(Y70:AC70,"Yes")/COUNTA(Y70:AC70))</x:f>
      </x:c>
    </x:row>
    <x:row r="71">
      <x:c r="D71" s="18"/>
      <x:c r="E71" s="18"/>
      <x:c r="N71" s="44"/>
      <x:c r="O71" s="44"/>
      <x:c r="P71" s="44"/>
      <x:c r="Q71" s="44"/>
      <x:c r="R71" s="44"/>
      <x:c r="S71" s="44"/>
      <x:c r="T71" s="44"/>
      <x:c r="U71" s="44"/>
      <x:c r="V71" s="45"/>
      <x:c r="W71" s="45"/>
      <x:c r="X71" s="45"/>
      <x:c r="Y71" s="44"/>
      <x:c r="Z71" s="44"/>
      <x:c r="AA71" s="44"/>
      <x:c r="AB71" s="44"/>
      <x:c r="AC71" s="44"/>
      <x:c r="AD71" s="44"/>
      <x:c r="AE71" s="19" t="str">
        <x:f>IF(COUNTA(Y71:AC71)=0,"",COUNTIF(Y71:AC71,"Yes")/COUNTA(Y71:AC71))</x:f>
      </x:c>
    </x:row>
    <x:row r="72">
      <x:c r="D72" s="18"/>
      <x:c r="E72" s="18"/>
      <x:c r="N72" s="44"/>
      <x:c r="O72" s="44"/>
      <x:c r="P72" s="44"/>
      <x:c r="Q72" s="44"/>
      <x:c r="R72" s="44"/>
      <x:c r="S72" s="44"/>
      <x:c r="T72" s="44"/>
      <x:c r="U72" s="44"/>
      <x:c r="V72" s="45"/>
      <x:c r="W72" s="45"/>
      <x:c r="X72" s="45"/>
      <x:c r="Y72" s="44"/>
      <x:c r="Z72" s="44"/>
      <x:c r="AA72" s="44"/>
      <x:c r="AB72" s="44"/>
      <x:c r="AC72" s="44"/>
      <x:c r="AD72" s="44"/>
      <x:c r="AE72" s="19" t="str">
        <x:f>IF(COUNTA(Y72:AC72)=0,"",COUNTIF(Y72:AC72,"Yes")/COUNTA(Y72:AC72))</x:f>
      </x:c>
    </x:row>
    <x:row r="73">
      <x:c r="D73" s="18"/>
      <x:c r="E73" s="18"/>
      <x:c r="N73" s="44"/>
      <x:c r="O73" s="44"/>
      <x:c r="P73" s="44"/>
      <x:c r="Q73" s="44"/>
      <x:c r="R73" s="44"/>
      <x:c r="S73" s="44"/>
      <x:c r="T73" s="44"/>
      <x:c r="U73" s="44"/>
      <x:c r="V73" s="45"/>
      <x:c r="W73" s="45"/>
      <x:c r="X73" s="45"/>
      <x:c r="Y73" s="44"/>
      <x:c r="Z73" s="44"/>
      <x:c r="AA73" s="44"/>
      <x:c r="AB73" s="44"/>
      <x:c r="AC73" s="44"/>
      <x:c r="AD73" s="44"/>
      <x:c r="AE73" s="19" t="str">
        <x:f>IF(COUNTA(Y73:AC73)=0,"",COUNTIF(Y73:AC73,"Yes")/COUNTA(Y73:AC73))</x:f>
      </x:c>
    </x:row>
    <x:row r="74">
      <x:c r="D74" s="18"/>
      <x:c r="E74" s="18"/>
      <x:c r="N74" s="44"/>
      <x:c r="O74" s="44"/>
      <x:c r="P74" s="44"/>
      <x:c r="Q74" s="44"/>
      <x:c r="R74" s="44"/>
      <x:c r="S74" s="44"/>
      <x:c r="T74" s="44"/>
      <x:c r="U74" s="44"/>
      <x:c r="V74" s="45"/>
      <x:c r="W74" s="45"/>
      <x:c r="X74" s="45"/>
      <x:c r="Y74" s="44"/>
      <x:c r="Z74" s="44"/>
      <x:c r="AA74" s="44"/>
      <x:c r="AB74" s="44"/>
      <x:c r="AC74" s="44"/>
      <x:c r="AD74" s="44"/>
      <x:c r="AE74" s="19" t="str">
        <x:f>IF(COUNTA(Y74:AC74)=0,"",COUNTIF(Y74:AC74,"Yes")/COUNTA(Y74:AC74))</x:f>
      </x:c>
    </x:row>
    <x:row r="75">
      <x:c r="D75" s="18"/>
      <x:c r="E75" s="18"/>
      <x:c r="N75" s="44"/>
      <x:c r="O75" s="44"/>
      <x:c r="P75" s="44"/>
      <x:c r="Q75" s="44"/>
      <x:c r="R75" s="44"/>
      <x:c r="S75" s="44"/>
      <x:c r="T75" s="44"/>
      <x:c r="U75" s="44"/>
      <x:c r="V75" s="45"/>
      <x:c r="W75" s="45"/>
      <x:c r="X75" s="45"/>
      <x:c r="Y75" s="44"/>
      <x:c r="Z75" s="44"/>
      <x:c r="AA75" s="44"/>
      <x:c r="AB75" s="44"/>
      <x:c r="AC75" s="44"/>
      <x:c r="AD75" s="44"/>
      <x:c r="AE75" s="19" t="str">
        <x:f>IF(COUNTA(Y75:AC75)=0,"",COUNTIF(Y75:AC75,"Yes")/COUNTA(Y75:AC75))</x:f>
      </x:c>
    </x:row>
    <x:row r="76">
      <x:c r="D76" s="18"/>
      <x:c r="E76" s="18"/>
      <x:c r="N76" s="44"/>
      <x:c r="O76" s="44"/>
      <x:c r="P76" s="44"/>
      <x:c r="Q76" s="44"/>
      <x:c r="R76" s="44"/>
      <x:c r="S76" s="44"/>
      <x:c r="T76" s="44"/>
      <x:c r="U76" s="44"/>
      <x:c r="V76" s="45"/>
      <x:c r="W76" s="45"/>
      <x:c r="X76" s="45"/>
      <x:c r="Y76" s="44"/>
      <x:c r="Z76" s="44"/>
      <x:c r="AA76" s="44"/>
      <x:c r="AB76" s="44"/>
      <x:c r="AC76" s="44"/>
      <x:c r="AD76" s="44"/>
      <x:c r="AE76" s="19" t="str">
        <x:f>IF(COUNTA(Y76:AC76)=0,"",COUNTIF(Y76:AC76,"Yes")/COUNTA(Y76:AC76))</x:f>
      </x:c>
    </x:row>
    <x:row r="77">
      <x:c r="D77" s="18"/>
      <x:c r="E77" s="18"/>
      <x:c r="N77" s="44"/>
      <x:c r="O77" s="44"/>
      <x:c r="P77" s="44"/>
      <x:c r="Q77" s="44"/>
      <x:c r="R77" s="44"/>
      <x:c r="S77" s="44"/>
      <x:c r="T77" s="44"/>
      <x:c r="U77" s="44"/>
      <x:c r="V77" s="45"/>
      <x:c r="W77" s="45"/>
      <x:c r="X77" s="45"/>
      <x:c r="Y77" s="44"/>
      <x:c r="Z77" s="44"/>
      <x:c r="AA77" s="44"/>
      <x:c r="AB77" s="44"/>
      <x:c r="AC77" s="44"/>
      <x:c r="AD77" s="44"/>
      <x:c r="AE77" s="19" t="str">
        <x:f>IF(COUNTA(Y77:AC77)=0,"",COUNTIF(Y77:AC77,"Yes")/COUNTA(Y77:AC77))</x:f>
      </x:c>
    </x:row>
    <x:row r="78">
      <x:c r="D78" s="18"/>
      <x:c r="E78" s="18"/>
      <x:c r="N78" s="44"/>
      <x:c r="O78" s="44"/>
      <x:c r="P78" s="44"/>
      <x:c r="Q78" s="44"/>
      <x:c r="R78" s="44"/>
      <x:c r="S78" s="44"/>
      <x:c r="T78" s="44"/>
      <x:c r="U78" s="44"/>
      <x:c r="V78" s="45"/>
      <x:c r="W78" s="45"/>
      <x:c r="X78" s="45"/>
      <x:c r="Y78" s="44"/>
      <x:c r="Z78" s="44"/>
      <x:c r="AA78" s="44"/>
      <x:c r="AB78" s="44"/>
      <x:c r="AC78" s="44"/>
      <x:c r="AD78" s="44"/>
      <x:c r="AE78" s="19" t="str">
        <x:f>IF(COUNTA(Y78:AC78)=0,"",COUNTIF(Y78:AC78,"Yes")/COUNTA(Y78:AC78))</x:f>
      </x:c>
    </x:row>
    <x:row r="79">
      <x:c r="D79" s="18"/>
      <x:c r="E79" s="18"/>
      <x:c r="N79" s="44"/>
      <x:c r="O79" s="44"/>
      <x:c r="P79" s="44"/>
      <x:c r="Q79" s="44"/>
      <x:c r="R79" s="44"/>
      <x:c r="S79" s="44"/>
      <x:c r="T79" s="44"/>
      <x:c r="U79" s="44"/>
      <x:c r="V79" s="45"/>
      <x:c r="W79" s="45"/>
      <x:c r="X79" s="45"/>
      <x:c r="Y79" s="44"/>
      <x:c r="Z79" s="44"/>
      <x:c r="AA79" s="44"/>
      <x:c r="AB79" s="44"/>
      <x:c r="AC79" s="44"/>
      <x:c r="AD79" s="44"/>
      <x:c r="AE79" s="19" t="str">
        <x:f>IF(COUNTA(Y79:AC79)=0,"",COUNTIF(Y79:AC79,"Yes")/COUNTA(Y79:AC79))</x:f>
      </x:c>
    </x:row>
    <x:row r="80">
      <x:c r="D80" s="18"/>
      <x:c r="E80" s="18"/>
      <x:c r="N80" s="44"/>
      <x:c r="O80" s="44"/>
      <x:c r="P80" s="44"/>
      <x:c r="Q80" s="44"/>
      <x:c r="R80" s="44"/>
      <x:c r="S80" s="44"/>
      <x:c r="T80" s="44"/>
      <x:c r="U80" s="44"/>
      <x:c r="V80" s="45"/>
      <x:c r="W80" s="45"/>
      <x:c r="X80" s="45"/>
      <x:c r="Y80" s="44"/>
      <x:c r="Z80" s="44"/>
      <x:c r="AA80" s="44"/>
      <x:c r="AB80" s="44"/>
      <x:c r="AC80" s="44"/>
      <x:c r="AD80" s="44"/>
      <x:c r="AE80" s="19" t="str">
        <x:f>IF(COUNTA(Y80:AC80)=0,"",COUNTIF(Y80:AC80,"Yes")/COUNTA(Y80:AC80))</x:f>
      </x:c>
    </x:row>
    <x:row r="81">
      <x:c r="D81" s="18"/>
      <x:c r="E81" s="18"/>
      <x:c r="N81" s="44"/>
      <x:c r="O81" s="44"/>
      <x:c r="P81" s="44"/>
      <x:c r="Q81" s="44"/>
      <x:c r="R81" s="44"/>
      <x:c r="S81" s="44"/>
      <x:c r="T81" s="44"/>
      <x:c r="U81" s="44"/>
      <x:c r="V81" s="45"/>
      <x:c r="W81" s="45"/>
      <x:c r="X81" s="45"/>
      <x:c r="Y81" s="44"/>
      <x:c r="Z81" s="44"/>
      <x:c r="AA81" s="44"/>
      <x:c r="AB81" s="44"/>
      <x:c r="AC81" s="44"/>
      <x:c r="AD81" s="44"/>
      <x:c r="AE81" s="19" t="str">
        <x:f>IF(COUNTA(Y81:AC81)=0,"",COUNTIF(Y81:AC81,"Yes")/COUNTA(Y81:AC81))</x:f>
      </x:c>
    </x:row>
    <x:row r="82">
      <x:c r="D82" s="18"/>
      <x:c r="E82" s="18"/>
      <x:c r="N82" s="44"/>
      <x:c r="O82" s="44"/>
      <x:c r="P82" s="44"/>
      <x:c r="Q82" s="44"/>
      <x:c r="R82" s="44"/>
      <x:c r="S82" s="44"/>
      <x:c r="T82" s="44"/>
      <x:c r="U82" s="44"/>
      <x:c r="V82" s="45"/>
      <x:c r="W82" s="45"/>
      <x:c r="X82" s="45"/>
      <x:c r="Y82" s="44"/>
      <x:c r="Z82" s="44"/>
      <x:c r="AA82" s="44"/>
      <x:c r="AB82" s="44"/>
      <x:c r="AC82" s="44"/>
      <x:c r="AD82" s="44"/>
      <x:c r="AE82" s="19" t="str">
        <x:f>IF(COUNTA(Y82:AC82)=0,"",COUNTIF(Y82:AC82,"Yes")/COUNTA(Y82:AC82))</x:f>
      </x:c>
    </x:row>
    <x:row r="83">
      <x:c r="D83" s="18"/>
      <x:c r="E83" s="18"/>
      <x:c r="N83" s="44"/>
      <x:c r="O83" s="44"/>
      <x:c r="P83" s="44"/>
      <x:c r="Q83" s="44"/>
      <x:c r="R83" s="44"/>
      <x:c r="S83" s="44"/>
      <x:c r="T83" s="44"/>
      <x:c r="U83" s="44"/>
      <x:c r="V83" s="45"/>
      <x:c r="W83" s="45"/>
      <x:c r="X83" s="45"/>
      <x:c r="Y83" s="44"/>
      <x:c r="Z83" s="44"/>
      <x:c r="AA83" s="44"/>
      <x:c r="AB83" s="44"/>
      <x:c r="AC83" s="44"/>
      <x:c r="AD83" s="44"/>
      <x:c r="AE83" s="19" t="str">
        <x:f>IF(COUNTA(Y83:AC83)=0,"",COUNTIF(Y83:AC83,"Yes")/COUNTA(Y83:AC83))</x:f>
      </x:c>
    </x:row>
    <x:row r="84">
      <x:c r="D84" s="18"/>
      <x:c r="E84" s="18"/>
      <x:c r="N84" s="44"/>
      <x:c r="O84" s="44"/>
      <x:c r="P84" s="44"/>
      <x:c r="Q84" s="44"/>
      <x:c r="R84" s="44"/>
      <x:c r="S84" s="44"/>
      <x:c r="T84" s="44"/>
      <x:c r="U84" s="44"/>
      <x:c r="V84" s="45"/>
      <x:c r="W84" s="45"/>
      <x:c r="X84" s="45"/>
      <x:c r="Y84" s="44"/>
      <x:c r="Z84" s="44"/>
      <x:c r="AA84" s="44"/>
      <x:c r="AB84" s="44"/>
      <x:c r="AC84" s="44"/>
      <x:c r="AD84" s="44"/>
      <x:c r="AE84" s="19" t="str">
        <x:f>IF(COUNTA(Y84:AC84)=0,"",COUNTIF(Y84:AC84,"Yes")/COUNTA(Y84:AC84))</x:f>
      </x:c>
    </x:row>
    <x:row r="85">
      <x:c r="D85" s="18"/>
      <x:c r="E85" s="18"/>
      <x:c r="N85" s="44"/>
      <x:c r="O85" s="44"/>
      <x:c r="P85" s="44"/>
      <x:c r="Q85" s="44"/>
      <x:c r="R85" s="44"/>
      <x:c r="S85" s="44"/>
      <x:c r="T85" s="44"/>
      <x:c r="U85" s="44"/>
      <x:c r="V85" s="45"/>
      <x:c r="W85" s="45"/>
      <x:c r="X85" s="45"/>
      <x:c r="Y85" s="44"/>
      <x:c r="Z85" s="44"/>
      <x:c r="AA85" s="44"/>
      <x:c r="AB85" s="44"/>
      <x:c r="AC85" s="44"/>
      <x:c r="AD85" s="44"/>
      <x:c r="AE85" s="19" t="str">
        <x:f>IF(COUNTA(Y85:AC85)=0,"",COUNTIF(Y85:AC85,"Yes")/COUNTA(Y85:AC85))</x:f>
      </x:c>
    </x:row>
    <x:row r="86">
      <x:c r="D86" s="18"/>
      <x:c r="E86" s="18"/>
      <x:c r="N86" s="44"/>
      <x:c r="O86" s="44"/>
      <x:c r="P86" s="44"/>
      <x:c r="Q86" s="44"/>
      <x:c r="R86" s="44"/>
      <x:c r="S86" s="44"/>
      <x:c r="T86" s="44"/>
      <x:c r="U86" s="44"/>
      <x:c r="V86" s="45"/>
      <x:c r="W86" s="45"/>
      <x:c r="X86" s="45"/>
      <x:c r="Y86" s="44"/>
      <x:c r="Z86" s="44"/>
      <x:c r="AA86" s="44"/>
      <x:c r="AB86" s="44"/>
      <x:c r="AC86" s="44"/>
      <x:c r="AD86" s="44"/>
      <x:c r="AE86" s="19" t="str">
        <x:f>IF(COUNTA(Y86:AC86)=0,"",COUNTIF(Y86:AC86,"Yes")/COUNTA(Y86:AC86))</x:f>
      </x:c>
    </x:row>
    <x:row r="87">
      <x:c r="D87" s="18"/>
      <x:c r="E87" s="18"/>
      <x:c r="N87" s="44"/>
      <x:c r="O87" s="44"/>
      <x:c r="P87" s="44"/>
      <x:c r="Q87" s="44"/>
      <x:c r="R87" s="44"/>
      <x:c r="S87" s="44"/>
      <x:c r="T87" s="44"/>
      <x:c r="U87" s="44"/>
      <x:c r="V87" s="45"/>
      <x:c r="W87" s="45"/>
      <x:c r="X87" s="45"/>
      <x:c r="Y87" s="44"/>
      <x:c r="Z87" s="44"/>
      <x:c r="AA87" s="44"/>
      <x:c r="AB87" s="44"/>
      <x:c r="AC87" s="44"/>
      <x:c r="AD87" s="44"/>
      <x:c r="AE87" s="19" t="str">
        <x:f>IF(COUNTA(Y87:AC87)=0,"",COUNTIF(Y87:AC87,"Yes")/COUNTA(Y87:AC87))</x:f>
      </x:c>
    </x:row>
    <x:row r="88">
      <x:c r="D88" s="18"/>
      <x:c r="E88" s="18"/>
      <x:c r="N88" s="44"/>
      <x:c r="O88" s="44"/>
      <x:c r="P88" s="44"/>
      <x:c r="Q88" s="44"/>
      <x:c r="R88" s="44"/>
      <x:c r="S88" s="44"/>
      <x:c r="T88" s="44"/>
      <x:c r="U88" s="44"/>
      <x:c r="V88" s="45"/>
      <x:c r="W88" s="45"/>
      <x:c r="X88" s="45"/>
      <x:c r="Y88" s="44"/>
      <x:c r="Z88" s="44"/>
      <x:c r="AA88" s="44"/>
      <x:c r="AB88" s="44"/>
      <x:c r="AC88" s="44"/>
      <x:c r="AD88" s="44"/>
      <x:c r="AE88" s="19" t="str">
        <x:f>IF(COUNTA(Y88:AC88)=0,"",COUNTIF(Y88:AC88,"Yes")/COUNTA(Y88:AC88))</x:f>
      </x:c>
    </x:row>
    <x:row r="89">
      <x:c r="D89" s="18"/>
      <x:c r="E89" s="18"/>
      <x:c r="N89" s="44"/>
      <x:c r="O89" s="44"/>
      <x:c r="P89" s="44"/>
      <x:c r="Q89" s="44"/>
      <x:c r="R89" s="44"/>
      <x:c r="S89" s="44"/>
      <x:c r="T89" s="44"/>
      <x:c r="U89" s="44"/>
      <x:c r="V89" s="45"/>
      <x:c r="W89" s="45"/>
      <x:c r="X89" s="45"/>
      <x:c r="Y89" s="44"/>
      <x:c r="Z89" s="44"/>
      <x:c r="AA89" s="44"/>
      <x:c r="AB89" s="44"/>
      <x:c r="AC89" s="44"/>
      <x:c r="AD89" s="44"/>
      <x:c r="AE89" s="19" t="str">
        <x:f>IF(COUNTA(Y89:AC89)=0,"",COUNTIF(Y89:AC89,"Yes")/COUNTA(Y89:AC89))</x:f>
      </x:c>
    </x:row>
    <x:row r="90">
      <x:c r="D90" s="18"/>
      <x:c r="E90" s="18"/>
      <x:c r="N90" s="44"/>
      <x:c r="O90" s="44"/>
      <x:c r="P90" s="44"/>
      <x:c r="Q90" s="44"/>
      <x:c r="R90" s="44"/>
      <x:c r="S90" s="44"/>
      <x:c r="T90" s="44"/>
      <x:c r="U90" s="44"/>
      <x:c r="V90" s="45"/>
      <x:c r="W90" s="45"/>
      <x:c r="X90" s="45"/>
      <x:c r="Y90" s="44"/>
      <x:c r="Z90" s="44"/>
      <x:c r="AA90" s="44"/>
      <x:c r="AB90" s="44"/>
      <x:c r="AC90" s="44"/>
      <x:c r="AD90" s="44"/>
      <x:c r="AE90" s="19" t="str">
        <x:f>IF(COUNTA(Y90:AC90)=0,"",COUNTIF(Y90:AC90,"Yes")/COUNTA(Y90:AC90))</x:f>
      </x:c>
    </x:row>
    <x:row r="91">
      <x:c r="D91" s="18"/>
      <x:c r="E91" s="18"/>
      <x:c r="N91" s="44"/>
      <x:c r="O91" s="44"/>
      <x:c r="P91" s="44"/>
      <x:c r="Q91" s="44"/>
      <x:c r="R91" s="44"/>
      <x:c r="S91" s="44"/>
      <x:c r="T91" s="44"/>
      <x:c r="U91" s="44"/>
      <x:c r="V91" s="45"/>
      <x:c r="W91" s="45"/>
      <x:c r="X91" s="45"/>
      <x:c r="Y91" s="44"/>
      <x:c r="Z91" s="44"/>
      <x:c r="AA91" s="44"/>
      <x:c r="AB91" s="44"/>
      <x:c r="AC91" s="44"/>
      <x:c r="AD91" s="44"/>
      <x:c r="AE91" s="19" t="str">
        <x:f>IF(COUNTA(Y91:AC91)=0,"",COUNTIF(Y91:AC91,"Yes")/COUNTA(Y91:AC91))</x:f>
      </x:c>
    </x:row>
    <x:row r="92">
      <x:c r="D92" s="18"/>
      <x:c r="E92" s="18"/>
      <x:c r="N92" s="44"/>
      <x:c r="O92" s="44"/>
      <x:c r="P92" s="44"/>
      <x:c r="Q92" s="44"/>
      <x:c r="R92" s="44"/>
      <x:c r="S92" s="44"/>
      <x:c r="T92" s="44"/>
      <x:c r="U92" s="44"/>
      <x:c r="V92" s="45"/>
      <x:c r="W92" s="45"/>
      <x:c r="X92" s="45"/>
      <x:c r="Y92" s="44"/>
      <x:c r="Z92" s="44"/>
      <x:c r="AA92" s="44"/>
      <x:c r="AB92" s="44"/>
      <x:c r="AC92" s="44"/>
      <x:c r="AD92" s="44"/>
      <x:c r="AE92" s="19" t="str">
        <x:f>IF(COUNTA(Y92:AC92)=0,"",COUNTIF(Y92:AC92,"Yes")/COUNTA(Y92:AC92))</x:f>
      </x:c>
    </x:row>
    <x:row r="93">
      <x:c r="D93" s="18"/>
      <x:c r="E93" s="18"/>
      <x:c r="N93" s="44"/>
      <x:c r="O93" s="44"/>
      <x:c r="P93" s="44"/>
      <x:c r="Q93" s="44"/>
      <x:c r="R93" s="44"/>
      <x:c r="S93" s="44"/>
      <x:c r="T93" s="44"/>
      <x:c r="U93" s="44"/>
      <x:c r="V93" s="45"/>
      <x:c r="W93" s="45"/>
      <x:c r="X93" s="45"/>
      <x:c r="Y93" s="44"/>
      <x:c r="Z93" s="44"/>
      <x:c r="AA93" s="44"/>
      <x:c r="AB93" s="44"/>
      <x:c r="AC93" s="44"/>
      <x:c r="AD93" s="44"/>
      <x:c r="AE93" s="19" t="str">
        <x:f>IF(COUNTA(Y93:AC93)=0,"",COUNTIF(Y93:AC93,"Yes")/COUNTA(Y93:AC93))</x:f>
      </x:c>
    </x:row>
    <x:row r="94">
      <x:c r="D94" s="18"/>
      <x:c r="E94" s="18"/>
      <x:c r="N94" s="44"/>
      <x:c r="O94" s="44"/>
      <x:c r="P94" s="44"/>
      <x:c r="Q94" s="44"/>
      <x:c r="R94" s="44"/>
      <x:c r="S94" s="44"/>
      <x:c r="T94" s="44"/>
      <x:c r="U94" s="44"/>
      <x:c r="V94" s="45"/>
      <x:c r="W94" s="45"/>
      <x:c r="X94" s="45"/>
      <x:c r="Y94" s="44"/>
      <x:c r="Z94" s="44"/>
      <x:c r="AA94" s="44"/>
      <x:c r="AB94" s="44"/>
      <x:c r="AC94" s="44"/>
      <x:c r="AD94" s="44"/>
      <x:c r="AE94" s="19" t="str">
        <x:f>IF(COUNTA(Y94:AC94)=0,"",COUNTIF(Y94:AC94,"Yes")/COUNTA(Y94:AC94))</x:f>
      </x:c>
    </x:row>
    <x:row r="95">
      <x:c r="D95" s="18"/>
      <x:c r="E95" s="18"/>
      <x:c r="N95" s="44"/>
      <x:c r="O95" s="44"/>
      <x:c r="P95" s="44"/>
      <x:c r="Q95" s="44"/>
      <x:c r="R95" s="44"/>
      <x:c r="S95" s="44"/>
      <x:c r="T95" s="44"/>
      <x:c r="U95" s="44"/>
      <x:c r="V95" s="45"/>
      <x:c r="W95" s="45"/>
      <x:c r="X95" s="45"/>
      <x:c r="Y95" s="44"/>
      <x:c r="Z95" s="44"/>
      <x:c r="AA95" s="44"/>
      <x:c r="AB95" s="44"/>
      <x:c r="AC95" s="44"/>
      <x:c r="AD95" s="44"/>
      <x:c r="AE95" s="19" t="str">
        <x:f>IF(COUNTA(Y95:AC95)=0,"",COUNTIF(Y95:AC95,"Yes")/COUNTA(Y95:AC95))</x:f>
      </x:c>
    </x:row>
    <x:row r="96">
      <x:c r="D96" s="18"/>
      <x:c r="E96" s="18"/>
      <x:c r="N96" s="44"/>
      <x:c r="O96" s="44"/>
      <x:c r="P96" s="44"/>
      <x:c r="Q96" s="44"/>
      <x:c r="R96" s="44"/>
      <x:c r="S96" s="44"/>
      <x:c r="T96" s="44"/>
      <x:c r="U96" s="44"/>
      <x:c r="V96" s="45"/>
      <x:c r="W96" s="45"/>
      <x:c r="X96" s="45"/>
      <x:c r="Y96" s="44"/>
      <x:c r="Z96" s="44"/>
      <x:c r="AA96" s="44"/>
      <x:c r="AB96" s="44"/>
      <x:c r="AC96" s="44"/>
      <x:c r="AD96" s="44"/>
      <x:c r="AE96" s="19" t="str">
        <x:f>IF(COUNTA(Y96:AC96)=0,"",COUNTIF(Y96:AC96,"Yes")/COUNTA(Y96:AC96))</x:f>
      </x:c>
    </x:row>
    <x:row r="97">
      <x:c r="D97" s="18"/>
      <x:c r="E97" s="18"/>
      <x:c r="N97" s="44"/>
      <x:c r="O97" s="44"/>
      <x:c r="P97" s="44"/>
      <x:c r="Q97" s="44"/>
      <x:c r="R97" s="44"/>
      <x:c r="S97" s="44"/>
      <x:c r="T97" s="44"/>
      <x:c r="U97" s="44"/>
      <x:c r="V97" s="45"/>
      <x:c r="W97" s="45"/>
      <x:c r="X97" s="45"/>
      <x:c r="Y97" s="44"/>
      <x:c r="Z97" s="44"/>
      <x:c r="AA97" s="44"/>
      <x:c r="AB97" s="44"/>
      <x:c r="AC97" s="44"/>
      <x:c r="AD97" s="44"/>
      <x:c r="AE97" s="19" t="str">
        <x:f>IF(COUNTA(Y97:AC97)=0,"",COUNTIF(Y97:AC97,"Yes")/COUNTA(Y97:AC97))</x:f>
      </x:c>
    </x:row>
    <x:row r="98">
      <x:c r="D98" s="18"/>
      <x:c r="E98" s="18"/>
      <x:c r="N98" s="44"/>
      <x:c r="O98" s="44"/>
      <x:c r="P98" s="44"/>
      <x:c r="Q98" s="44"/>
      <x:c r="R98" s="44"/>
      <x:c r="S98" s="44"/>
      <x:c r="T98" s="44"/>
      <x:c r="U98" s="44"/>
      <x:c r="V98" s="45"/>
      <x:c r="W98" s="45"/>
      <x:c r="X98" s="45"/>
      <x:c r="Y98" s="44"/>
      <x:c r="Z98" s="44"/>
      <x:c r="AA98" s="44"/>
      <x:c r="AB98" s="44"/>
      <x:c r="AC98" s="44"/>
      <x:c r="AD98" s="44"/>
      <x:c r="AE98" s="19" t="str">
        <x:f>IF(COUNTA(Y98:AC98)=0,"",COUNTIF(Y98:AC98,"Yes")/COUNTA(Y98:AC98))</x:f>
      </x:c>
    </x:row>
    <x:row r="99">
      <x:c r="D99" s="18"/>
      <x:c r="E99" s="18"/>
      <x:c r="N99" s="44"/>
      <x:c r="O99" s="44"/>
      <x:c r="P99" s="44"/>
      <x:c r="Q99" s="44"/>
      <x:c r="R99" s="44"/>
      <x:c r="S99" s="44"/>
      <x:c r="T99" s="44"/>
      <x:c r="U99" s="44"/>
      <x:c r="V99" s="45"/>
      <x:c r="W99" s="45"/>
      <x:c r="X99" s="45"/>
      <x:c r="Y99" s="44"/>
      <x:c r="Z99" s="44"/>
      <x:c r="AA99" s="44"/>
      <x:c r="AB99" s="44"/>
      <x:c r="AC99" s="44"/>
      <x:c r="AD99" s="44"/>
      <x:c r="AE99" s="19" t="str">
        <x:f>IF(COUNTA(Y99:AC99)=0,"",COUNTIF(Y99:AC99,"Yes")/COUNTA(Y99:AC99))</x:f>
      </x:c>
    </x:row>
    <x:row r="100">
      <x:c r="D100" s="18"/>
      <x:c r="E100" s="18"/>
      <x:c r="N100" s="44"/>
      <x:c r="O100" s="44"/>
      <x:c r="P100" s="44"/>
      <x:c r="Q100" s="44"/>
      <x:c r="R100" s="44"/>
      <x:c r="S100" s="44"/>
      <x:c r="T100" s="44"/>
      <x:c r="U100" s="44"/>
      <x:c r="V100" s="45"/>
      <x:c r="W100" s="45"/>
      <x:c r="X100" s="45"/>
      <x:c r="Y100" s="44"/>
      <x:c r="Z100" s="44"/>
      <x:c r="AA100" s="44"/>
      <x:c r="AB100" s="44"/>
      <x:c r="AC100" s="44"/>
      <x:c r="AD100" s="44"/>
      <x:c r="AE100" s="19" t="str">
        <x:f>IF(COUNTA(Y100:AC100)=0,"",COUNTIF(Y100:AC100,"Yes")/COUNTA(Y100:AC100))</x:f>
      </x:c>
    </x:row>
    <x:row r="101">
      <x:c r="D101" s="18"/>
      <x:c r="E101" s="18"/>
      <x:c r="N101" s="44"/>
      <x:c r="O101" s="44"/>
      <x:c r="P101" s="44"/>
      <x:c r="Q101" s="44"/>
      <x:c r="R101" s="44"/>
      <x:c r="S101" s="44"/>
      <x:c r="T101" s="44"/>
      <x:c r="U101" s="44"/>
      <x:c r="V101" s="45"/>
      <x:c r="W101" s="45"/>
      <x:c r="X101" s="45"/>
      <x:c r="Y101" s="44"/>
      <x:c r="Z101" s="44"/>
      <x:c r="AA101" s="44"/>
      <x:c r="AB101" s="44"/>
      <x:c r="AC101" s="44"/>
      <x:c r="AD101" s="44"/>
      <x:c r="AE101" s="19" t="str">
        <x:f>IF(COUNTA(Y101:AC101)=0,"",COUNTIF(Y101:AC101,"Yes")/COUNTA(Y101:AC101))</x:f>
      </x:c>
    </x:row>
    <x:row r="102">
      <x:c r="D102" s="18"/>
      <x:c r="E102" s="18"/>
      <x:c r="N102" s="44"/>
      <x:c r="O102" s="44"/>
      <x:c r="P102" s="44"/>
      <x:c r="Q102" s="44"/>
      <x:c r="R102" s="44"/>
      <x:c r="S102" s="44"/>
      <x:c r="T102" s="44"/>
      <x:c r="U102" s="44"/>
      <x:c r="V102" s="45"/>
      <x:c r="W102" s="45"/>
      <x:c r="X102" s="45"/>
      <x:c r="Y102" s="44"/>
      <x:c r="Z102" s="44"/>
      <x:c r="AA102" s="44"/>
      <x:c r="AB102" s="44"/>
      <x:c r="AC102" s="44"/>
      <x:c r="AD102" s="44"/>
      <x:c r="AE102" s="19" t="str">
        <x:f>IF(COUNTA(Y102:AC102)=0,"",COUNTIF(Y102:AC102,"Yes")/COUNTA(Y102:AC102))</x:f>
      </x:c>
    </x:row>
    <x:row r="103">
      <x:c r="D103" s="18"/>
      <x:c r="E103" s="18"/>
      <x:c r="N103" s="44"/>
      <x:c r="O103" s="44"/>
      <x:c r="P103" s="44"/>
      <x:c r="Q103" s="44"/>
      <x:c r="R103" s="44"/>
      <x:c r="S103" s="44"/>
      <x:c r="T103" s="44"/>
      <x:c r="U103" s="44"/>
      <x:c r="V103" s="45"/>
      <x:c r="W103" s="45"/>
      <x:c r="X103" s="45"/>
      <x:c r="Y103" s="44"/>
      <x:c r="Z103" s="44"/>
      <x:c r="AA103" s="44"/>
      <x:c r="AB103" s="44"/>
      <x:c r="AC103" s="44"/>
      <x:c r="AD103" s="44"/>
      <x:c r="AE103" s="19" t="str">
        <x:f>IF(COUNTA(Y103:AC103)=0,"",COUNTIF(Y103:AC103,"Yes")/COUNTA(Y103:AC103))</x:f>
      </x:c>
    </x:row>
    <x:row r="104">
      <x:c r="D104" s="18"/>
      <x:c r="E104" s="18"/>
      <x:c r="N104" s="44"/>
      <x:c r="O104" s="44"/>
      <x:c r="P104" s="44"/>
      <x:c r="Q104" s="44"/>
      <x:c r="R104" s="44"/>
      <x:c r="S104" s="44"/>
      <x:c r="T104" s="44"/>
      <x:c r="U104" s="44"/>
      <x:c r="V104" s="45"/>
      <x:c r="W104" s="45"/>
      <x:c r="X104" s="45"/>
      <x:c r="Y104" s="44"/>
      <x:c r="Z104" s="44"/>
      <x:c r="AA104" s="44"/>
      <x:c r="AB104" s="44"/>
      <x:c r="AC104" s="44"/>
      <x:c r="AD104" s="44"/>
      <x:c r="AE104" s="19" t="str">
        <x:f>IF(COUNTA(Y104:AC104)=0,"",COUNTIF(Y104:AC104,"Yes")/COUNTA(Y104:AC104))</x:f>
      </x:c>
    </x:row>
    <x:row r="105">
      <x:c r="D105" s="18"/>
      <x:c r="E105" s="18"/>
      <x:c r="N105" s="44"/>
      <x:c r="O105" s="44"/>
      <x:c r="P105" s="44"/>
      <x:c r="Q105" s="44"/>
      <x:c r="R105" s="44"/>
      <x:c r="S105" s="44"/>
      <x:c r="T105" s="44"/>
      <x:c r="U105" s="44"/>
      <x:c r="V105" s="45"/>
      <x:c r="W105" s="45"/>
      <x:c r="X105" s="45"/>
      <x:c r="Y105" s="44"/>
      <x:c r="Z105" s="44"/>
      <x:c r="AA105" s="44"/>
      <x:c r="AB105" s="44"/>
      <x:c r="AC105" s="44"/>
      <x:c r="AD105" s="44"/>
      <x:c r="AE105" s="19" t="str">
        <x:f>IF(COUNTA(Y105:AC105)=0,"",COUNTIF(Y105:AC105,"Yes")/COUNTA(Y105:AC105))</x:f>
      </x:c>
    </x:row>
    <x:row r="106">
      <x:c r="D106" s="18"/>
      <x:c r="E106" s="18"/>
      <x:c r="N106" s="44"/>
      <x:c r="O106" s="44"/>
      <x:c r="P106" s="44"/>
      <x:c r="Q106" s="44"/>
      <x:c r="R106" s="44"/>
      <x:c r="S106" s="44"/>
      <x:c r="T106" s="44"/>
      <x:c r="U106" s="44"/>
      <x:c r="V106" s="45"/>
      <x:c r="W106" s="45"/>
      <x:c r="X106" s="45"/>
      <x:c r="Y106" s="44"/>
      <x:c r="Z106" s="44"/>
      <x:c r="AA106" s="44"/>
      <x:c r="AB106" s="44"/>
      <x:c r="AC106" s="44"/>
      <x:c r="AD106" s="44"/>
      <x:c r="AE106" s="19" t="str">
        <x:f>IF(COUNTA(Y106:AC106)=0,"",COUNTIF(Y106:AC106,"Yes")/COUNTA(Y106:AC106))</x:f>
      </x:c>
    </x:row>
    <x:row r="107">
      <x:c r="D107" s="18"/>
      <x:c r="E107" s="18"/>
      <x:c r="N107" s="44"/>
      <x:c r="O107" s="44"/>
      <x:c r="P107" s="44"/>
      <x:c r="Q107" s="44"/>
      <x:c r="R107" s="44"/>
      <x:c r="S107" s="44"/>
      <x:c r="T107" s="44"/>
      <x:c r="U107" s="44"/>
      <x:c r="V107" s="45"/>
      <x:c r="W107" s="45"/>
      <x:c r="X107" s="45"/>
      <x:c r="Y107" s="44"/>
      <x:c r="Z107" s="44"/>
      <x:c r="AA107" s="44"/>
      <x:c r="AB107" s="44"/>
      <x:c r="AC107" s="44"/>
      <x:c r="AD107" s="44"/>
      <x:c r="AE107" s="19" t="str">
        <x:f>IF(COUNTA(Y107:AC107)=0,"",COUNTIF(Y107:AC107,"Yes")/COUNTA(Y107:AC107))</x:f>
      </x:c>
    </x:row>
    <x:row r="108">
      <x:c r="D108" s="18"/>
      <x:c r="E108" s="18"/>
      <x:c r="N108" s="44"/>
      <x:c r="O108" s="44"/>
      <x:c r="P108" s="44"/>
      <x:c r="Q108" s="44"/>
      <x:c r="R108" s="44"/>
      <x:c r="S108" s="44"/>
      <x:c r="T108" s="44"/>
      <x:c r="U108" s="44"/>
      <x:c r="V108" s="45"/>
      <x:c r="W108" s="45"/>
      <x:c r="X108" s="45"/>
      <x:c r="Y108" s="44"/>
      <x:c r="Z108" s="44"/>
      <x:c r="AA108" s="44"/>
      <x:c r="AB108" s="44"/>
      <x:c r="AC108" s="44"/>
      <x:c r="AD108" s="44"/>
      <x:c r="AE108" s="19" t="str">
        <x:f>IF(COUNTA(Y108:AC108)=0,"",COUNTIF(Y108:AC108,"Yes")/COUNTA(Y108:AC108))</x:f>
      </x:c>
    </x:row>
    <x:row r="109">
      <x:c r="D109" s="18"/>
      <x:c r="E109" s="18"/>
      <x:c r="N109" s="44"/>
      <x:c r="O109" s="44"/>
      <x:c r="P109" s="44"/>
      <x:c r="Q109" s="44"/>
      <x:c r="R109" s="44"/>
      <x:c r="S109" s="44"/>
      <x:c r="T109" s="44"/>
      <x:c r="U109" s="44"/>
      <x:c r="V109" s="45"/>
      <x:c r="W109" s="45"/>
      <x:c r="X109" s="45"/>
      <x:c r="Y109" s="44"/>
      <x:c r="Z109" s="44"/>
      <x:c r="AA109" s="44"/>
      <x:c r="AB109" s="44"/>
      <x:c r="AC109" s="44"/>
      <x:c r="AD109" s="44"/>
      <x:c r="AE109" s="19" t="str">
        <x:f>IF(COUNTA(Y109:AC109)=0,"",COUNTIF(Y109:AC109,"Yes")/COUNTA(Y109:AC109))</x:f>
      </x:c>
    </x:row>
    <x:row r="110">
      <x:c r="D110" s="18"/>
      <x:c r="E110" s="18"/>
      <x:c r="N110" s="44"/>
      <x:c r="O110" s="44"/>
      <x:c r="P110" s="44"/>
      <x:c r="Q110" s="44"/>
      <x:c r="R110" s="44"/>
      <x:c r="S110" s="44"/>
      <x:c r="T110" s="44"/>
      <x:c r="U110" s="44"/>
      <x:c r="V110" s="45"/>
      <x:c r="W110" s="45"/>
      <x:c r="X110" s="45"/>
      <x:c r="Y110" s="44"/>
      <x:c r="Z110" s="44"/>
      <x:c r="AA110" s="44"/>
      <x:c r="AB110" s="44"/>
      <x:c r="AC110" s="44"/>
      <x:c r="AD110" s="44"/>
      <x:c r="AE110" s="19" t="str">
        <x:f>IF(COUNTA(Y110:AC110)=0,"",COUNTIF(Y110:AC110,"Yes")/COUNTA(Y110:AC110))</x:f>
      </x:c>
    </x:row>
    <x:row r="111">
      <x:c r="D111" s="18"/>
      <x:c r="E111" s="18"/>
      <x:c r="N111" s="44"/>
      <x:c r="O111" s="44"/>
      <x:c r="P111" s="44"/>
      <x:c r="Q111" s="44"/>
      <x:c r="R111" s="44"/>
      <x:c r="S111" s="44"/>
      <x:c r="T111" s="44"/>
      <x:c r="U111" s="44"/>
      <x:c r="V111" s="45"/>
      <x:c r="W111" s="45"/>
      <x:c r="X111" s="45"/>
      <x:c r="Y111" s="44"/>
      <x:c r="Z111" s="44"/>
      <x:c r="AA111" s="44"/>
      <x:c r="AB111" s="44"/>
      <x:c r="AC111" s="44"/>
      <x:c r="AD111" s="44"/>
      <x:c r="AE111" s="19" t="str">
        <x:f>IF(COUNTA(Y111:AC111)=0,"",COUNTIF(Y111:AC111,"Yes")/COUNTA(Y111:AC111))</x:f>
      </x:c>
    </x:row>
    <x:row r="112">
      <x:c r="D112" s="18"/>
      <x:c r="E112" s="18"/>
      <x:c r="N112" s="44"/>
      <x:c r="O112" s="44"/>
      <x:c r="P112" s="44"/>
      <x:c r="Q112" s="44"/>
      <x:c r="R112" s="44"/>
      <x:c r="S112" s="44"/>
      <x:c r="T112" s="44"/>
      <x:c r="U112" s="44"/>
      <x:c r="V112" s="45"/>
      <x:c r="W112" s="45"/>
      <x:c r="X112" s="45"/>
      <x:c r="Y112" s="44"/>
      <x:c r="Z112" s="44"/>
      <x:c r="AA112" s="44"/>
      <x:c r="AB112" s="44"/>
      <x:c r="AC112" s="44"/>
      <x:c r="AD112" s="44"/>
      <x:c r="AE112" s="19" t="str">
        <x:f>IF(COUNTA(Y112:AC112)=0,"",COUNTIF(Y112:AC112,"Yes")/COUNTA(Y112:AC112))</x:f>
      </x:c>
    </x:row>
    <x:row r="113">
      <x:c r="D113" s="18"/>
      <x:c r="E113" s="18"/>
      <x:c r="N113" s="44"/>
      <x:c r="O113" s="44"/>
      <x:c r="P113" s="44"/>
      <x:c r="Q113" s="44"/>
      <x:c r="R113" s="44"/>
      <x:c r="S113" s="44"/>
      <x:c r="T113" s="44"/>
      <x:c r="U113" s="44"/>
      <x:c r="V113" s="45"/>
      <x:c r="W113" s="45"/>
      <x:c r="X113" s="45"/>
      <x:c r="Y113" s="44"/>
      <x:c r="Z113" s="44"/>
      <x:c r="AA113" s="44"/>
      <x:c r="AB113" s="44"/>
      <x:c r="AC113" s="44"/>
      <x:c r="AD113" s="44"/>
      <x:c r="AE113" s="19" t="str">
        <x:f>IF(COUNTA(Y113:AC113)=0,"",COUNTIF(Y113:AC113,"Yes")/COUNTA(Y113:AC113))</x:f>
      </x:c>
    </x:row>
    <x:row r="114">
      <x:c r="D114" s="18"/>
      <x:c r="E114" s="18"/>
      <x:c r="N114" s="44"/>
      <x:c r="O114" s="44"/>
      <x:c r="P114" s="44"/>
      <x:c r="Q114" s="44"/>
      <x:c r="R114" s="44"/>
      <x:c r="S114" s="44"/>
      <x:c r="T114" s="44"/>
      <x:c r="U114" s="44"/>
      <x:c r="V114" s="45"/>
      <x:c r="W114" s="45"/>
      <x:c r="X114" s="45"/>
      <x:c r="Y114" s="44"/>
      <x:c r="Z114" s="44"/>
      <x:c r="AA114" s="44"/>
      <x:c r="AB114" s="44"/>
      <x:c r="AC114" s="44"/>
      <x:c r="AD114" s="44"/>
      <x:c r="AE114" s="19" t="str">
        <x:f>IF(COUNTA(Y114:AC114)=0,"",COUNTIF(Y114:AC114,"Yes")/COUNTA(Y114:AC114))</x:f>
      </x:c>
    </x:row>
    <x:row r="115">
      <x:c r="D115" s="18"/>
      <x:c r="E115" s="18"/>
      <x:c r="N115" s="44"/>
      <x:c r="O115" s="44"/>
      <x:c r="P115" s="44"/>
      <x:c r="Q115" s="44"/>
      <x:c r="R115" s="44"/>
      <x:c r="S115" s="44"/>
      <x:c r="T115" s="44"/>
      <x:c r="U115" s="44"/>
      <x:c r="V115" s="45"/>
      <x:c r="W115" s="45"/>
      <x:c r="X115" s="45"/>
      <x:c r="Y115" s="44"/>
      <x:c r="Z115" s="44"/>
      <x:c r="AA115" s="44"/>
      <x:c r="AB115" s="44"/>
      <x:c r="AC115" s="44"/>
      <x:c r="AD115" s="44"/>
      <x:c r="AE115" s="19" t="str">
        <x:f>IF(COUNTA(Y115:AC115)=0,"",COUNTIF(Y115:AC115,"Yes")/COUNTA(Y115:AC115))</x:f>
      </x:c>
    </x:row>
    <x:row r="116">
      <x:c r="D116" s="18"/>
      <x:c r="E116" s="18"/>
      <x:c r="N116" s="44"/>
      <x:c r="O116" s="44"/>
      <x:c r="P116" s="44"/>
      <x:c r="Q116" s="44"/>
      <x:c r="R116" s="44"/>
      <x:c r="S116" s="44"/>
      <x:c r="T116" s="44"/>
      <x:c r="U116" s="44"/>
      <x:c r="V116" s="45"/>
      <x:c r="W116" s="45"/>
      <x:c r="X116" s="45"/>
      <x:c r="Y116" s="44"/>
      <x:c r="Z116" s="44"/>
      <x:c r="AA116" s="44"/>
      <x:c r="AB116" s="44"/>
      <x:c r="AC116" s="44"/>
      <x:c r="AD116" s="44"/>
      <x:c r="AE116" s="19" t="str">
        <x:f>IF(COUNTA(Y116:AC116)=0,"",COUNTIF(Y116:AC116,"Yes")/COUNTA(Y116:AC116))</x:f>
      </x:c>
    </x:row>
    <x:row r="117">
      <x:c r="D117" s="18"/>
      <x:c r="E117" s="18"/>
      <x:c r="N117" s="44"/>
      <x:c r="O117" s="44"/>
      <x:c r="P117" s="44"/>
      <x:c r="Q117" s="44"/>
      <x:c r="R117" s="44"/>
      <x:c r="S117" s="44"/>
      <x:c r="T117" s="44"/>
      <x:c r="U117" s="44"/>
      <x:c r="V117" s="45"/>
      <x:c r="W117" s="45"/>
      <x:c r="X117" s="45"/>
      <x:c r="Y117" s="44"/>
      <x:c r="Z117" s="44"/>
      <x:c r="AA117" s="44"/>
      <x:c r="AB117" s="44"/>
      <x:c r="AC117" s="44"/>
      <x:c r="AD117" s="44"/>
      <x:c r="AE117" s="19" t="str">
        <x:f>IF(COUNTA(Y117:AC117)=0,"",COUNTIF(Y117:AC117,"Yes")/COUNTA(Y117:AC117))</x:f>
      </x:c>
    </x:row>
    <x:row r="118">
      <x:c r="D118" s="18"/>
      <x:c r="E118" s="18"/>
      <x:c r="N118" s="44"/>
      <x:c r="O118" s="44"/>
      <x:c r="P118" s="44"/>
      <x:c r="Q118" s="44"/>
      <x:c r="R118" s="44"/>
      <x:c r="S118" s="44"/>
      <x:c r="T118" s="44"/>
      <x:c r="U118" s="44"/>
      <x:c r="V118" s="45"/>
      <x:c r="W118" s="45"/>
      <x:c r="X118" s="45"/>
      <x:c r="Y118" s="44"/>
      <x:c r="Z118" s="44"/>
      <x:c r="AA118" s="44"/>
      <x:c r="AB118" s="44"/>
      <x:c r="AC118" s="44"/>
      <x:c r="AD118" s="44"/>
      <x:c r="AE118" s="19" t="str">
        <x:f>IF(COUNTA(Y118:AC118)=0,"",COUNTIF(Y118:AC118,"Yes")/COUNTA(Y118:AC118))</x:f>
      </x:c>
    </x:row>
    <x:row r="119">
      <x:c r="D119" s="18"/>
      <x:c r="E119" s="18"/>
      <x:c r="N119" s="44"/>
      <x:c r="O119" s="44"/>
      <x:c r="P119" s="44"/>
      <x:c r="Q119" s="44"/>
      <x:c r="R119" s="44"/>
      <x:c r="S119" s="44"/>
      <x:c r="T119" s="44"/>
      <x:c r="U119" s="44"/>
      <x:c r="V119" s="45"/>
      <x:c r="W119" s="45"/>
      <x:c r="X119" s="45"/>
      <x:c r="Y119" s="44"/>
      <x:c r="Z119" s="44"/>
      <x:c r="AA119" s="44"/>
      <x:c r="AB119" s="44"/>
      <x:c r="AC119" s="44"/>
      <x:c r="AD119" s="44"/>
      <x:c r="AE119" s="19" t="str">
        <x:f>IF(COUNTA(Y119:AC119)=0,"",COUNTIF(Y119:AC119,"Yes")/COUNTA(Y119:AC119))</x:f>
      </x:c>
    </x:row>
    <x:row r="120">
      <x:c r="D120" s="18"/>
      <x:c r="E120" s="18"/>
      <x:c r="N120" s="44"/>
      <x:c r="O120" s="44"/>
      <x:c r="P120" s="44"/>
      <x:c r="Q120" s="44"/>
      <x:c r="R120" s="44"/>
      <x:c r="S120" s="44"/>
      <x:c r="T120" s="44"/>
      <x:c r="U120" s="44"/>
      <x:c r="V120" s="45"/>
      <x:c r="W120" s="45"/>
      <x:c r="X120" s="45"/>
      <x:c r="Y120" s="44"/>
      <x:c r="Z120" s="44"/>
      <x:c r="AA120" s="44"/>
      <x:c r="AB120" s="44"/>
      <x:c r="AC120" s="44"/>
      <x:c r="AD120" s="44"/>
      <x:c r="AE120" s="19" t="str">
        <x:f>IF(COUNTA(Y120:AC120)=0,"",COUNTIF(Y120:AC120,"Yes")/COUNTA(Y120:AC120))</x:f>
      </x:c>
    </x:row>
    <x:row r="121">
      <x:c r="D121" s="18"/>
      <x:c r="E121" s="18"/>
      <x:c r="N121" s="44"/>
      <x:c r="O121" s="44"/>
      <x:c r="P121" s="44"/>
      <x:c r="Q121" s="44"/>
      <x:c r="R121" s="44"/>
      <x:c r="S121" s="44"/>
      <x:c r="T121" s="44"/>
      <x:c r="U121" s="44"/>
      <x:c r="V121" s="45"/>
      <x:c r="W121" s="45"/>
      <x:c r="X121" s="45"/>
      <x:c r="Y121" s="44"/>
      <x:c r="Z121" s="44"/>
      <x:c r="AA121" s="44"/>
      <x:c r="AB121" s="44"/>
      <x:c r="AC121" s="44"/>
      <x:c r="AD121" s="44"/>
      <x:c r="AE121" s="19" t="str">
        <x:f>IF(COUNTA(Y121:AC121)=0,"",COUNTIF(Y121:AC121,"Yes")/COUNTA(Y121:AC121))</x:f>
      </x:c>
    </x:row>
    <x:row r="122">
      <x:c r="D122" s="18"/>
      <x:c r="E122" s="18"/>
      <x:c r="N122" s="44"/>
      <x:c r="O122" s="44"/>
      <x:c r="P122" s="44"/>
      <x:c r="Q122" s="44"/>
      <x:c r="R122" s="44"/>
      <x:c r="S122" s="44"/>
      <x:c r="T122" s="44"/>
      <x:c r="U122" s="44"/>
      <x:c r="V122" s="45"/>
      <x:c r="W122" s="45"/>
      <x:c r="X122" s="45"/>
      <x:c r="Y122" s="44"/>
      <x:c r="Z122" s="44"/>
      <x:c r="AA122" s="44"/>
      <x:c r="AB122" s="44"/>
      <x:c r="AC122" s="44"/>
      <x:c r="AD122" s="44"/>
      <x:c r="AE122" s="19" t="str">
        <x:f>IF(COUNTA(Y122:AC122)=0,"",COUNTIF(Y122:AC122,"Yes")/COUNTA(Y122:AC122))</x:f>
      </x:c>
    </x:row>
    <x:row r="123">
      <x:c r="D123" s="18"/>
      <x:c r="E123" s="18"/>
      <x:c r="N123" s="44"/>
      <x:c r="O123" s="44"/>
      <x:c r="P123" s="44"/>
      <x:c r="Q123" s="44"/>
      <x:c r="R123" s="44"/>
      <x:c r="S123" s="44"/>
      <x:c r="T123" s="44"/>
      <x:c r="U123" s="44"/>
      <x:c r="V123" s="45"/>
      <x:c r="W123" s="45"/>
      <x:c r="X123" s="45"/>
      <x:c r="Y123" s="44"/>
      <x:c r="Z123" s="44"/>
      <x:c r="AA123" s="44"/>
      <x:c r="AB123" s="44"/>
      <x:c r="AC123" s="44"/>
      <x:c r="AD123" s="44"/>
      <x:c r="AE123" s="19" t="str">
        <x:f>IF(COUNTA(Y123:AC123)=0,"",COUNTIF(Y123:AC123,"Yes")/COUNTA(Y123:AC123))</x:f>
      </x:c>
    </x:row>
    <x:row r="124">
      <x:c r="D124" s="18"/>
      <x:c r="E124" s="18"/>
      <x:c r="N124" s="44"/>
      <x:c r="O124" s="44"/>
      <x:c r="P124" s="44"/>
      <x:c r="Q124" s="44"/>
      <x:c r="R124" s="44"/>
      <x:c r="S124" s="44"/>
      <x:c r="T124" s="44"/>
      <x:c r="U124" s="44"/>
      <x:c r="V124" s="45"/>
      <x:c r="W124" s="45"/>
      <x:c r="X124" s="45"/>
      <x:c r="Y124" s="44"/>
      <x:c r="Z124" s="44"/>
      <x:c r="AA124" s="44"/>
      <x:c r="AB124" s="44"/>
      <x:c r="AC124" s="44"/>
      <x:c r="AD124" s="44"/>
      <x:c r="AE124" s="19" t="str">
        <x:f>IF(COUNTA(Y124:AC124)=0,"",COUNTIF(Y124:AC124,"Yes")/COUNTA(Y124:AC124))</x:f>
      </x:c>
    </x:row>
    <x:row r="125">
      <x:c r="D125" s="18"/>
      <x:c r="E125" s="18"/>
      <x:c r="N125" s="44"/>
      <x:c r="O125" s="44"/>
      <x:c r="P125" s="44"/>
      <x:c r="Q125" s="44"/>
      <x:c r="R125" s="44"/>
      <x:c r="S125" s="44"/>
      <x:c r="T125" s="44"/>
      <x:c r="U125" s="44"/>
      <x:c r="V125" s="45"/>
      <x:c r="W125" s="45"/>
      <x:c r="X125" s="45"/>
      <x:c r="Y125" s="44"/>
      <x:c r="Z125" s="44"/>
      <x:c r="AA125" s="44"/>
      <x:c r="AB125" s="44"/>
      <x:c r="AC125" s="44"/>
      <x:c r="AD125" s="44"/>
      <x:c r="AE125" s="19" t="str">
        <x:f>IF(COUNTA(Y125:AC125)=0,"",COUNTIF(Y125:AC125,"Yes")/COUNTA(Y125:AC125))</x:f>
      </x:c>
    </x:row>
    <x:row r="126">
      <x:c r="D126" s="18"/>
      <x:c r="E126" s="18"/>
      <x:c r="N126" s="44"/>
      <x:c r="O126" s="44"/>
      <x:c r="P126" s="44"/>
      <x:c r="Q126" s="44"/>
      <x:c r="R126" s="44"/>
      <x:c r="S126" s="44"/>
      <x:c r="T126" s="44"/>
      <x:c r="U126" s="44"/>
      <x:c r="V126" s="45"/>
      <x:c r="W126" s="45"/>
      <x:c r="X126" s="45"/>
      <x:c r="Y126" s="44"/>
      <x:c r="Z126" s="44"/>
      <x:c r="AA126" s="44"/>
      <x:c r="AB126" s="44"/>
      <x:c r="AC126" s="44"/>
      <x:c r="AD126" s="44"/>
      <x:c r="AE126" s="19" t="str">
        <x:f>IF(COUNTA(Y126:AC126)=0,"",COUNTIF(Y126:AC126,"Yes")/COUNTA(Y126:AC126))</x:f>
      </x:c>
    </x:row>
    <x:row r="127">
      <x:c r="D127" s="18"/>
      <x:c r="E127" s="18"/>
      <x:c r="N127" s="44"/>
      <x:c r="O127" s="44"/>
      <x:c r="P127" s="44"/>
      <x:c r="Q127" s="44"/>
      <x:c r="R127" s="44"/>
      <x:c r="S127" s="44"/>
      <x:c r="T127" s="44"/>
      <x:c r="U127" s="44"/>
      <x:c r="V127" s="45"/>
      <x:c r="W127" s="45"/>
      <x:c r="X127" s="45"/>
      <x:c r="Y127" s="44"/>
      <x:c r="Z127" s="44"/>
      <x:c r="AA127" s="44"/>
      <x:c r="AB127" s="44"/>
      <x:c r="AC127" s="44"/>
      <x:c r="AD127" s="44"/>
      <x:c r="AE127" s="19" t="str">
        <x:f>IF(COUNTA(Y127:AC127)=0,"",COUNTIF(Y127:AC127,"Yes")/COUNTA(Y127:AC127))</x:f>
      </x:c>
    </x:row>
    <x:row r="128">
      <x:c r="D128" s="18"/>
      <x:c r="E128" s="18"/>
      <x:c r="N128" s="44"/>
      <x:c r="O128" s="44"/>
      <x:c r="P128" s="44"/>
      <x:c r="Q128" s="44"/>
      <x:c r="R128" s="44"/>
      <x:c r="S128" s="44"/>
      <x:c r="T128" s="44"/>
      <x:c r="U128" s="44"/>
      <x:c r="V128" s="45"/>
      <x:c r="W128" s="45"/>
      <x:c r="X128" s="45"/>
      <x:c r="Y128" s="44"/>
      <x:c r="Z128" s="44"/>
      <x:c r="AA128" s="44"/>
      <x:c r="AB128" s="44"/>
      <x:c r="AC128" s="44"/>
      <x:c r="AD128" s="44"/>
      <x:c r="AE128" s="19" t="str">
        <x:f>IF(COUNTA(Y128:AC128)=0,"",COUNTIF(Y128:AC128,"Yes")/COUNTA(Y128:AC128))</x:f>
      </x:c>
    </x:row>
    <x:row r="129">
      <x:c r="D129" s="18"/>
      <x:c r="E129" s="18"/>
      <x:c r="N129" s="44"/>
      <x:c r="O129" s="44"/>
      <x:c r="P129" s="44"/>
      <x:c r="Q129" s="44"/>
      <x:c r="R129" s="44"/>
      <x:c r="S129" s="44"/>
      <x:c r="T129" s="44"/>
      <x:c r="U129" s="44"/>
      <x:c r="V129" s="45"/>
      <x:c r="W129" s="45"/>
      <x:c r="X129" s="45"/>
      <x:c r="Y129" s="44"/>
      <x:c r="Z129" s="44"/>
      <x:c r="AA129" s="44"/>
      <x:c r="AB129" s="44"/>
      <x:c r="AC129" s="44"/>
      <x:c r="AD129" s="44"/>
      <x:c r="AE129" s="19" t="str">
        <x:f>IF(COUNTA(Y129:AC129)=0,"",COUNTIF(Y129:AC129,"Yes")/COUNTA(Y129:AC129))</x:f>
      </x:c>
    </x:row>
    <x:row r="130">
      <x:c r="D130" s="18"/>
      <x:c r="E130" s="18"/>
      <x:c r="N130" s="44"/>
      <x:c r="O130" s="44"/>
      <x:c r="P130" s="44"/>
      <x:c r="Q130" s="44"/>
      <x:c r="R130" s="44"/>
      <x:c r="S130" s="44"/>
      <x:c r="T130" s="44"/>
      <x:c r="U130" s="44"/>
      <x:c r="V130" s="45"/>
      <x:c r="W130" s="45"/>
      <x:c r="X130" s="45"/>
      <x:c r="Y130" s="44"/>
      <x:c r="Z130" s="44"/>
      <x:c r="AA130" s="44"/>
      <x:c r="AB130" s="44"/>
      <x:c r="AC130" s="44"/>
      <x:c r="AD130" s="44"/>
      <x:c r="AE130" s="19" t="str">
        <x:f>IF(COUNTA(Y130:AC130)=0,"",COUNTIF(Y130:AC130,"Yes")/COUNTA(Y130:AC130))</x:f>
      </x:c>
    </x:row>
    <x:row r="131">
      <x:c r="D131" s="18"/>
      <x:c r="E131" s="18"/>
      <x:c r="N131" s="44"/>
      <x:c r="O131" s="44"/>
      <x:c r="P131" s="44"/>
      <x:c r="Q131" s="44"/>
      <x:c r="R131" s="44"/>
      <x:c r="S131" s="44"/>
      <x:c r="T131" s="44"/>
      <x:c r="U131" s="44"/>
      <x:c r="V131" s="45"/>
      <x:c r="W131" s="45"/>
      <x:c r="X131" s="45"/>
      <x:c r="Y131" s="44"/>
      <x:c r="Z131" s="44"/>
      <x:c r="AA131" s="44"/>
      <x:c r="AB131" s="44"/>
      <x:c r="AC131" s="44"/>
      <x:c r="AD131" s="44"/>
      <x:c r="AE131" s="19" t="str">
        <x:f>IF(COUNTA(Y131:AC131)=0,"",COUNTIF(Y131:AC131,"Yes")/COUNTA(Y131:AC131))</x:f>
      </x:c>
    </x:row>
    <x:row r="132">
      <x:c r="D132" s="18"/>
      <x:c r="E132" s="18"/>
      <x:c r="N132" s="44"/>
      <x:c r="O132" s="44"/>
      <x:c r="P132" s="44"/>
      <x:c r="Q132" s="44"/>
      <x:c r="R132" s="44"/>
      <x:c r="S132" s="44"/>
      <x:c r="T132" s="44"/>
      <x:c r="U132" s="44"/>
      <x:c r="V132" s="45"/>
      <x:c r="W132" s="45"/>
      <x:c r="X132" s="45"/>
      <x:c r="Y132" s="44"/>
      <x:c r="Z132" s="44"/>
      <x:c r="AA132" s="44"/>
      <x:c r="AB132" s="44"/>
      <x:c r="AC132" s="44"/>
      <x:c r="AD132" s="44"/>
      <x:c r="AE132" s="19" t="str">
        <x:f>IF(COUNTA(Y132:AC132)=0,"",COUNTIF(Y132:AC132,"Yes")/COUNTA(Y132:AC132))</x:f>
      </x:c>
    </x:row>
    <x:row r="133">
      <x:c r="D133" s="18"/>
      <x:c r="E133" s="18"/>
      <x:c r="N133" s="44"/>
      <x:c r="O133" s="44"/>
      <x:c r="P133" s="44"/>
      <x:c r="Q133" s="44"/>
      <x:c r="R133" s="44"/>
      <x:c r="S133" s="44"/>
      <x:c r="T133" s="44"/>
      <x:c r="U133" s="44"/>
      <x:c r="V133" s="45"/>
      <x:c r="W133" s="45"/>
      <x:c r="X133" s="45"/>
      <x:c r="Y133" s="44"/>
      <x:c r="Z133" s="44"/>
      <x:c r="AA133" s="44"/>
      <x:c r="AB133" s="44"/>
      <x:c r="AC133" s="44"/>
      <x:c r="AD133" s="44"/>
      <x:c r="AE133" s="19" t="str">
        <x:f>IF(COUNTA(Y133:AC133)=0,"",COUNTIF(Y133:AC133,"Yes")/COUNTA(Y133:AC133))</x:f>
      </x:c>
    </x:row>
    <x:row r="134">
      <x:c r="D134" s="18"/>
      <x:c r="E134" s="18"/>
      <x:c r="N134" s="44"/>
      <x:c r="O134" s="44"/>
      <x:c r="P134" s="44"/>
      <x:c r="Q134" s="44"/>
      <x:c r="R134" s="44"/>
      <x:c r="S134" s="44"/>
      <x:c r="T134" s="44"/>
      <x:c r="U134" s="44"/>
      <x:c r="V134" s="45"/>
      <x:c r="W134" s="45"/>
      <x:c r="X134" s="45"/>
      <x:c r="Y134" s="44"/>
      <x:c r="Z134" s="44"/>
      <x:c r="AA134" s="44"/>
      <x:c r="AB134" s="44"/>
      <x:c r="AC134" s="44"/>
      <x:c r="AD134" s="44"/>
      <x:c r="AE134" s="19" t="str">
        <x:f>IF(COUNTA(Y134:AC134)=0,"",COUNTIF(Y134:AC134,"Yes")/COUNTA(Y134:AC134))</x:f>
      </x:c>
    </x:row>
    <x:row r="135">
      <x:c r="D135" s="18"/>
      <x:c r="E135" s="18"/>
      <x:c r="N135" s="44"/>
      <x:c r="O135" s="44"/>
      <x:c r="P135" s="44"/>
      <x:c r="Q135" s="44"/>
      <x:c r="R135" s="44"/>
      <x:c r="S135" s="44"/>
      <x:c r="T135" s="44"/>
      <x:c r="U135" s="44"/>
      <x:c r="V135" s="45"/>
      <x:c r="W135" s="45"/>
      <x:c r="X135" s="45"/>
      <x:c r="Y135" s="44"/>
      <x:c r="Z135" s="44"/>
      <x:c r="AA135" s="44"/>
      <x:c r="AB135" s="44"/>
      <x:c r="AC135" s="44"/>
      <x:c r="AD135" s="44"/>
      <x:c r="AE135" s="19" t="str">
        <x:f>IF(COUNTA(Y135:AC135)=0,"",COUNTIF(Y135:AC135,"Yes")/COUNTA(Y135:AC135))</x:f>
      </x:c>
    </x:row>
    <x:row r="136">
      <x:c r="D136" s="18"/>
      <x:c r="E136" s="18"/>
      <x:c r="N136" s="44"/>
      <x:c r="O136" s="44"/>
      <x:c r="P136" s="44"/>
      <x:c r="Q136" s="44"/>
      <x:c r="R136" s="44"/>
      <x:c r="S136" s="44"/>
      <x:c r="T136" s="44"/>
      <x:c r="U136" s="44"/>
      <x:c r="V136" s="45"/>
      <x:c r="W136" s="45"/>
      <x:c r="X136" s="45"/>
      <x:c r="Y136" s="44"/>
      <x:c r="Z136" s="44"/>
      <x:c r="AA136" s="44"/>
      <x:c r="AB136" s="44"/>
      <x:c r="AC136" s="44"/>
      <x:c r="AD136" s="44"/>
      <x:c r="AE136" s="19" t="str">
        <x:f>IF(COUNTA(Y136:AC136)=0,"",COUNTIF(Y136:AC136,"Yes")/COUNTA(Y136:AC136))</x:f>
      </x:c>
    </x:row>
    <x:row r="137">
      <x:c r="D137" s="18"/>
      <x:c r="E137" s="18"/>
      <x:c r="N137" s="44"/>
      <x:c r="O137" s="44"/>
      <x:c r="P137" s="44"/>
      <x:c r="Q137" s="44"/>
      <x:c r="R137" s="44"/>
      <x:c r="S137" s="44"/>
      <x:c r="T137" s="44"/>
      <x:c r="U137" s="44"/>
      <x:c r="V137" s="45"/>
      <x:c r="W137" s="45"/>
      <x:c r="X137" s="45"/>
      <x:c r="Y137" s="44"/>
      <x:c r="Z137" s="44"/>
      <x:c r="AA137" s="44"/>
      <x:c r="AB137" s="44"/>
      <x:c r="AC137" s="44"/>
      <x:c r="AD137" s="44"/>
      <x:c r="AE137" s="19" t="str">
        <x:f>IF(COUNTA(Y137:AC137)=0,"",COUNTIF(Y137:AC137,"Yes")/COUNTA(Y137:AC137))</x:f>
      </x:c>
    </x:row>
    <x:row r="138">
      <x:c r="D138" s="18"/>
      <x:c r="E138" s="18"/>
      <x:c r="N138" s="44"/>
      <x:c r="O138" s="44"/>
      <x:c r="P138" s="44"/>
      <x:c r="Q138" s="44"/>
      <x:c r="R138" s="44"/>
      <x:c r="S138" s="44"/>
      <x:c r="T138" s="44"/>
      <x:c r="U138" s="44"/>
      <x:c r="V138" s="45"/>
      <x:c r="W138" s="45"/>
      <x:c r="X138" s="45"/>
      <x:c r="Y138" s="44"/>
      <x:c r="Z138" s="44"/>
      <x:c r="AA138" s="44"/>
      <x:c r="AB138" s="44"/>
      <x:c r="AC138" s="44"/>
      <x:c r="AD138" s="44"/>
      <x:c r="AE138" s="19" t="str">
        <x:f>IF(COUNTA(Y138:AC138)=0,"",COUNTIF(Y138:AC138,"Yes")/COUNTA(Y138:AC138))</x:f>
      </x:c>
    </x:row>
    <x:row r="139">
      <x:c r="D139" s="18"/>
      <x:c r="E139" s="18"/>
      <x:c r="N139" s="44"/>
      <x:c r="O139" s="44"/>
      <x:c r="P139" s="44"/>
      <x:c r="Q139" s="44"/>
      <x:c r="R139" s="44"/>
      <x:c r="S139" s="44"/>
      <x:c r="T139" s="44"/>
      <x:c r="U139" s="44"/>
      <x:c r="V139" s="45"/>
      <x:c r="W139" s="45"/>
      <x:c r="X139" s="45"/>
      <x:c r="Y139" s="44"/>
      <x:c r="Z139" s="44"/>
      <x:c r="AA139" s="44"/>
      <x:c r="AB139" s="44"/>
      <x:c r="AC139" s="44"/>
      <x:c r="AD139" s="44"/>
      <x:c r="AE139" s="19" t="str">
        <x:f>IF(COUNTA(Y139:AC139)=0,"",COUNTIF(Y139:AC139,"Yes")/COUNTA(Y139:AC139))</x:f>
      </x:c>
    </x:row>
    <x:row r="140">
      <x:c r="D140" s="18"/>
      <x:c r="E140" s="18"/>
      <x:c r="N140" s="44"/>
      <x:c r="O140" s="44"/>
      <x:c r="P140" s="44"/>
      <x:c r="Q140" s="44"/>
      <x:c r="R140" s="44"/>
      <x:c r="S140" s="44"/>
      <x:c r="T140" s="44"/>
      <x:c r="U140" s="44"/>
      <x:c r="V140" s="45"/>
      <x:c r="W140" s="45"/>
      <x:c r="X140" s="45"/>
      <x:c r="Y140" s="44"/>
      <x:c r="Z140" s="44"/>
      <x:c r="AA140" s="44"/>
      <x:c r="AB140" s="44"/>
      <x:c r="AC140" s="44"/>
      <x:c r="AD140" s="44"/>
      <x:c r="AE140" s="19" t="str">
        <x:f>IF(COUNTA(Y140:AC140)=0,"",COUNTIF(Y140:AC140,"Yes")/COUNTA(Y140:AC140))</x:f>
      </x:c>
    </x:row>
    <x:row r="141">
      <x:c r="D141" s="18"/>
      <x:c r="E141" s="18"/>
      <x:c r="N141" s="44"/>
      <x:c r="O141" s="44"/>
      <x:c r="P141" s="44"/>
      <x:c r="Q141" s="44"/>
      <x:c r="R141" s="44"/>
      <x:c r="S141" s="44"/>
      <x:c r="T141" s="44"/>
      <x:c r="U141" s="44"/>
      <x:c r="V141" s="45"/>
      <x:c r="W141" s="45"/>
      <x:c r="X141" s="45"/>
      <x:c r="Y141" s="44"/>
      <x:c r="Z141" s="44"/>
      <x:c r="AA141" s="44"/>
      <x:c r="AB141" s="44"/>
      <x:c r="AC141" s="44"/>
      <x:c r="AD141" s="44"/>
      <x:c r="AE141" s="19" t="str">
        <x:f>IF(COUNTA(Y141:AC141)=0,"",COUNTIF(Y141:AC141,"Yes")/COUNTA(Y141:AC141))</x:f>
      </x:c>
    </x:row>
    <x:row r="142">
      <x:c r="D142" s="18"/>
      <x:c r="E142" s="18"/>
      <x:c r="N142" s="44"/>
      <x:c r="O142" s="44"/>
      <x:c r="P142" s="44"/>
      <x:c r="Q142" s="44"/>
      <x:c r="R142" s="44"/>
      <x:c r="S142" s="44"/>
      <x:c r="T142" s="44"/>
      <x:c r="U142" s="44"/>
      <x:c r="V142" s="45"/>
      <x:c r="W142" s="45"/>
      <x:c r="X142" s="45"/>
      <x:c r="Y142" s="44"/>
      <x:c r="Z142" s="44"/>
      <x:c r="AA142" s="44"/>
      <x:c r="AB142" s="44"/>
      <x:c r="AC142" s="44"/>
      <x:c r="AD142" s="44"/>
      <x:c r="AE142" s="19" t="str">
        <x:f>IF(COUNTA(Y142:AC142)=0,"",COUNTIF(Y142:AC142,"Yes")/COUNTA(Y142:AC142))</x:f>
      </x:c>
    </x:row>
    <x:row r="143">
      <x:c r="D143" s="18"/>
      <x:c r="E143" s="18"/>
      <x:c r="N143" s="44"/>
      <x:c r="O143" s="44"/>
      <x:c r="P143" s="44"/>
      <x:c r="Q143" s="44"/>
      <x:c r="R143" s="44"/>
      <x:c r="S143" s="44"/>
      <x:c r="T143" s="44"/>
      <x:c r="U143" s="44"/>
      <x:c r="V143" s="45"/>
      <x:c r="W143" s="45"/>
      <x:c r="X143" s="45"/>
      <x:c r="Y143" s="44"/>
      <x:c r="Z143" s="44"/>
      <x:c r="AA143" s="44"/>
      <x:c r="AB143" s="44"/>
      <x:c r="AC143" s="44"/>
      <x:c r="AD143" s="44"/>
      <x:c r="AE143" s="19" t="str">
        <x:f>IF(COUNTA(Y143:AC143)=0,"",COUNTIF(Y143:AC143,"Yes")/COUNTA(Y143:AC143))</x:f>
      </x:c>
    </x:row>
    <x:row r="144">
      <x:c r="D144" s="18"/>
      <x:c r="E144" s="18"/>
      <x:c r="N144" s="44"/>
      <x:c r="O144" s="44"/>
      <x:c r="P144" s="44"/>
      <x:c r="Q144" s="44"/>
      <x:c r="R144" s="44"/>
      <x:c r="S144" s="44"/>
      <x:c r="T144" s="44"/>
      <x:c r="U144" s="44"/>
      <x:c r="V144" s="45"/>
      <x:c r="W144" s="45"/>
      <x:c r="X144" s="45"/>
      <x:c r="Y144" s="44"/>
      <x:c r="Z144" s="44"/>
      <x:c r="AA144" s="44"/>
      <x:c r="AB144" s="44"/>
      <x:c r="AC144" s="44"/>
      <x:c r="AD144" s="44"/>
      <x:c r="AE144" s="19" t="str">
        <x:f>IF(COUNTA(Y144:AC144)=0,"",COUNTIF(Y144:AC144,"Yes")/COUNTA(Y144:AC144))</x:f>
      </x:c>
    </x:row>
    <x:row r="145">
      <x:c r="D145" s="18"/>
      <x:c r="E145" s="18"/>
      <x:c r="N145" s="44"/>
      <x:c r="O145" s="44"/>
      <x:c r="P145" s="44"/>
      <x:c r="Q145" s="44"/>
      <x:c r="R145" s="44"/>
      <x:c r="S145" s="44"/>
      <x:c r="T145" s="44"/>
      <x:c r="U145" s="44"/>
      <x:c r="V145" s="45"/>
      <x:c r="W145" s="45"/>
      <x:c r="X145" s="45"/>
      <x:c r="Y145" s="44"/>
      <x:c r="Z145" s="44"/>
      <x:c r="AA145" s="44"/>
      <x:c r="AB145" s="44"/>
      <x:c r="AC145" s="44"/>
      <x:c r="AD145" s="44"/>
      <x:c r="AE145" s="19" t="str">
        <x:f>IF(COUNTA(Y145:AC145)=0,"",COUNTIF(Y145:AC145,"Yes")/COUNTA(Y145:AC145))</x:f>
      </x:c>
    </x:row>
    <x:row r="146">
      <x:c r="D146" s="18"/>
      <x:c r="E146" s="18"/>
      <x:c r="N146" s="44"/>
      <x:c r="O146" s="44"/>
      <x:c r="P146" s="44"/>
      <x:c r="Q146" s="44"/>
      <x:c r="R146" s="44"/>
      <x:c r="S146" s="44"/>
      <x:c r="T146" s="44"/>
      <x:c r="U146" s="44"/>
      <x:c r="V146" s="45"/>
      <x:c r="W146" s="45"/>
      <x:c r="X146" s="45"/>
      <x:c r="Y146" s="44"/>
      <x:c r="Z146" s="44"/>
      <x:c r="AA146" s="44"/>
      <x:c r="AB146" s="44"/>
      <x:c r="AC146" s="44"/>
      <x:c r="AD146" s="44"/>
      <x:c r="AE146" s="19" t="str">
        <x:f>IF(COUNTA(Y146:AC146)=0,"",COUNTIF(Y146:AC146,"Yes")/COUNTA(Y146:AC146))</x:f>
      </x:c>
    </x:row>
    <x:row r="147">
      <x:c r="D147" s="18"/>
      <x:c r="E147" s="18"/>
      <x:c r="N147" s="44"/>
      <x:c r="O147" s="44"/>
      <x:c r="P147" s="44"/>
      <x:c r="Q147" s="44"/>
      <x:c r="R147" s="44"/>
      <x:c r="S147" s="44"/>
      <x:c r="T147" s="44"/>
      <x:c r="U147" s="44"/>
      <x:c r="V147" s="45"/>
      <x:c r="W147" s="45"/>
      <x:c r="X147" s="45"/>
      <x:c r="Y147" s="44"/>
      <x:c r="Z147" s="44"/>
      <x:c r="AA147" s="44"/>
      <x:c r="AB147" s="44"/>
      <x:c r="AC147" s="44"/>
      <x:c r="AD147" s="44"/>
      <x:c r="AE147" s="19" t="str">
        <x:f>IF(COUNTA(Y147:AC147)=0,"",COUNTIF(Y147:AC147,"Yes")/COUNTA(Y147:AC147))</x:f>
      </x:c>
    </x:row>
    <x:row r="148">
      <x:c r="D148" s="18"/>
      <x:c r="E148" s="18"/>
      <x:c r="N148" s="44"/>
      <x:c r="O148" s="44"/>
      <x:c r="P148" s="44"/>
      <x:c r="Q148" s="44"/>
      <x:c r="R148" s="44"/>
      <x:c r="S148" s="44"/>
      <x:c r="T148" s="44"/>
      <x:c r="U148" s="44"/>
      <x:c r="V148" s="45"/>
      <x:c r="W148" s="45"/>
      <x:c r="X148" s="45"/>
      <x:c r="Y148" s="44"/>
      <x:c r="Z148" s="44"/>
      <x:c r="AA148" s="44"/>
      <x:c r="AB148" s="44"/>
      <x:c r="AC148" s="44"/>
      <x:c r="AD148" s="44"/>
      <x:c r="AE148" s="19" t="str">
        <x:f>IF(COUNTA(Y148:AC148)=0,"",COUNTIF(Y148:AC148,"Yes")/COUNTA(Y148:AC148))</x:f>
      </x:c>
    </x:row>
    <x:row r="149">
      <x:c r="D149" s="18"/>
      <x:c r="E149" s="18"/>
      <x:c r="N149" s="44"/>
      <x:c r="O149" s="44"/>
      <x:c r="P149" s="44"/>
      <x:c r="Q149" s="44"/>
      <x:c r="R149" s="44"/>
      <x:c r="S149" s="44"/>
      <x:c r="T149" s="44"/>
      <x:c r="U149" s="44"/>
      <x:c r="V149" s="45"/>
      <x:c r="W149" s="45"/>
      <x:c r="X149" s="45"/>
      <x:c r="Y149" s="44"/>
      <x:c r="Z149" s="44"/>
      <x:c r="AA149" s="44"/>
      <x:c r="AB149" s="44"/>
      <x:c r="AC149" s="44"/>
      <x:c r="AD149" s="44"/>
      <x:c r="AE149" s="19" t="str">
        <x:f>IF(COUNTA(Y149:AC149)=0,"",COUNTIF(Y149:AC149,"Yes")/COUNTA(Y149:AC149))</x:f>
      </x:c>
    </x:row>
    <x:row r="150">
      <x:c r="D150" s="18"/>
      <x:c r="E150" s="18"/>
      <x:c r="N150" s="44"/>
      <x:c r="O150" s="44"/>
      <x:c r="P150" s="44"/>
      <x:c r="Q150" s="44"/>
      <x:c r="R150" s="44"/>
      <x:c r="S150" s="44"/>
      <x:c r="T150" s="44"/>
      <x:c r="U150" s="44"/>
      <x:c r="V150" s="45"/>
      <x:c r="W150" s="45"/>
      <x:c r="X150" s="45"/>
      <x:c r="Y150" s="44"/>
      <x:c r="Z150" s="44"/>
      <x:c r="AA150" s="44"/>
      <x:c r="AB150" s="44"/>
      <x:c r="AC150" s="44"/>
      <x:c r="AD150" s="44"/>
      <x:c r="AE150" s="19" t="str">
        <x:f>IF(COUNTA(Y150:AC150)=0,"",COUNTIF(Y150:AC150,"Yes")/COUNTA(Y150:AC150))</x:f>
      </x:c>
    </x:row>
    <x:row r="151">
      <x:c r="D151" s="18"/>
      <x:c r="E151" s="18"/>
      <x:c r="N151" s="44"/>
      <x:c r="O151" s="44"/>
      <x:c r="P151" s="44"/>
      <x:c r="Q151" s="44"/>
      <x:c r="R151" s="44"/>
      <x:c r="S151" s="44"/>
      <x:c r="T151" s="44"/>
      <x:c r="U151" s="44"/>
      <x:c r="V151" s="45"/>
      <x:c r="W151" s="45"/>
      <x:c r="X151" s="45"/>
      <x:c r="Y151" s="44"/>
      <x:c r="Z151" s="44"/>
      <x:c r="AA151" s="44"/>
      <x:c r="AB151" s="44"/>
      <x:c r="AC151" s="44"/>
      <x:c r="AD151" s="44"/>
      <x:c r="AE151" s="19" t="str">
        <x:f>IF(COUNTA(Y151:AC151)=0,"",COUNTIF(Y151:AC151,"Yes")/COUNTA(Y151:AC151))</x:f>
      </x:c>
    </x:row>
    <x:row r="152">
      <x:c r="D152" s="18"/>
      <x:c r="E152" s="18"/>
      <x:c r="N152" s="44"/>
      <x:c r="O152" s="44"/>
      <x:c r="P152" s="44"/>
      <x:c r="Q152" s="44"/>
      <x:c r="R152" s="44"/>
      <x:c r="S152" s="44"/>
      <x:c r="T152" s="44"/>
      <x:c r="U152" s="44"/>
      <x:c r="V152" s="45"/>
      <x:c r="W152" s="45"/>
      <x:c r="X152" s="45"/>
      <x:c r="Y152" s="44"/>
      <x:c r="Z152" s="44"/>
      <x:c r="AA152" s="44"/>
      <x:c r="AB152" s="44"/>
      <x:c r="AC152" s="44"/>
      <x:c r="AD152" s="44"/>
      <x:c r="AE152" s="19" t="str">
        <x:f>IF(COUNTA(Y152:AC152)=0,"",COUNTIF(Y152:AC152,"Yes")/COUNTA(Y152:AC152))</x:f>
      </x:c>
    </x:row>
    <x:row r="153">
      <x:c r="D153" s="18"/>
      <x:c r="E153" s="18"/>
      <x:c r="N153" s="44"/>
      <x:c r="O153" s="44"/>
      <x:c r="P153" s="44"/>
      <x:c r="Q153" s="44"/>
      <x:c r="R153" s="44"/>
      <x:c r="S153" s="44"/>
      <x:c r="T153" s="44"/>
      <x:c r="U153" s="44"/>
      <x:c r="V153" s="45"/>
      <x:c r="W153" s="45"/>
      <x:c r="X153" s="45"/>
      <x:c r="Y153" s="44"/>
      <x:c r="Z153" s="44"/>
      <x:c r="AA153" s="44"/>
      <x:c r="AB153" s="44"/>
      <x:c r="AC153" s="44"/>
      <x:c r="AD153" s="44"/>
      <x:c r="AE153" s="19" t="str">
        <x:f>IF(COUNTA(Y153:AC153)=0,"",COUNTIF(Y153:AC153,"Yes")/COUNTA(Y153:AC153))</x:f>
      </x:c>
    </x:row>
    <x:row r="154">
      <x:c r="D154" s="18"/>
      <x:c r="E154" s="18"/>
      <x:c r="N154" s="44"/>
      <x:c r="O154" s="44"/>
      <x:c r="P154" s="44"/>
      <x:c r="Q154" s="44"/>
      <x:c r="R154" s="44"/>
      <x:c r="S154" s="44"/>
      <x:c r="T154" s="44"/>
      <x:c r="U154" s="44"/>
      <x:c r="V154" s="45"/>
      <x:c r="W154" s="45"/>
      <x:c r="X154" s="45"/>
      <x:c r="Y154" s="44"/>
      <x:c r="Z154" s="44"/>
      <x:c r="AA154" s="44"/>
      <x:c r="AB154" s="44"/>
      <x:c r="AC154" s="44"/>
      <x:c r="AD154" s="44"/>
      <x:c r="AE154" s="19" t="str">
        <x:f>IF(COUNTA(Y154:AC154)=0,"",COUNTIF(Y154:AC154,"Yes")/COUNTA(Y154:AC154))</x:f>
      </x:c>
    </x:row>
    <x:row r="155">
      <x:c r="D155" s="18"/>
      <x:c r="E155" s="18"/>
      <x:c r="N155" s="44"/>
      <x:c r="O155" s="44"/>
      <x:c r="P155" s="44"/>
      <x:c r="Q155" s="44"/>
      <x:c r="R155" s="44"/>
      <x:c r="S155" s="44"/>
      <x:c r="T155" s="44"/>
      <x:c r="U155" s="44"/>
      <x:c r="V155" s="45"/>
      <x:c r="W155" s="45"/>
      <x:c r="X155" s="45"/>
      <x:c r="Y155" s="44"/>
      <x:c r="Z155" s="44"/>
      <x:c r="AA155" s="44"/>
      <x:c r="AB155" s="44"/>
      <x:c r="AC155" s="44"/>
      <x:c r="AD155" s="44"/>
      <x:c r="AE155" s="19" t="str">
        <x:f>IF(COUNTA(Y155:AC155)=0,"",COUNTIF(Y155:AC155,"Yes")/COUNTA(Y155:AC155))</x:f>
      </x:c>
    </x:row>
    <x:row r="156">
      <x:c r="D156" s="18"/>
      <x:c r="E156" s="18"/>
      <x:c r="N156" s="44"/>
      <x:c r="O156" s="44"/>
      <x:c r="P156" s="44"/>
      <x:c r="Q156" s="44"/>
      <x:c r="R156" s="44"/>
      <x:c r="S156" s="44"/>
      <x:c r="T156" s="44"/>
      <x:c r="U156" s="44"/>
      <x:c r="V156" s="45"/>
      <x:c r="W156" s="45"/>
      <x:c r="X156" s="45"/>
      <x:c r="Y156" s="44"/>
      <x:c r="Z156" s="44"/>
      <x:c r="AA156" s="44"/>
      <x:c r="AB156" s="44"/>
      <x:c r="AC156" s="44"/>
      <x:c r="AD156" s="44"/>
      <x:c r="AE156" s="19" t="str">
        <x:f>IF(COUNTA(Y156:AC156)=0,"",COUNTIF(Y156:AC156,"Yes")/COUNTA(Y156:AC156))</x:f>
      </x:c>
    </x:row>
    <x:row r="157">
      <x:c r="D157" s="18"/>
      <x:c r="E157" s="18"/>
      <x:c r="N157" s="44"/>
      <x:c r="O157" s="44"/>
      <x:c r="P157" s="44"/>
      <x:c r="Q157" s="44"/>
      <x:c r="R157" s="44"/>
      <x:c r="S157" s="44"/>
      <x:c r="T157" s="44"/>
      <x:c r="U157" s="44"/>
      <x:c r="V157" s="45"/>
      <x:c r="W157" s="45"/>
      <x:c r="X157" s="45"/>
      <x:c r="Y157" s="44"/>
      <x:c r="Z157" s="44"/>
      <x:c r="AA157" s="44"/>
      <x:c r="AB157" s="44"/>
      <x:c r="AC157" s="44"/>
      <x:c r="AD157" s="44"/>
      <x:c r="AE157" s="19" t="str">
        <x:f>IF(COUNTA(Y157:AC157)=0,"",COUNTIF(Y157:AC157,"Yes")/COUNTA(Y157:AC157))</x:f>
      </x:c>
    </x:row>
    <x:row r="158">
      <x:c r="D158" s="18"/>
      <x:c r="E158" s="18"/>
      <x:c r="N158" s="44"/>
      <x:c r="O158" s="44"/>
      <x:c r="P158" s="44"/>
      <x:c r="Q158" s="44"/>
      <x:c r="R158" s="44"/>
      <x:c r="S158" s="44"/>
      <x:c r="T158" s="44"/>
      <x:c r="U158" s="44"/>
      <x:c r="V158" s="45"/>
      <x:c r="W158" s="45"/>
      <x:c r="X158" s="45"/>
      <x:c r="Y158" s="44"/>
      <x:c r="Z158" s="44"/>
      <x:c r="AA158" s="44"/>
      <x:c r="AB158" s="44"/>
      <x:c r="AC158" s="44"/>
      <x:c r="AD158" s="44"/>
      <x:c r="AE158" s="19" t="str">
        <x:f>IF(COUNTA(Y158:AC158)=0,"",COUNTIF(Y158:AC158,"Yes")/COUNTA(Y158:AC158))</x:f>
      </x:c>
    </x:row>
    <x:row r="159">
      <x:c r="D159" s="18"/>
      <x:c r="E159" s="18"/>
      <x:c r="N159" s="44"/>
      <x:c r="O159" s="44"/>
      <x:c r="P159" s="44"/>
      <x:c r="Q159" s="44"/>
      <x:c r="R159" s="44"/>
      <x:c r="S159" s="44"/>
      <x:c r="T159" s="44"/>
      <x:c r="U159" s="44"/>
      <x:c r="V159" s="45"/>
      <x:c r="W159" s="45"/>
      <x:c r="X159" s="45"/>
      <x:c r="Y159" s="44"/>
      <x:c r="Z159" s="44"/>
      <x:c r="AA159" s="44"/>
      <x:c r="AB159" s="44"/>
      <x:c r="AC159" s="44"/>
      <x:c r="AD159" s="44"/>
      <x:c r="AE159" s="19" t="str">
        <x:f>IF(COUNTA(Y159:AC159)=0,"",COUNTIF(Y159:AC159,"Yes")/COUNTA(Y159:AC159))</x:f>
      </x:c>
    </x:row>
    <x:row r="160">
      <x:c r="D160" s="18"/>
      <x:c r="E160" s="18"/>
      <x:c r="N160" s="44"/>
      <x:c r="O160" s="44"/>
      <x:c r="P160" s="44"/>
      <x:c r="Q160" s="44"/>
      <x:c r="R160" s="44"/>
      <x:c r="S160" s="44"/>
      <x:c r="T160" s="44"/>
      <x:c r="U160" s="44"/>
      <x:c r="V160" s="45"/>
      <x:c r="W160" s="45"/>
      <x:c r="X160" s="45"/>
      <x:c r="Y160" s="44"/>
      <x:c r="Z160" s="44"/>
      <x:c r="AA160" s="44"/>
      <x:c r="AB160" s="44"/>
      <x:c r="AC160" s="44"/>
      <x:c r="AD160" s="44"/>
      <x:c r="AE160" s="19" t="str">
        <x:f>IF(COUNTA(Y160:AC160)=0,"",COUNTIF(Y160:AC160,"Yes")/COUNTA(Y160:AC160))</x:f>
      </x:c>
    </x:row>
    <x:row r="161">
      <x:c r="D161" s="18"/>
      <x:c r="E161" s="18"/>
      <x:c r="N161" s="44"/>
      <x:c r="O161" s="44"/>
      <x:c r="P161" s="44"/>
      <x:c r="Q161" s="44"/>
      <x:c r="R161" s="44"/>
      <x:c r="S161" s="44"/>
      <x:c r="T161" s="44"/>
      <x:c r="U161" s="44"/>
      <x:c r="V161" s="45"/>
      <x:c r="W161" s="45"/>
      <x:c r="X161" s="45"/>
      <x:c r="Y161" s="44"/>
      <x:c r="Z161" s="44"/>
      <x:c r="AA161" s="44"/>
      <x:c r="AB161" s="44"/>
      <x:c r="AC161" s="44"/>
      <x:c r="AD161" s="44"/>
      <x:c r="AE161" s="19" t="str">
        <x:f>IF(COUNTA(Y161:AC161)=0,"",COUNTIF(Y161:AC161,"Yes")/COUNTA(Y161:AC161))</x:f>
      </x:c>
    </x:row>
    <x:row r="162">
      <x:c r="D162" s="18"/>
      <x:c r="E162" s="18"/>
      <x:c r="N162" s="44"/>
      <x:c r="O162" s="44"/>
      <x:c r="P162" s="44"/>
      <x:c r="Q162" s="44"/>
      <x:c r="R162" s="44"/>
      <x:c r="S162" s="44"/>
      <x:c r="T162" s="44"/>
      <x:c r="U162" s="44"/>
      <x:c r="V162" s="45"/>
      <x:c r="W162" s="45"/>
      <x:c r="X162" s="45"/>
      <x:c r="Y162" s="44"/>
      <x:c r="Z162" s="44"/>
      <x:c r="AA162" s="44"/>
      <x:c r="AB162" s="44"/>
      <x:c r="AC162" s="44"/>
      <x:c r="AD162" s="44"/>
      <x:c r="AE162" s="19" t="str">
        <x:f>IF(COUNTA(Y162:AC162)=0,"",COUNTIF(Y162:AC162,"Yes")/COUNTA(Y162:AC162))</x:f>
      </x:c>
    </x:row>
    <x:row r="163">
      <x:c r="D163" s="18"/>
      <x:c r="E163" s="18"/>
      <x:c r="N163" s="44"/>
      <x:c r="O163" s="44"/>
      <x:c r="P163" s="44"/>
      <x:c r="Q163" s="44"/>
      <x:c r="R163" s="44"/>
      <x:c r="S163" s="44"/>
      <x:c r="T163" s="44"/>
      <x:c r="U163" s="44"/>
      <x:c r="V163" s="45"/>
      <x:c r="W163" s="45"/>
      <x:c r="X163" s="45"/>
      <x:c r="Y163" s="44"/>
      <x:c r="Z163" s="44"/>
      <x:c r="AA163" s="44"/>
      <x:c r="AB163" s="44"/>
      <x:c r="AC163" s="44"/>
      <x:c r="AD163" s="44"/>
      <x:c r="AE163" s="19" t="str">
        <x:f>IF(COUNTA(Y163:AC163)=0,"",COUNTIF(Y163:AC163,"Yes")/COUNTA(Y163:AC163))</x:f>
      </x:c>
    </x:row>
    <x:row r="164">
      <x:c r="D164" s="18"/>
      <x:c r="E164" s="18"/>
      <x:c r="N164" s="44"/>
      <x:c r="O164" s="44"/>
      <x:c r="P164" s="44"/>
      <x:c r="Q164" s="44"/>
      <x:c r="R164" s="44"/>
      <x:c r="S164" s="44"/>
      <x:c r="T164" s="44"/>
      <x:c r="U164" s="44"/>
      <x:c r="V164" s="45"/>
      <x:c r="W164" s="45"/>
      <x:c r="X164" s="45"/>
      <x:c r="Y164" s="44"/>
      <x:c r="Z164" s="44"/>
      <x:c r="AA164" s="44"/>
      <x:c r="AB164" s="44"/>
      <x:c r="AC164" s="44"/>
      <x:c r="AD164" s="44"/>
      <x:c r="AE164" s="19" t="str">
        <x:f>IF(COUNTA(Y164:AC164)=0,"",COUNTIF(Y164:AC164,"Yes")/COUNTA(Y164:AC164))</x:f>
      </x:c>
    </x:row>
    <x:row r="165">
      <x:c r="D165" s="18"/>
      <x:c r="E165" s="18"/>
      <x:c r="N165" s="44"/>
      <x:c r="O165" s="44"/>
      <x:c r="P165" s="44"/>
      <x:c r="Q165" s="44"/>
      <x:c r="R165" s="44"/>
      <x:c r="S165" s="44"/>
      <x:c r="T165" s="44"/>
      <x:c r="U165" s="44"/>
      <x:c r="V165" s="45"/>
      <x:c r="W165" s="45"/>
      <x:c r="X165" s="45"/>
      <x:c r="Y165" s="44"/>
      <x:c r="Z165" s="44"/>
      <x:c r="AA165" s="44"/>
      <x:c r="AB165" s="44"/>
      <x:c r="AC165" s="44"/>
      <x:c r="AD165" s="44"/>
      <x:c r="AE165" s="19" t="str">
        <x:f>IF(COUNTA(Y165:AC165)=0,"",COUNTIF(Y165:AC165,"Yes")/COUNTA(Y165:AC165))</x:f>
      </x:c>
    </x:row>
    <x:row r="166">
      <x:c r="D166" s="18"/>
      <x:c r="E166" s="18"/>
      <x:c r="N166" s="44"/>
      <x:c r="O166" s="44"/>
      <x:c r="P166" s="44"/>
      <x:c r="Q166" s="44"/>
      <x:c r="R166" s="44"/>
      <x:c r="S166" s="44"/>
      <x:c r="T166" s="44"/>
      <x:c r="U166" s="44"/>
      <x:c r="V166" s="45"/>
      <x:c r="W166" s="45"/>
      <x:c r="X166" s="45"/>
      <x:c r="Y166" s="44"/>
      <x:c r="Z166" s="44"/>
      <x:c r="AA166" s="44"/>
      <x:c r="AB166" s="44"/>
      <x:c r="AC166" s="44"/>
      <x:c r="AD166" s="44"/>
      <x:c r="AE166" s="19" t="str">
        <x:f>IF(COUNTA(Y166:AC166)=0,"",COUNTIF(Y166:AC166,"Yes")/COUNTA(Y166:AC166))</x:f>
      </x:c>
    </x:row>
    <x:row r="167">
      <x:c r="D167" s="18"/>
      <x:c r="E167" s="18"/>
      <x:c r="N167" s="44"/>
      <x:c r="O167" s="44"/>
      <x:c r="P167" s="44"/>
      <x:c r="Q167" s="44"/>
      <x:c r="R167" s="44"/>
      <x:c r="S167" s="44"/>
      <x:c r="T167" s="44"/>
      <x:c r="U167" s="44"/>
      <x:c r="V167" s="45"/>
      <x:c r="W167" s="45"/>
      <x:c r="X167" s="45"/>
      <x:c r="Y167" s="44"/>
      <x:c r="Z167" s="44"/>
      <x:c r="AA167" s="44"/>
      <x:c r="AB167" s="44"/>
      <x:c r="AC167" s="44"/>
      <x:c r="AD167" s="44"/>
      <x:c r="AE167" s="19" t="str">
        <x:f>IF(COUNTA(Y167:AC167)=0,"",COUNTIF(Y167:AC167,"Yes")/COUNTA(Y167:AC167))</x:f>
      </x:c>
    </x:row>
    <x:row r="168">
      <x:c r="D168" s="18"/>
      <x:c r="E168" s="18"/>
      <x:c r="N168" s="44"/>
      <x:c r="O168" s="44"/>
      <x:c r="P168" s="44"/>
      <x:c r="Q168" s="44"/>
      <x:c r="R168" s="44"/>
      <x:c r="S168" s="44"/>
      <x:c r="T168" s="44"/>
      <x:c r="U168" s="44"/>
      <x:c r="V168" s="45"/>
      <x:c r="W168" s="45"/>
      <x:c r="X168" s="45"/>
      <x:c r="Y168" s="44"/>
      <x:c r="Z168" s="44"/>
      <x:c r="AA168" s="44"/>
      <x:c r="AB168" s="44"/>
      <x:c r="AC168" s="44"/>
      <x:c r="AD168" s="44"/>
      <x:c r="AE168" s="19" t="str">
        <x:f>IF(COUNTA(Y168:AC168)=0,"",COUNTIF(Y168:AC168,"Yes")/COUNTA(Y168:AC168))</x:f>
      </x:c>
    </x:row>
    <x:row r="169">
      <x:c r="D169" s="18"/>
      <x:c r="E169" s="18"/>
      <x:c r="N169" s="44"/>
      <x:c r="O169" s="44"/>
      <x:c r="P169" s="44"/>
      <x:c r="Q169" s="44"/>
      <x:c r="R169" s="44"/>
      <x:c r="S169" s="44"/>
      <x:c r="T169" s="44"/>
      <x:c r="U169" s="44"/>
      <x:c r="V169" s="45"/>
      <x:c r="W169" s="45"/>
      <x:c r="X169" s="45"/>
      <x:c r="Y169" s="44"/>
      <x:c r="Z169" s="44"/>
      <x:c r="AA169" s="44"/>
      <x:c r="AB169" s="44"/>
      <x:c r="AC169" s="44"/>
      <x:c r="AD169" s="44"/>
      <x:c r="AE169" s="19" t="str">
        <x:f>IF(COUNTA(Y169:AC169)=0,"",COUNTIF(Y169:AC169,"Yes")/COUNTA(Y169:AC169))</x:f>
      </x:c>
    </x:row>
    <x:row r="170">
      <x:c r="D170" s="18"/>
      <x:c r="E170" s="18"/>
      <x:c r="N170" s="44"/>
      <x:c r="O170" s="44"/>
      <x:c r="P170" s="44"/>
      <x:c r="Q170" s="44"/>
      <x:c r="R170" s="44"/>
      <x:c r="S170" s="44"/>
      <x:c r="T170" s="44"/>
      <x:c r="U170" s="44"/>
      <x:c r="V170" s="45"/>
      <x:c r="W170" s="45"/>
      <x:c r="X170" s="45"/>
      <x:c r="Y170" s="44"/>
      <x:c r="Z170" s="44"/>
      <x:c r="AA170" s="44"/>
      <x:c r="AB170" s="44"/>
      <x:c r="AC170" s="44"/>
      <x:c r="AD170" s="44"/>
      <x:c r="AE170" s="19" t="str">
        <x:f>IF(COUNTA(Y170:AC170)=0,"",COUNTIF(Y170:AC170,"Yes")/COUNTA(Y170:AC170))</x:f>
      </x:c>
    </x:row>
    <x:row r="171">
      <x:c r="D171" s="18"/>
      <x:c r="E171" s="18"/>
      <x:c r="N171" s="44"/>
      <x:c r="O171" s="44"/>
      <x:c r="P171" s="44"/>
      <x:c r="Q171" s="44"/>
      <x:c r="R171" s="44"/>
      <x:c r="S171" s="44"/>
      <x:c r="T171" s="44"/>
      <x:c r="U171" s="44"/>
      <x:c r="V171" s="45"/>
      <x:c r="W171" s="45"/>
      <x:c r="X171" s="45"/>
      <x:c r="Y171" s="44"/>
      <x:c r="Z171" s="44"/>
      <x:c r="AA171" s="44"/>
      <x:c r="AB171" s="44"/>
      <x:c r="AC171" s="44"/>
      <x:c r="AD171" s="44"/>
      <x:c r="AE171" s="19" t="str">
        <x:f>IF(COUNTA(Y171:AC171)=0,"",COUNTIF(Y171:AC171,"Yes")/COUNTA(Y171:AC171))</x:f>
      </x:c>
    </x:row>
    <x:row r="172">
      <x:c r="D172" s="18"/>
      <x:c r="E172" s="18"/>
      <x:c r="N172" s="44"/>
      <x:c r="O172" s="44"/>
      <x:c r="P172" s="44"/>
      <x:c r="Q172" s="44"/>
      <x:c r="R172" s="44"/>
      <x:c r="S172" s="44"/>
      <x:c r="T172" s="44"/>
      <x:c r="U172" s="44"/>
      <x:c r="V172" s="45"/>
      <x:c r="W172" s="45"/>
      <x:c r="X172" s="45"/>
      <x:c r="Y172" s="44"/>
      <x:c r="Z172" s="44"/>
      <x:c r="AA172" s="44"/>
      <x:c r="AB172" s="44"/>
      <x:c r="AC172" s="44"/>
      <x:c r="AD172" s="44"/>
      <x:c r="AE172" s="19" t="str">
        <x:f>IF(COUNTA(Y172:AC172)=0,"",COUNTIF(Y172:AC172,"Yes")/COUNTA(Y172:AC172))</x:f>
      </x:c>
    </x:row>
    <x:row r="173">
      <x:c r="D173" s="18"/>
      <x:c r="E173" s="18"/>
      <x:c r="N173" s="44"/>
      <x:c r="O173" s="44"/>
      <x:c r="P173" s="44"/>
      <x:c r="Q173" s="44"/>
      <x:c r="R173" s="44"/>
      <x:c r="S173" s="44"/>
      <x:c r="T173" s="44"/>
      <x:c r="U173" s="44"/>
      <x:c r="V173" s="45"/>
      <x:c r="W173" s="45"/>
      <x:c r="X173" s="45"/>
      <x:c r="Y173" s="44"/>
      <x:c r="Z173" s="44"/>
      <x:c r="AA173" s="44"/>
      <x:c r="AB173" s="44"/>
      <x:c r="AC173" s="44"/>
      <x:c r="AD173" s="44"/>
      <x:c r="AE173" s="19" t="str">
        <x:f>IF(COUNTA(Y173:AC173)=0,"",COUNTIF(Y173:AC173,"Yes")/COUNTA(Y173:AC173))</x:f>
      </x:c>
    </x:row>
    <x:row r="174">
      <x:c r="D174" s="18"/>
      <x:c r="E174" s="18"/>
      <x:c r="N174" s="44"/>
      <x:c r="O174" s="44"/>
      <x:c r="P174" s="44"/>
      <x:c r="Q174" s="44"/>
      <x:c r="R174" s="44"/>
      <x:c r="S174" s="44"/>
      <x:c r="T174" s="44"/>
      <x:c r="U174" s="44"/>
      <x:c r="V174" s="45"/>
      <x:c r="W174" s="45"/>
      <x:c r="X174" s="45"/>
      <x:c r="Y174" s="44"/>
      <x:c r="Z174" s="44"/>
      <x:c r="AA174" s="44"/>
      <x:c r="AB174" s="44"/>
      <x:c r="AC174" s="44"/>
      <x:c r="AD174" s="44"/>
      <x:c r="AE174" s="19" t="str">
        <x:f>IF(COUNTA(Y174:AC174)=0,"",COUNTIF(Y174:AC174,"Yes")/COUNTA(Y174:AC174))</x:f>
      </x:c>
    </x:row>
    <x:row r="175">
      <x:c r="D175" s="18"/>
      <x:c r="E175" s="18"/>
      <x:c r="N175" s="44"/>
      <x:c r="O175" s="44"/>
      <x:c r="P175" s="44"/>
      <x:c r="Q175" s="44"/>
      <x:c r="R175" s="44"/>
      <x:c r="S175" s="44"/>
      <x:c r="T175" s="44"/>
      <x:c r="U175" s="44"/>
      <x:c r="V175" s="45"/>
      <x:c r="W175" s="45"/>
      <x:c r="X175" s="45"/>
      <x:c r="Y175" s="44"/>
      <x:c r="Z175" s="44"/>
      <x:c r="AA175" s="44"/>
      <x:c r="AB175" s="44"/>
      <x:c r="AC175" s="44"/>
      <x:c r="AD175" s="44"/>
      <x:c r="AE175" s="19" t="str">
        <x:f>IF(COUNTA(Y175:AC175)=0,"",COUNTIF(Y175:AC175,"Yes")/COUNTA(Y175:AC175))</x:f>
      </x:c>
    </x:row>
    <x:row r="176">
      <x:c r="D176" s="18"/>
      <x:c r="E176" s="18"/>
      <x:c r="N176" s="44"/>
      <x:c r="O176" s="44"/>
      <x:c r="P176" s="44"/>
      <x:c r="Q176" s="44"/>
      <x:c r="R176" s="44"/>
      <x:c r="S176" s="44"/>
      <x:c r="T176" s="44"/>
      <x:c r="U176" s="44"/>
      <x:c r="V176" s="45"/>
      <x:c r="W176" s="45"/>
      <x:c r="X176" s="45"/>
      <x:c r="Y176" s="44"/>
      <x:c r="Z176" s="44"/>
      <x:c r="AA176" s="44"/>
      <x:c r="AB176" s="44"/>
      <x:c r="AC176" s="44"/>
      <x:c r="AD176" s="44"/>
      <x:c r="AE176" s="19" t="str">
        <x:f>IF(COUNTA(Y176:AC176)=0,"",COUNTIF(Y176:AC176,"Yes")/COUNTA(Y176:AC176))</x:f>
      </x:c>
    </x:row>
    <x:row r="177">
      <x:c r="D177" s="18"/>
      <x:c r="E177" s="18"/>
      <x:c r="N177" s="44"/>
      <x:c r="O177" s="44"/>
      <x:c r="P177" s="44"/>
      <x:c r="Q177" s="44"/>
      <x:c r="R177" s="44"/>
      <x:c r="S177" s="44"/>
      <x:c r="T177" s="44"/>
      <x:c r="U177" s="44"/>
      <x:c r="V177" s="45"/>
      <x:c r="W177" s="45"/>
      <x:c r="X177" s="45"/>
      <x:c r="Y177" s="44"/>
      <x:c r="Z177" s="44"/>
      <x:c r="AA177" s="44"/>
      <x:c r="AB177" s="44"/>
      <x:c r="AC177" s="44"/>
      <x:c r="AD177" s="44"/>
      <x:c r="AE177" s="19" t="str">
        <x:f>IF(COUNTA(Y177:AC177)=0,"",COUNTIF(Y177:AC177,"Yes")/COUNTA(Y177:AC177))</x:f>
      </x:c>
    </x:row>
    <x:row r="178">
      <x:c r="D178" s="18"/>
      <x:c r="E178" s="18"/>
      <x:c r="N178" s="44"/>
      <x:c r="O178" s="44"/>
      <x:c r="P178" s="44"/>
      <x:c r="Q178" s="44"/>
      <x:c r="R178" s="44"/>
      <x:c r="S178" s="44"/>
      <x:c r="T178" s="44"/>
      <x:c r="U178" s="44"/>
      <x:c r="V178" s="45"/>
      <x:c r="W178" s="45"/>
      <x:c r="X178" s="45"/>
      <x:c r="Y178" s="44"/>
      <x:c r="Z178" s="44"/>
      <x:c r="AA178" s="44"/>
      <x:c r="AB178" s="44"/>
      <x:c r="AC178" s="44"/>
      <x:c r="AD178" s="44"/>
      <x:c r="AE178" s="19" t="str">
        <x:f>IF(COUNTA(Y178:AC178)=0,"",COUNTIF(Y178:AC178,"Yes")/COUNTA(Y178:AC178))</x:f>
      </x:c>
    </x:row>
    <x:row r="179">
      <x:c r="D179" s="18"/>
      <x:c r="E179" s="18"/>
      <x:c r="N179" s="44"/>
      <x:c r="O179" s="44"/>
      <x:c r="P179" s="44"/>
      <x:c r="Q179" s="44"/>
      <x:c r="R179" s="44"/>
      <x:c r="S179" s="44"/>
      <x:c r="T179" s="44"/>
      <x:c r="U179" s="44"/>
      <x:c r="V179" s="45"/>
      <x:c r="W179" s="45"/>
      <x:c r="X179" s="45"/>
      <x:c r="Y179" s="44"/>
      <x:c r="Z179" s="44"/>
      <x:c r="AA179" s="44"/>
      <x:c r="AB179" s="44"/>
      <x:c r="AC179" s="44"/>
      <x:c r="AD179" s="44"/>
      <x:c r="AE179" s="19" t="str">
        <x:f>IF(COUNTA(Y179:AC179)=0,"",COUNTIF(Y179:AC179,"Yes")/COUNTA(Y179:AC179))</x:f>
      </x:c>
    </x:row>
    <x:row r="180">
      <x:c r="D180" s="18"/>
      <x:c r="E180" s="18"/>
      <x:c r="N180" s="44"/>
      <x:c r="O180" s="44"/>
      <x:c r="P180" s="44"/>
      <x:c r="Q180" s="44"/>
      <x:c r="R180" s="44"/>
      <x:c r="S180" s="44"/>
      <x:c r="T180" s="44"/>
      <x:c r="U180" s="44"/>
      <x:c r="V180" s="45"/>
      <x:c r="W180" s="45"/>
      <x:c r="X180" s="45"/>
      <x:c r="Y180" s="44"/>
      <x:c r="Z180" s="44"/>
      <x:c r="AA180" s="44"/>
      <x:c r="AB180" s="44"/>
      <x:c r="AC180" s="44"/>
      <x:c r="AD180" s="44"/>
      <x:c r="AE180" s="19" t="str">
        <x:f>IF(COUNTA(Y180:AC180)=0,"",COUNTIF(Y180:AC180,"Yes")/COUNTA(Y180:AC180))</x:f>
      </x:c>
    </x:row>
    <x:row r="181">
      <x:c r="D181" s="18"/>
      <x:c r="E181" s="18"/>
      <x:c r="N181" s="44"/>
      <x:c r="O181" s="44"/>
      <x:c r="P181" s="44"/>
      <x:c r="Q181" s="44"/>
      <x:c r="R181" s="44"/>
      <x:c r="S181" s="44"/>
      <x:c r="T181" s="44"/>
      <x:c r="U181" s="44"/>
      <x:c r="V181" s="45"/>
      <x:c r="W181" s="45"/>
      <x:c r="X181" s="45"/>
      <x:c r="Y181" s="44"/>
      <x:c r="Z181" s="44"/>
      <x:c r="AA181" s="44"/>
      <x:c r="AB181" s="44"/>
      <x:c r="AC181" s="44"/>
      <x:c r="AD181" s="44"/>
      <x:c r="AE181" s="19" t="str">
        <x:f>IF(COUNTA(Y181:AC181)=0,"",COUNTIF(Y181:AC181,"Yes")/COUNTA(Y181:AC181))</x:f>
      </x:c>
    </x:row>
    <x:row r="182">
      <x:c r="D182" s="18"/>
      <x:c r="E182" s="18"/>
      <x:c r="N182" s="44"/>
      <x:c r="O182" s="44"/>
      <x:c r="P182" s="44"/>
      <x:c r="Q182" s="44"/>
      <x:c r="R182" s="44"/>
      <x:c r="S182" s="44"/>
      <x:c r="T182" s="44"/>
      <x:c r="U182" s="44"/>
      <x:c r="V182" s="45"/>
      <x:c r="W182" s="45"/>
      <x:c r="X182" s="45"/>
      <x:c r="Y182" s="44"/>
      <x:c r="Z182" s="44"/>
      <x:c r="AA182" s="44"/>
      <x:c r="AB182" s="44"/>
      <x:c r="AC182" s="44"/>
      <x:c r="AD182" s="44"/>
      <x:c r="AE182" s="19" t="str">
        <x:f>IF(COUNTA(Y182:AC182)=0,"",COUNTIF(Y182:AC182,"Yes")/COUNTA(Y182:AC182))</x:f>
      </x:c>
    </x:row>
    <x:row r="183">
      <x:c r="D183" s="18"/>
      <x:c r="E183" s="18"/>
      <x:c r="N183" s="44"/>
      <x:c r="O183" s="44"/>
      <x:c r="P183" s="44"/>
      <x:c r="Q183" s="44"/>
      <x:c r="R183" s="44"/>
      <x:c r="S183" s="44"/>
      <x:c r="T183" s="44"/>
      <x:c r="U183" s="44"/>
      <x:c r="V183" s="45"/>
      <x:c r="W183" s="45"/>
      <x:c r="X183" s="45"/>
      <x:c r="Y183" s="44"/>
      <x:c r="Z183" s="44"/>
      <x:c r="AA183" s="44"/>
      <x:c r="AB183" s="44"/>
      <x:c r="AC183" s="44"/>
      <x:c r="AD183" s="44"/>
      <x:c r="AE183" s="19" t="str">
        <x:f>IF(COUNTA(Y183:AC183)=0,"",COUNTIF(Y183:AC183,"Yes")/COUNTA(Y183:AC183))</x:f>
      </x:c>
    </x:row>
    <x:row r="184">
      <x:c r="D184" s="18"/>
      <x:c r="E184" s="18"/>
      <x:c r="N184" s="44"/>
      <x:c r="O184" s="44"/>
      <x:c r="P184" s="44"/>
      <x:c r="Q184" s="44"/>
      <x:c r="R184" s="44"/>
      <x:c r="S184" s="44"/>
      <x:c r="T184" s="44"/>
      <x:c r="U184" s="44"/>
      <x:c r="V184" s="45"/>
      <x:c r="W184" s="45"/>
      <x:c r="X184" s="45"/>
      <x:c r="Y184" s="44"/>
      <x:c r="Z184" s="44"/>
      <x:c r="AA184" s="44"/>
      <x:c r="AB184" s="44"/>
      <x:c r="AC184" s="44"/>
      <x:c r="AD184" s="44"/>
      <x:c r="AE184" s="19" t="str">
        <x:f>IF(COUNTA(Y184:AC184)=0,"",COUNTIF(Y184:AC184,"Yes")/COUNTA(Y184:AC184))</x:f>
      </x:c>
    </x:row>
    <x:row r="185">
      <x:c r="D185" s="18"/>
      <x:c r="E185" s="18"/>
      <x:c r="N185" s="44"/>
      <x:c r="O185" s="44"/>
      <x:c r="P185" s="44"/>
      <x:c r="Q185" s="44"/>
      <x:c r="R185" s="44"/>
      <x:c r="S185" s="44"/>
      <x:c r="T185" s="44"/>
      <x:c r="U185" s="44"/>
      <x:c r="V185" s="45"/>
      <x:c r="W185" s="45"/>
      <x:c r="X185" s="45"/>
      <x:c r="Y185" s="44"/>
      <x:c r="Z185" s="44"/>
      <x:c r="AA185" s="44"/>
      <x:c r="AB185" s="44"/>
      <x:c r="AC185" s="44"/>
      <x:c r="AD185" s="44"/>
      <x:c r="AE185" s="19" t="str">
        <x:f>IF(COUNTA(Y185:AC185)=0,"",COUNTIF(Y185:AC185,"Yes")/COUNTA(Y185:AC185))</x:f>
      </x:c>
    </x:row>
    <x:row r="186">
      <x:c r="D186" s="18"/>
      <x:c r="E186" s="18"/>
      <x:c r="N186" s="44"/>
      <x:c r="O186" s="44"/>
      <x:c r="P186" s="44"/>
      <x:c r="Q186" s="44"/>
      <x:c r="R186" s="44"/>
      <x:c r="S186" s="44"/>
      <x:c r="T186" s="44"/>
      <x:c r="U186" s="44"/>
      <x:c r="V186" s="45"/>
      <x:c r="W186" s="45"/>
      <x:c r="X186" s="45"/>
      <x:c r="Y186" s="44"/>
      <x:c r="Z186" s="44"/>
      <x:c r="AA186" s="44"/>
      <x:c r="AB186" s="44"/>
      <x:c r="AC186" s="44"/>
      <x:c r="AD186" s="44"/>
      <x:c r="AE186" s="19" t="str">
        <x:f>IF(COUNTA(Y186:AC186)=0,"",COUNTIF(Y186:AC186,"Yes")/COUNTA(Y186:AC186))</x:f>
      </x:c>
    </x:row>
    <x:row r="187">
      <x:c r="D187" s="18"/>
      <x:c r="E187" s="18"/>
      <x:c r="N187" s="44"/>
      <x:c r="O187" s="44"/>
      <x:c r="P187" s="44"/>
      <x:c r="Q187" s="44"/>
      <x:c r="R187" s="44"/>
      <x:c r="S187" s="44"/>
      <x:c r="T187" s="44"/>
      <x:c r="U187" s="44"/>
      <x:c r="V187" s="45"/>
      <x:c r="W187" s="45"/>
      <x:c r="X187" s="45"/>
      <x:c r="Y187" s="44"/>
      <x:c r="Z187" s="44"/>
      <x:c r="AA187" s="44"/>
      <x:c r="AB187" s="44"/>
      <x:c r="AC187" s="44"/>
      <x:c r="AD187" s="44"/>
      <x:c r="AE187" s="19" t="str">
        <x:f>IF(COUNTA(Y187:AC187)=0,"",COUNTIF(Y187:AC187,"Yes")/COUNTA(Y187:AC187))</x:f>
      </x:c>
    </x:row>
    <x:row r="188">
      <x:c r="D188" s="18"/>
      <x:c r="E188" s="18"/>
      <x:c r="N188" s="44"/>
      <x:c r="O188" s="44"/>
      <x:c r="P188" s="44"/>
      <x:c r="Q188" s="44"/>
      <x:c r="R188" s="44"/>
      <x:c r="S188" s="44"/>
      <x:c r="T188" s="44"/>
      <x:c r="U188" s="44"/>
      <x:c r="V188" s="45"/>
      <x:c r="W188" s="45"/>
      <x:c r="X188" s="45"/>
      <x:c r="Y188" s="44"/>
      <x:c r="Z188" s="44"/>
      <x:c r="AA188" s="44"/>
      <x:c r="AB188" s="44"/>
      <x:c r="AC188" s="44"/>
      <x:c r="AD188" s="44"/>
      <x:c r="AE188" s="19" t="str">
        <x:f>IF(COUNTA(Y188:AC188)=0,"",COUNTIF(Y188:AC188,"Yes")/COUNTA(Y188:AC188))</x:f>
      </x:c>
    </x:row>
    <x:row r="189">
      <x:c r="D189" s="18"/>
      <x:c r="E189" s="18"/>
      <x:c r="N189" s="44"/>
      <x:c r="O189" s="44"/>
      <x:c r="P189" s="44"/>
      <x:c r="Q189" s="44"/>
      <x:c r="R189" s="44"/>
      <x:c r="S189" s="44"/>
      <x:c r="T189" s="44"/>
      <x:c r="U189" s="44"/>
      <x:c r="V189" s="45"/>
      <x:c r="W189" s="45"/>
      <x:c r="X189" s="45"/>
      <x:c r="Y189" s="44"/>
      <x:c r="Z189" s="44"/>
      <x:c r="AA189" s="44"/>
      <x:c r="AB189" s="44"/>
      <x:c r="AC189" s="44"/>
      <x:c r="AD189" s="44"/>
      <x:c r="AE189" s="19" t="str">
        <x:f>IF(COUNTA(Y189:AC189)=0,"",COUNTIF(Y189:AC189,"Yes")/COUNTA(Y189:AC189))</x:f>
      </x:c>
    </x:row>
    <x:row r="190">
      <x:c r="D190" s="18"/>
      <x:c r="E190" s="18"/>
      <x:c r="N190" s="44"/>
      <x:c r="O190" s="44"/>
      <x:c r="P190" s="44"/>
      <x:c r="Q190" s="44"/>
      <x:c r="R190" s="44"/>
      <x:c r="S190" s="44"/>
      <x:c r="T190" s="44"/>
      <x:c r="U190" s="44"/>
      <x:c r="V190" s="45"/>
      <x:c r="W190" s="45"/>
      <x:c r="X190" s="45"/>
      <x:c r="Y190" s="44"/>
      <x:c r="Z190" s="44"/>
      <x:c r="AA190" s="44"/>
      <x:c r="AB190" s="44"/>
      <x:c r="AC190" s="44"/>
      <x:c r="AD190" s="44"/>
      <x:c r="AE190" s="19" t="str">
        <x:f>IF(COUNTA(Y190:AC190)=0,"",COUNTIF(Y190:AC190,"Yes")/COUNTA(Y190:AC190))</x:f>
      </x:c>
    </x:row>
    <x:row r="191">
      <x:c r="D191" s="18"/>
      <x:c r="E191" s="18"/>
      <x:c r="N191" s="44"/>
      <x:c r="O191" s="44"/>
      <x:c r="P191" s="44"/>
      <x:c r="Q191" s="44"/>
      <x:c r="R191" s="44"/>
      <x:c r="S191" s="44"/>
      <x:c r="T191" s="44"/>
      <x:c r="U191" s="44"/>
      <x:c r="V191" s="45"/>
      <x:c r="W191" s="45"/>
      <x:c r="X191" s="45"/>
      <x:c r="Y191" s="44"/>
      <x:c r="Z191" s="44"/>
      <x:c r="AA191" s="44"/>
      <x:c r="AB191" s="44"/>
      <x:c r="AC191" s="44"/>
      <x:c r="AD191" s="44"/>
      <x:c r="AE191" s="19" t="str">
        <x:f>IF(COUNTA(Y191:AC191)=0,"",COUNTIF(Y191:AC191,"Yes")/COUNTA(Y191:AC191))</x:f>
      </x:c>
    </x:row>
    <x:row r="192">
      <x:c r="D192" s="18"/>
      <x:c r="E192" s="18"/>
      <x:c r="N192" s="44"/>
      <x:c r="O192" s="44"/>
      <x:c r="P192" s="44"/>
      <x:c r="Q192" s="44"/>
      <x:c r="R192" s="44"/>
      <x:c r="S192" s="44"/>
      <x:c r="T192" s="44"/>
      <x:c r="U192" s="44"/>
      <x:c r="V192" s="45"/>
      <x:c r="W192" s="45"/>
      <x:c r="X192" s="45"/>
      <x:c r="Y192" s="44"/>
      <x:c r="Z192" s="44"/>
      <x:c r="AA192" s="44"/>
      <x:c r="AB192" s="44"/>
      <x:c r="AC192" s="44"/>
      <x:c r="AD192" s="44"/>
      <x:c r="AE192" s="19" t="str">
        <x:f>IF(COUNTA(Y192:AC192)=0,"",COUNTIF(Y192:AC192,"Yes")/COUNTA(Y192:AC192))</x:f>
      </x:c>
    </x:row>
    <x:row r="193">
      <x:c r="D193" s="18"/>
      <x:c r="E193" s="18"/>
      <x:c r="N193" s="44"/>
      <x:c r="O193" s="44"/>
      <x:c r="P193" s="44"/>
      <x:c r="Q193" s="44"/>
      <x:c r="R193" s="44"/>
      <x:c r="S193" s="44"/>
      <x:c r="T193" s="44"/>
      <x:c r="U193" s="44"/>
      <x:c r="V193" s="45"/>
      <x:c r="W193" s="45"/>
      <x:c r="X193" s="45"/>
      <x:c r="Y193" s="44"/>
      <x:c r="Z193" s="44"/>
      <x:c r="AA193" s="44"/>
      <x:c r="AB193" s="44"/>
      <x:c r="AC193" s="44"/>
      <x:c r="AD193" s="44"/>
      <x:c r="AE193" s="19" t="str">
        <x:f>IF(COUNTA(Y193:AC193)=0,"",COUNTIF(Y193:AC193,"Yes")/COUNTA(Y193:AC193))</x:f>
      </x:c>
    </x:row>
    <x:row r="194">
      <x:c r="D194" s="18"/>
      <x:c r="E194" s="18"/>
      <x:c r="N194" s="44"/>
      <x:c r="O194" s="44"/>
      <x:c r="P194" s="44"/>
      <x:c r="Q194" s="44"/>
      <x:c r="R194" s="44"/>
      <x:c r="S194" s="44"/>
      <x:c r="T194" s="44"/>
      <x:c r="U194" s="44"/>
      <x:c r="V194" s="45"/>
      <x:c r="W194" s="45"/>
      <x:c r="X194" s="45"/>
      <x:c r="Y194" s="44"/>
      <x:c r="Z194" s="44"/>
      <x:c r="AA194" s="44"/>
      <x:c r="AB194" s="44"/>
      <x:c r="AC194" s="44"/>
      <x:c r="AD194" s="44"/>
      <x:c r="AE194" s="19" t="str">
        <x:f>IF(COUNTA(Y194:AC194)=0,"",COUNTIF(Y194:AC194,"Yes")/COUNTA(Y194:AC194))</x:f>
      </x:c>
    </x:row>
    <x:row r="195">
      <x:c r="D195" s="18"/>
      <x:c r="E195" s="18"/>
      <x:c r="N195" s="44"/>
      <x:c r="O195" s="44"/>
      <x:c r="P195" s="44"/>
      <x:c r="Q195" s="44"/>
      <x:c r="R195" s="44"/>
      <x:c r="S195" s="44"/>
      <x:c r="T195" s="44"/>
      <x:c r="U195" s="44"/>
      <x:c r="V195" s="45"/>
      <x:c r="W195" s="45"/>
      <x:c r="X195" s="45"/>
      <x:c r="Y195" s="44"/>
      <x:c r="Z195" s="44"/>
      <x:c r="AA195" s="44"/>
      <x:c r="AB195" s="44"/>
      <x:c r="AC195" s="44"/>
      <x:c r="AD195" s="44"/>
      <x:c r="AE195" s="19" t="str">
        <x:f>IF(COUNTA(Y195:AC195)=0,"",COUNTIF(Y195:AC195,"Yes")/COUNTA(Y195:AC195))</x:f>
      </x:c>
    </x:row>
    <x:row r="196">
      <x:c r="D196" s="18"/>
      <x:c r="E196" s="18"/>
      <x:c r="N196" s="44"/>
      <x:c r="O196" s="44"/>
      <x:c r="P196" s="44"/>
      <x:c r="Q196" s="44"/>
      <x:c r="R196" s="44"/>
      <x:c r="S196" s="44"/>
      <x:c r="T196" s="44"/>
      <x:c r="U196" s="44"/>
      <x:c r="V196" s="45"/>
      <x:c r="W196" s="45"/>
      <x:c r="X196" s="45"/>
      <x:c r="Y196" s="44"/>
      <x:c r="Z196" s="44"/>
      <x:c r="AA196" s="44"/>
      <x:c r="AB196" s="44"/>
      <x:c r="AC196" s="44"/>
      <x:c r="AD196" s="44"/>
      <x:c r="AE196" s="19" t="str">
        <x:f>IF(COUNTA(Y196:AC196)=0,"",COUNTIF(Y196:AC196,"Yes")/COUNTA(Y196:AC196))</x:f>
      </x:c>
    </x:row>
    <x:row r="197">
      <x:c r="D197" s="18"/>
      <x:c r="E197" s="18"/>
      <x:c r="N197" s="44"/>
      <x:c r="O197" s="44"/>
      <x:c r="P197" s="44"/>
      <x:c r="Q197" s="44"/>
      <x:c r="R197" s="44"/>
      <x:c r="S197" s="44"/>
      <x:c r="T197" s="44"/>
      <x:c r="U197" s="44"/>
      <x:c r="V197" s="45"/>
      <x:c r="W197" s="45"/>
      <x:c r="X197" s="45"/>
      <x:c r="Y197" s="44"/>
      <x:c r="Z197" s="44"/>
      <x:c r="AA197" s="44"/>
      <x:c r="AB197" s="44"/>
      <x:c r="AC197" s="44"/>
      <x:c r="AD197" s="44"/>
      <x:c r="AE197" s="19" t="str">
        <x:f>IF(COUNTA(Y197:AC197)=0,"",COUNTIF(Y197:AC197,"Yes")/COUNTA(Y197:AC197))</x:f>
      </x:c>
    </x:row>
    <x:row r="198">
      <x:c r="D198" s="18"/>
      <x:c r="E198" s="18"/>
      <x:c r="N198" s="44"/>
      <x:c r="O198" s="44"/>
      <x:c r="P198" s="44"/>
      <x:c r="Q198" s="44"/>
      <x:c r="R198" s="44"/>
      <x:c r="S198" s="44"/>
      <x:c r="T198" s="44"/>
      <x:c r="U198" s="44"/>
      <x:c r="V198" s="45"/>
      <x:c r="W198" s="45"/>
      <x:c r="X198" s="45"/>
      <x:c r="Y198" s="44"/>
      <x:c r="Z198" s="44"/>
      <x:c r="AA198" s="44"/>
      <x:c r="AB198" s="44"/>
      <x:c r="AC198" s="44"/>
      <x:c r="AD198" s="44"/>
      <x:c r="AE198" s="19" t="str">
        <x:f>IF(COUNTA(Y198:AC198)=0,"",COUNTIF(Y198:AC198,"Yes")/COUNTA(Y198:AC198))</x:f>
      </x:c>
    </x:row>
    <x:row r="199">
      <x:c r="D199" s="18"/>
      <x:c r="E199" s="18"/>
      <x:c r="N199" s="44"/>
      <x:c r="O199" s="44"/>
      <x:c r="P199" s="44"/>
      <x:c r="Q199" s="44"/>
      <x:c r="R199" s="44"/>
      <x:c r="S199" s="44"/>
      <x:c r="T199" s="44"/>
      <x:c r="U199" s="44"/>
      <x:c r="V199" s="45"/>
      <x:c r="W199" s="45"/>
      <x:c r="X199" s="45"/>
      <x:c r="Y199" s="44"/>
      <x:c r="Z199" s="44"/>
      <x:c r="AA199" s="44"/>
      <x:c r="AB199" s="44"/>
      <x:c r="AC199" s="44"/>
      <x:c r="AD199" s="44"/>
      <x:c r="AE199" s="19" t="str">
        <x:f>IF(COUNTA(Y199:AC199)=0,"",COUNTIF(Y199:AC199,"Yes")/COUNTA(Y199:AC199))</x:f>
      </x:c>
    </x:row>
    <x:row r="200">
      <x:c r="D200" s="18"/>
      <x:c r="E200" s="18"/>
      <x:c r="N200" s="44"/>
      <x:c r="O200" s="44"/>
      <x:c r="P200" s="44"/>
      <x:c r="Q200" s="44"/>
      <x:c r="R200" s="44"/>
      <x:c r="S200" s="44"/>
      <x:c r="T200" s="44"/>
      <x:c r="U200" s="44"/>
      <x:c r="V200" s="45"/>
      <x:c r="W200" s="45"/>
      <x:c r="X200" s="45"/>
      <x:c r="Y200" s="44"/>
      <x:c r="Z200" s="44"/>
      <x:c r="AA200" s="44"/>
      <x:c r="AB200" s="44"/>
      <x:c r="AC200" s="44"/>
      <x:c r="AD200" s="44"/>
      <x:c r="AE200" s="19" t="str">
        <x:f>IF(COUNTA(Y200:AC200)=0,"",COUNTIF(Y200:AC200,"Yes")/COUNTA(Y200:AC200))</x:f>
      </x:c>
    </x:row>
    <x:row r="201">
      <x:c r="D201" s="18"/>
      <x:c r="E201" s="18"/>
      <x:c r="N201" s="44"/>
      <x:c r="O201" s="44"/>
      <x:c r="P201" s="44"/>
      <x:c r="Q201" s="44"/>
      <x:c r="R201" s="44"/>
      <x:c r="S201" s="44"/>
      <x:c r="T201" s="44"/>
      <x:c r="U201" s="44"/>
      <x:c r="V201" s="45"/>
      <x:c r="W201" s="45"/>
      <x:c r="X201" s="45"/>
      <x:c r="Y201" s="44"/>
      <x:c r="Z201" s="44"/>
      <x:c r="AA201" s="44"/>
      <x:c r="AB201" s="44"/>
      <x:c r="AC201" s="44"/>
      <x:c r="AD201" s="44"/>
      <x:c r="AE201" s="19" t="str">
        <x:f>IF(COUNTA(Y201:AC201)=0,"",COUNTIF(Y201:AC201,"Yes")/COUNTA(Y201:AC201))</x:f>
      </x:c>
    </x:row>
    <x:row r="202">
      <x:c r="D202" s="18"/>
      <x:c r="E202" s="18"/>
      <x:c r="N202" s="44"/>
      <x:c r="O202" s="44"/>
      <x:c r="P202" s="44"/>
      <x:c r="Q202" s="44"/>
      <x:c r="R202" s="44"/>
      <x:c r="S202" s="44"/>
      <x:c r="T202" s="44"/>
      <x:c r="U202" s="44"/>
      <x:c r="V202" s="45"/>
      <x:c r="W202" s="45"/>
      <x:c r="X202" s="45"/>
      <x:c r="Y202" s="44"/>
      <x:c r="Z202" s="44"/>
      <x:c r="AA202" s="44"/>
      <x:c r="AB202" s="44"/>
      <x:c r="AC202" s="44"/>
      <x:c r="AD202" s="44"/>
      <x:c r="AE202" s="19" t="str">
        <x:f>IF(COUNTA(Y202:AC202)=0,"",COUNTIF(Y202:AC202,"Yes")/COUNTA(Y202:AC202))</x:f>
      </x:c>
    </x:row>
    <x:row r="203">
      <x:c r="D203" s="18"/>
      <x:c r="E203" s="18"/>
      <x:c r="N203" s="44"/>
      <x:c r="O203" s="44"/>
      <x:c r="P203" s="44"/>
      <x:c r="Q203" s="44"/>
      <x:c r="R203" s="44"/>
      <x:c r="S203" s="44"/>
      <x:c r="T203" s="44"/>
      <x:c r="U203" s="44"/>
      <x:c r="V203" s="45"/>
      <x:c r="W203" s="45"/>
      <x:c r="X203" s="45"/>
      <x:c r="Y203" s="44"/>
      <x:c r="Z203" s="44"/>
      <x:c r="AA203" s="44"/>
      <x:c r="AB203" s="44"/>
      <x:c r="AC203" s="44"/>
      <x:c r="AD203" s="44"/>
      <x:c r="AE203" s="19" t="str">
        <x:f>IF(COUNTA(Y203:AC203)=0,"",COUNTIF(Y203:AC203,"Yes")/COUNTA(Y203:AC203))</x:f>
      </x:c>
    </x:row>
    <x:row r="204">
      <x:c r="D204" s="18"/>
      <x:c r="E204" s="18"/>
      <x:c r="N204" s="44"/>
      <x:c r="O204" s="44"/>
      <x:c r="P204" s="44"/>
      <x:c r="Q204" s="44"/>
      <x:c r="R204" s="44"/>
      <x:c r="S204" s="44"/>
      <x:c r="T204" s="44"/>
      <x:c r="U204" s="44"/>
      <x:c r="V204" s="45"/>
      <x:c r="W204" s="45"/>
      <x:c r="X204" s="45"/>
      <x:c r="Y204" s="44"/>
      <x:c r="Z204" s="44"/>
      <x:c r="AA204" s="44"/>
      <x:c r="AB204" s="44"/>
      <x:c r="AC204" s="44"/>
      <x:c r="AD204" s="44"/>
      <x:c r="AE204" s="19" t="str">
        <x:f>IF(COUNTA(Y204:AC204)=0,"",COUNTIF(Y204:AC204,"Yes")/COUNTA(Y204:AC204))</x:f>
      </x:c>
    </x:row>
    <x:row r="205">
      <x:c r="D205" s="18"/>
      <x:c r="E205" s="18"/>
      <x:c r="N205" s="44"/>
      <x:c r="O205" s="44"/>
      <x:c r="P205" s="44"/>
      <x:c r="Q205" s="44"/>
      <x:c r="R205" s="44"/>
      <x:c r="S205" s="44"/>
      <x:c r="T205" s="44"/>
      <x:c r="U205" s="44"/>
      <x:c r="V205" s="45"/>
      <x:c r="W205" s="45"/>
      <x:c r="X205" s="45"/>
      <x:c r="Y205" s="44"/>
      <x:c r="Z205" s="44"/>
      <x:c r="AA205" s="44"/>
      <x:c r="AB205" s="44"/>
      <x:c r="AC205" s="44"/>
      <x:c r="AD205" s="44"/>
      <x:c r="AE205" s="19" t="str">
        <x:f>IF(COUNTA(Y205:AC205)=0,"",COUNTIF(Y205:AC205,"Yes")/COUNTA(Y205:AC205))</x:f>
      </x:c>
    </x:row>
  </x:sheetData>
  <x:mergeCells>
    <x:mergeCell ref="A2:AE2"/>
  </x:mergeCells>
  <x:conditionalFormatting sqref="M6:M205">
    <x:cfRule type="containsText" dxfId="0" priority="1" operator="containsText" text="WAIT"/>
    <x:cfRule type="containsText" dxfId="1" priority="2" operator="containsText" text="ACCEPTABLE"/>
    <x:cfRule type="containsText" dxfId="2" priority="3" operator="containsText" text="PREFERRED"/>
  </x:conditionalFormatting>
  <x:conditionalFormatting sqref="F6:F205">
    <x:cfRule type="containsText" dxfId="3" priority="4" operator="containsText" text="Invalidated"/>
  </x:conditionalFormatting>
  <x:pageMargins left="0.7" right="0.7" top="0.75" bottom="0.75" header="0.3" footer="0.3"/>
  <x:tableParts count="1">
    <x:tablePart xmlns:r="http://schemas.openxmlformats.org/officeDocument/2006/relationships" r:id="R3027ed6a9b89439b"/>
  </x:tableParts>
</x:worksheet>
</file>

<file path=xl/worksheets/sheet3.xml><?xml version="1.0" encoding="utf-8"?>
<x:worksheet xmlns:x="http://schemas.openxmlformats.org/spreadsheetml/2006/main">
  <x:sheetPr>
    <x:tabColor rgb="FF27C2D1"/>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30" hidden="0" customWidth="1"/>
    <x:col min="8" max="8" width="30" hidden="0" customWidth="1"/>
    <x:col min="9" max="9" width="16" hidden="0" customWidth="1"/>
    <x:col min="10" max="10" width="16" hidden="0" customWidth="1"/>
    <x:col min="11" max="11" width="30" hidden="0" customWidth="1"/>
  </x:cols>
  <x:sheetData>
    <x:row r="1">
      <x:c r="A1" s="1"/>
      <x:c r="B1" s="1"/>
      <x:c r="C1" s="1"/>
      <x:c r="D1" s="1"/>
      <x:c r="E1" s="1"/>
      <x:c r="F1" s="1"/>
      <x:c r="G1" s="1"/>
      <x:c r="H1" s="1"/>
      <x:c r="I1" s="1"/>
      <x:c r="J1" s="1"/>
      <x:c r="K1" s="1"/>
    </x:row>
    <x:row r="2">
      <x:c r="A2" s="2" t="str">
        <x:v>Evidence Log</x:v>
      </x:c>
      <x:c r="B2" s="1"/>
      <x:c r="C2" s="1"/>
      <x:c r="D2" s="1"/>
      <x:c r="E2" s="1"/>
      <x:c r="F2" s="1"/>
      <x:c r="G2" s="1"/>
      <x:c r="H2" s="1"/>
      <x:c r="I2" s="1"/>
      <x:c r="J2" s="1"/>
      <x:c r="K2" s="1"/>
    </x:row>
    <x:row r="3">
      <x:c r="A3" s="3"/>
      <x:c r="B3" s="3"/>
      <x:c r="C3" s="3"/>
      <x:c r="D3" s="3"/>
      <x:c r="E3" s="3"/>
      <x:c r="F3" s="3"/>
      <x:c r="G3" s="3"/>
      <x:c r="H3" s="3"/>
      <x:c r="I3" s="3"/>
      <x:c r="J3" s="3"/>
      <x:c r="K3" s="3"/>
    </x:row>
    <x:row r="4">
      <x:c r="A4" s="1"/>
      <x:c r="B4" s="1"/>
      <x:c r="C4" s="1"/>
      <x:c r="D4" s="1"/>
      <x:c r="E4" s="1"/>
      <x:c r="F4" s="1"/>
      <x:c r="G4" s="1"/>
      <x:c r="H4" s="1"/>
      <x:c r="I4" s="1"/>
      <x:c r="J4" s="1"/>
      <x:c r="K4" s="1"/>
    </x:row>
    <x:row r="5">
      <x:c r="A5" s="24" t="str">
        <x:v>Observation ID</x:v>
      </x:c>
      <x:c r="B5" s="25" t="str">
        <x:v>Thesis ID</x:v>
      </x:c>
      <x:c r="C5" s="25" t="str">
        <x:v>Observed At</x:v>
      </x:c>
      <x:c r="D5" s="25" t="str">
        <x:v>Evidence Type</x:v>
      </x:c>
      <x:c r="E5" s="25" t="str">
        <x:v>Source</x:v>
      </x:c>
      <x:c r="F5" s="25" t="str">
        <x:v>Source Class</x:v>
      </x:c>
      <x:c r="G5" s="25" t="str">
        <x:v>URL</x:v>
      </x:c>
      <x:c r="H5" s="25" t="str">
        <x:v>Factual Claim</x:v>
      </x:c>
      <x:c r="I5" s="25" t="str">
        <x:v>Effect</x:v>
      </x:c>
      <x:c r="J5" s="25" t="str">
        <x:v>Reliability 1 to 5</x:v>
      </x:c>
      <x:c r="K5" s="26" t="str">
        <x:v>Notes</x:v>
      </x:c>
    </x:row>
    <x:row r="6">
      <x:c r="A6" s="27" t="str">
        <x:v>EV-2026-001</x:v>
      </x:c>
      <x:c r="B6" s="27" t="str">
        <x:v>EEI-2026-001</x:v>
      </x:c>
      <x:c r="C6" s="28" t="n">
        <x:v>46276.51043981482</x:v>
      </x:c>
      <x:c r="D6" s="27" t="str">
        <x:v>Supporting</x:v>
      </x:c>
      <x:c r="E6" s="27" t="str">
        <x:v>Associated Press</x:v>
      </x:c>
      <x:c r="F6" s="27" t="str">
        <x:v>High quality reporting</x:v>
      </x:c>
      <x:c r="G6" s="29" t="str">
        <x:v>https://apnews.com/article/yemen-houthis-iran-mokha-mandeb-shipping-saudi-025d052a14d9481258d51009a76d0bd6</x:v>
      </x:c>
      <x:c r="H6" s="29" t="str">
        <x:v>Houthi forces captured Mayun Island in the Bab el-Mandeb Strait, threatening a major alternative route for Saudi crude exports.</x:v>
      </x:c>
      <x:c r="I6" s="29" t="str">
        <x:v>Strengthens</x:v>
      </x:c>
      <x:c r="J6" s="29" t="n">
        <x:v>4</x:v>
      </x:c>
      <x:c r="K6" s="29" t="str">
        <x:v>Two opposing Yemeni officials confirmed the capture to AP; shipping through the strait was already about 60% below prior levels.</x:v>
      </x:c>
    </x:row>
    <x:row r="7">
      <x:c r="A7" s="27" t="str">
        <x:v>EV-2026-002</x:v>
      </x:c>
      <x:c r="B7" s="27" t="str">
        <x:v>EEI-2026-001</x:v>
      </x:c>
      <x:c r="C7" s="28" t="n">
        <x:v>46276.51043981482</x:v>
      </x:c>
      <x:c r="D7" s="27" t="str">
        <x:v>Supporting</x:v>
      </x:c>
      <x:c r="E7" s="27" t="str">
        <x:v>Reuters / IEA</x:v>
      </x:c>
      <x:c r="F7" s="27" t="str">
        <x:v>High quality reporting</x:v>
      </x:c>
      <x:c r="G7" s="29" t="str">
        <x:v>https://www.reuters.com/world/middle-east/saudi-oil-supply-hits-more-than-three-decade-low-after-houthi-attacks-iea-says-2026-09-11/</x:v>
      </x:c>
      <x:c r="H7" s="29" t="str">
        <x:v>The IEA estimated Saudi August supply at 6 million bpd, down 2.3 million bpd month over month, with crude loadings down 1.1 million bpd.</x:v>
      </x:c>
      <x:c r="I7" s="29" t="str">
        <x:v>Strengthens</x:v>
      </x:c>
      <x:c r="J7" s="29" t="n">
        <x:v>4</x:v>
      </x:c>
      <x:c r="K7" s="29" t="str">
        <x:v>Saudi self-reported figures were higher, creating a measurement contradiction; the IEA emphasized barrels reaching the market.</x:v>
      </x:c>
    </x:row>
    <x:row r="8">
      <x:c r="A8" s="27" t="str">
        <x:v>EV-2026-003</x:v>
      </x:c>
      <x:c r="B8" s="27" t="str">
        <x:v>EEI-2026-001</x:v>
      </x:c>
      <x:c r="C8" s="28" t="n">
        <x:v>46276.51043981482</x:v>
      </x:c>
      <x:c r="D8" s="27" t="str">
        <x:v>Market confirmation</x:v>
      </x:c>
      <x:c r="E8" s="27" t="str">
        <x:v>Reuters</x:v>
      </x:c>
      <x:c r="F8" s="27" t="str">
        <x:v>High quality reporting</x:v>
      </x:c>
      <x:c r="G8" s="29" t="str">
        <x:v>https://www.reuters.com/business/energy/oil-prices-set-end-week-over-100-first-time-nearly-4-months-2026-09-11/</x:v>
      </x:c>
      <x:c r="H8" s="29" t="str">
        <x:v>Brent and WTI remained on course for gains above 8% for the week, while U.S. diesel reached a record above $6 per gallon.</x:v>
      </x:c>
      <x:c r="I8" s="29" t="str">
        <x:v>Strengthens thesis; weakens entry</x:v>
      </x:c>
      <x:c r="J8" s="29" t="n">
        <x:v>4</x:v>
      </x:c>
      <x:c r="K8" s="29" t="str">
        <x:v>Crude fell from Friday highs as possible diplomatic efforts were reported, reinforcing the WAIT classification.</x:v>
      </x:c>
    </x:row>
    <x:row r="9">
      <x:c r="A9" s="27" t="str">
        <x:v>EV-2026-004</x:v>
      </x:c>
      <x:c r="B9" s="27" t="str">
        <x:v>EEI-2026-004</x:v>
      </x:c>
      <x:c r="C9" s="28" t="n">
        <x:v>46276.51043981482</x:v>
      </x:c>
      <x:c r="D9" s="27" t="str">
        <x:v>Supporting</x:v>
      </x:c>
      <x:c r="E9" s="27" t="str">
        <x:v>U.S. Bureau of Labor Statistics</x:v>
      </x:c>
      <x:c r="F9" s="27" t="str">
        <x:v>Primary government data</x:v>
      </x:c>
      <x:c r="G9" s="29" t="str">
        <x:v>https://www.bls.gov/news.release/ppi.nr0.htm</x:v>
      </x:c>
      <x:c r="H9" s="29" t="str">
        <x:v>August final-demand PPI rose 0.4% month over month and 5.4% year over year; final-demand energy rose 4.2% and diesel rose 24.1%.</x:v>
      </x:c>
      <x:c r="I9" s="29" t="str">
        <x:v>Strengthens</x:v>
      </x:c>
      <x:c r="J9" s="29" t="n">
        <x:v>5</x:v>
      </x:c>
      <x:c r="K9" s="29" t="str">
        <x:v>Core final demand excluding food, energy and trade services still rose 4.7% year over year.</x:v>
      </x:c>
    </x:row>
    <x:row r="10">
      <x:c r="A10" s="27" t="str">
        <x:v>EV-2026-005</x:v>
      </x:c>
      <x:c r="B10" s="27" t="str">
        <x:v>EEI-2026-004</x:v>
      </x:c>
      <x:c r="C10" s="28" t="n">
        <x:v>46276.51043981482</x:v>
      </x:c>
      <x:c r="D10" s="27" t="str">
        <x:v>Market confirmation</x:v>
      </x:c>
      <x:c r="E10" s="27" t="str">
        <x:v>Reuters</x:v>
      </x:c>
      <x:c r="F10" s="27" t="str">
        <x:v>High quality reporting</x:v>
      </x:c>
      <x:c r="G10" s="29" t="str">
        <x:v>https://www.reuters.com/world/europe/global-bond-selloff-pushes-10-year-us-yield-toward-5-oil-rate-hike-fears-2026-09-11/</x:v>
      </x:c>
      <x:c r="H10" s="29" t="str">
        <x:v>The U.S. 10-year yield reached 4.979%, G7 10-year yields rose about 19 bps on the week, and Fed-hike pricing rose to 72% from 49% a week earlier.</x:v>
      </x:c>
      <x:c r="I10" s="29" t="str">
        <x:v>Strengthens</x:v>
      </x:c>
      <x:c r="J10" s="29" t="n">
        <x:v>4</x:v>
      </x:c>
      <x:c r="K10" s="29" t="str">
        <x:v>The September 11 CPI release remained a major near-term binary modifier.</x:v>
      </x:c>
    </x:row>
    <x:row r="11">
      <x:c r="A11" s="27" t="str">
        <x:v>EV-2026-006</x:v>
      </x:c>
      <x:c r="B11" s="27" t="str">
        <x:v>EEI-2026-004</x:v>
      </x:c>
      <x:c r="C11" s="28" t="n">
        <x:v>46276.51043981482</x:v>
      </x:c>
      <x:c r="D11" s="27" t="str">
        <x:v>Supporting</x:v>
      </x:c>
      <x:c r="E11" s="27" t="str">
        <x:v>Reuters</x:v>
      </x:c>
      <x:c r="F11" s="27" t="str">
        <x:v>High quality reporting</x:v>
      </x:c>
      <x:c r="G11" s="29" t="str">
        <x:v>https://www.reuters.com/business/barclays-expects-ecb-deliver-another-rate-hike-december-inflation-pressures-2026-09-11/</x:v>
      </x:c>
      <x:c r="H11" s="29" t="str">
        <x:v>The ECB raised rates 25 bps and warned inflation could remain above target; markets priced a 94% chance of another December hike.</x:v>
      </x:c>
      <x:c r="I11" s="29" t="str">
        <x:v>Strengthens</x:v>
      </x:c>
      <x:c r="J11" s="29" t="n">
        <x:v>4</x:v>
      </x:c>
      <x:c r="K11" s="29" t="str">
        <x:v>This confirms the mechanism globally but does not guarantee identical Federal Reserve action.</x:v>
      </x:c>
    </x:row>
    <x:row r="12">
      <x:c r="A12" s="27" t="str">
        <x:v>EV-2026-007</x:v>
      </x:c>
      <x:c r="B12" s="27" t="str">
        <x:v>EEI-2026-003</x:v>
      </x:c>
      <x:c r="C12" s="28" t="n">
        <x:v>46276.51043981482</x:v>
      </x:c>
      <x:c r="D12" s="27" t="str">
        <x:v>Contradictory</x:v>
      </x:c>
      <x:c r="E12" s="27" t="str">
        <x:v>U.S. Bureau of Labor Statistics</x:v>
      </x:c>
      <x:c r="F12" s="27" t="str">
        <x:v>Primary government data</x:v>
      </x:c>
      <x:c r="G12" s="29" t="str">
        <x:v>https://www.bls.gov/news.release/ppi.nr0.htm</x:v>
      </x:c>
      <x:c r="H12" s="29" t="str">
        <x:v>Producer inflation was 5.4% year over year in August and energy accounted for most of the monthly goods increase.</x:v>
      </x:c>
      <x:c r="I12" s="29" t="str">
        <x:v>Weakens</x:v>
      </x:c>
      <x:c r="J12" s="29" t="n">
        <x:v>5</x:v>
      </x:c>
      <x:c r="K12" s="29" t="str">
        <x:v>Higher inflation and rates may impair broad market breadth around the midterms even if political control shifts.</x:v>
      </x:c>
    </x:row>
    <x:row r="13">
      <x:c r="A13" s="27" t="str">
        <x:v>EV-2026-008</x:v>
      </x:c>
      <x:c r="B13" s="27" t="str">
        <x:v>EEI-2026-003</x:v>
      </x:c>
      <x:c r="C13" s="28" t="n">
        <x:v>46276.51043981482</x:v>
      </x:c>
      <x:c r="D13" s="27" t="str">
        <x:v>Contradictory</x:v>
      </x:c>
      <x:c r="E13" s="27" t="str">
        <x:v>Reuters</x:v>
      </x:c>
      <x:c r="F13" s="27" t="str">
        <x:v>High quality reporting</x:v>
      </x:c>
      <x:c r="G13" s="29" t="str">
        <x:v>https://www.reuters.com/world/europe/global-bond-selloff-pushes-10-year-us-yield-toward-5-oil-rate-hike-fears-2026-09-11/</x:v>
      </x:c>
      <x:c r="H13" s="29" t="str">
        <x:v>Long yields approached 5% and Fed-hike odds rose before CPI, increasing the discount-rate risk to a broad equity rebound.</x:v>
      </x:c>
      <x:c r="I13" s="29" t="str">
        <x:v>Weakens</x:v>
      </x:c>
      <x:c r="J13" s="29" t="n">
        <x:v>4</x:v>
      </x:c>
      <x:c r="K13" s="29" t="str">
        <x:v>Treat as a modifier, not a full invalidation; sector leadership could still differ from the broad index.</x:v>
      </x:c>
    </x:row>
    <x:row r="14">
      <x:c r="A14" s="27" t="str">
        <x:v>EV-2026-009</x:v>
      </x:c>
      <x:c r="B14" s="27" t="str">
        <x:v>EEI-2026-003</x:v>
      </x:c>
      <x:c r="C14" s="28" t="n">
        <x:v>46276.65429398148</x:v>
      </x:c>
      <x:c r="D14" s="27" t="str">
        <x:v>Contradictory</x:v>
      </x:c>
      <x:c r="E14" s="27" t="str">
        <x:v>U.S. Bureau of Labor Statistics</x:v>
      </x:c>
      <x:c r="F14" s="27" t="str">
        <x:v>Primary government data</x:v>
      </x:c>
      <x:c r="G14" s="29" t="str">
        <x:v>https://www.bls.gov/news.release/cpi.nr0.htm</x:v>
      </x:c>
      <x:c r="H14" s="29" t="str">
        <x:v>August CPI rose 0.4% month over month and 3.4% year over year. Energy rose 2.1%, gasoline rose 3.9%, and core CPI rose 0.3% month over month.</x:v>
      </x:c>
      <x:c r="I14" s="29" t="str">
        <x:v>Weakens</x:v>
      </x:c>
      <x:c r="J14" s="29" t="n">
        <x:v>5</x:v>
      </x:c>
      <x:c r="K14" s="29" t="str">
        <x:v>The report confirms that inflation remains a material modifier to any uncertainty-relief or breadth thesis.</x:v>
      </x:c>
    </x:row>
    <x:row r="15">
      <x:c r="A15" s="27" t="str">
        <x:v>EV-2026-010</x:v>
      </x:c>
      <x:c r="B15" s="27" t="str">
        <x:v>EEI-2026-003</x:v>
      </x:c>
      <x:c r="C15" s="28" t="n">
        <x:v>46276.65429398148</x:v>
      </x:c>
      <x:c r="D15" s="27" t="str">
        <x:v>Market confirmation</x:v>
      </x:c>
      <x:c r="E15" s="27" t="str">
        <x:v>Reuters and market price data</x:v>
      </x:c>
      <x:c r="F15" s="27" t="str">
        <x:v>High quality reporting and market data</x:v>
      </x:c>
      <x:c r="G15" s="29" t="str">
        <x:v>https://www.reuters.com/business/wall-st-futures-recover-oil-slides-ahead-inflation-test-2026-09-11/</x:v>
      </x:c>
      <x:c r="H15" s="29" t="str">
        <x:v>U.S. equities rose with positive exchange breadth and VIX at 16.16, but intraday ETF data showed SPY up 1.07% versus RSP 0.73% and IWM 0.68%.</x:v>
      </x:c>
      <x:c r="I15" s="29" t="str">
        <x:v>Mixed</x:v>
      </x:c>
      <x:c r="J15" s="29" t="n">
        <x:v>4</x:v>
      </x:c>
      <x:c r="K15" s="29" t="str">
        <x:v>A broad one-day rebound is constructive, but relative performance still does not confirm sustained equal-weight or small-cap leadership.</x:v>
      </x:c>
    </x:row>
    <x:row r="16">
      <x:c r="A16" s="27" t="str">
        <x:v>EV-2026-011</x:v>
      </x:c>
      <x:c r="B16" s="27" t="str">
        <x:v>EEI-2026-003</x:v>
      </x:c>
      <x:c r="C16" s="28" t="n">
        <x:v>46276.65429398148</x:v>
      </x:c>
      <x:c r="D16" s="27" t="str">
        <x:v>Contradictory</x:v>
      </x:c>
      <x:c r="E16" s="27" t="str">
        <x:v>Reuters / University of Michigan</x:v>
      </x:c>
      <x:c r="F16" s="27" t="str">
        <x:v>High quality reporting</x:v>
      </x:c>
      <x:c r="G16" s="29" t="str">
        <x:v>https://www.reuters.com/business/us-consumer-sentiment-deteriorates-september-inflation-expectations-rise-2026-09-11/</x:v>
      </x:c>
      <x:c r="H16" s="29" t="str">
        <x:v>Preliminary September consumer sentiment fell to 47.8 from 51.7, while one-year inflation expectations rose to 4.6% from 4.0%.</x:v>
      </x:c>
      <x:c r="I16" s="29" t="str">
        <x:v>Weakens</x:v>
      </x:c>
      <x:c r="J16" s="29" t="n">
        <x:v>4</x:v>
      </x:c>
      <x:c r="K16" s="29" t="str">
        <x:v>The deterioration challenges the risk-appetite and domestic-cyclical mechanism, especially for small caps and financials.</x:v>
      </x:c>
    </x:row>
    <x:row r="17">
      <x:c r="A17" s="27" t="str">
        <x:v>EV-2026-012</x:v>
      </x:c>
      <x:c r="B17" s="27" t="str">
        <x:v>EEI-2026-003</x:v>
      </x:c>
      <x:c r="C17" s="28" t="n">
        <x:v>46276.65429398148</x:v>
      </x:c>
      <x:c r="D17" s="27" t="str">
        <x:v>Neutral</x:v>
      </x:c>
      <x:c r="E17" s="27" t="str">
        <x:v>Reuters</x:v>
      </x:c>
      <x:c r="F17" s="27" t="str">
        <x:v>High quality reporting</x:v>
      </x:c>
      <x:c r="G17" s="29" t="str">
        <x:v>https://www.reuters.com/legal/government/trump-musk-super-pacs-unleash-millions-boost-republicans-battleground-races-2026-09-11/</x:v>
      </x:c>
      <x:c r="H17" s="29" t="str">
        <x:v>Major political committees increased spending across several competitive House and Senate states with less than eight weeks before the election.</x:v>
      </x:c>
      <x:c r="I17" s="29" t="str">
        <x:v>Neutral</x:v>
      </x:c>
      <x:c r="J17" s="29" t="n">
        <x:v>4</x:v>
      </x:c>
      <x:c r="K17" s="29" t="str">
        <x:v>This supports the conclusion that congressional-control uncertainty remains unresolved. Campaign spending does not establish which party will win.</x:v>
      </x:c>
    </x:row>
    <x:row r="18" ht="60" hidden="0" customHeight="1">
      <x:c r="A18" s="29" t="str">
        <x:v>EV-2026-013</x:v>
      </x:c>
      <x:c r="B18" s="29" t="str">
        <x:v>EEI-2026-001</x:v>
      </x:c>
      <x:c r="C18" s="50" t="n">
        <x:v>46276.833333333336</x:v>
      </x:c>
      <x:c r="D18" s="29" t="str">
        <x:v>Market confirmation</x:v>
      </x:c>
      <x:c r="E18" s="29" t="str">
        <x:v>Reuters</x:v>
      </x:c>
      <x:c r="F18" s="29" t="str">
        <x:v>High quality reporting</x:v>
      </x:c>
      <x:c r="G18" s="29" t="str">
        <x:v>https://www.reuters.com/business/energy/oil-prices-set-end-week-over-100-first-time-nearly-4-months-2026-09-11/</x:v>
      </x:c>
      <x:c r="H18" s="29" t="str">
        <x:v>Brent settled at $104.61 and WTI at $100.05 on September 11. Both still posted weekly gains above 8% despite a Friday retreat after reports of possible talks over Hormuz shipping.</x:v>
      </x:c>
      <x:c r="I18" s="29" t="str">
        <x:v>Strengthens thesis; weakens entry</x:v>
      </x:c>
      <x:c r="J18" s="29" t="n">
        <x:v>4</x:v>
      </x:c>
      <x:c r="K18" s="29" t="str">
        <x:v>The supply shock remained visible in prices, but the reaction to diplomatic headlines confirms that de-escalation is a live invalidation risk.</x:v>
      </x:c>
    </x:row>
    <x:row r="19" ht="36" hidden="0" customHeight="1">
      <x:c r="A19" s="29" t="str">
        <x:v>EV-2026-014</x:v>
      </x:c>
      <x:c r="B19" s="29" t="str">
        <x:v>EEI-2026-001</x:v>
      </x:c>
      <x:c r="C19" s="50" t="n">
        <x:v>46276.833333333336</x:v>
      </x:c>
      <x:c r="D19" s="29" t="str">
        <x:v>Paper-trade outcome</x:v>
      </x:c>
      <x:c r="E19" s="29" t="str">
        <x:v>Nasdaq market data</x:v>
      </x:c>
      <x:c r="F19" s="29" t="str">
        <x:v>Primary market data</x:v>
      </x:c>
      <x:c r="G19" s="29" t="str">
        <x:v>https://www.nasdaq.com/market-activity/etf/bno/historical</x:v>
      </x:c>
      <x:c r="H19" s="29" t="str">
        <x:v>BNO closed at $61.36 on September 11 versus the $57.21 September 8 opening entry, a 7.25% paper gain.</x:v>
      </x:c>
      <x:c r="I19" s="29" t="str">
        <x:v>Strengthens expression</x:v>
      </x:c>
      <x:c r="J19" s="29" t="n">
        <x:v>5</x:v>
      </x:c>
      <x:c r="K19" s="29" t="str">
        <x:v>The Brent-linked fund was the cleanest expression of the global seaborne crude-supply thesis.</x:v>
      </x:c>
    </x:row>
    <x:row r="20" ht="36" hidden="0" customHeight="1">
      <x:c r="A20" s="29" t="str">
        <x:v>EV-2026-015</x:v>
      </x:c>
      <x:c r="B20" s="29" t="str">
        <x:v>EEI-2026-001</x:v>
      </x:c>
      <x:c r="C20" s="50" t="n">
        <x:v>46276.833333333336</x:v>
      </x:c>
      <x:c r="D20" s="29" t="str">
        <x:v>Paper-trade outcome</x:v>
      </x:c>
      <x:c r="E20" s="29" t="str">
        <x:v>Nasdaq market data</x:v>
      </x:c>
      <x:c r="F20" s="29" t="str">
        <x:v>Primary market data</x:v>
      </x:c>
      <x:c r="G20" s="29" t="str">
        <x:v>https://www.nasdaq.com/market-activity/etf/uso/historical</x:v>
      </x:c>
      <x:c r="H20" s="29" t="str">
        <x:v>USO closed at $154.86 on September 11 versus the $144.60 September 8 opening entry, a 7.10% paper gain.</x:v>
      </x:c>
      <x:c r="I20" s="29" t="str">
        <x:v>Strengthens expression</x:v>
      </x:c>
      <x:c r="J20" s="29" t="n">
        <x:v>5</x:v>
      </x:c>
      <x:c r="K20" s="29" t="str">
        <x:v>WTI-linked exposure tracked the direction nearly as well as the Brent-linked fund over this short window.</x:v>
      </x:c>
    </x:row>
    <x:row r="21" ht="48" hidden="0" customHeight="1">
      <x:c r="A21" s="29" t="str">
        <x:v>EV-2026-016</x:v>
      </x:c>
      <x:c r="B21" s="29" t="str">
        <x:v>EEI-2026-001</x:v>
      </x:c>
      <x:c r="C21" s="50" t="n">
        <x:v>46276.833333333336</x:v>
      </x:c>
      <x:c r="D21" s="29" t="str">
        <x:v>Paper-trade outcome</x:v>
      </x:c>
      <x:c r="E21" s="29" t="str">
        <x:v>Nasdaq market data</x:v>
      </x:c>
      <x:c r="F21" s="29" t="str">
        <x:v>Primary market data</x:v>
      </x:c>
      <x:c r="G21" s="29" t="str">
        <x:v>https://www.nasdaq.com/market-activity/etf/xop/historical</x:v>
      </x:c>
      <x:c r="H21" s="29" t="str">
        <x:v>XOP closed at $195.75 on September 11 versus the $193.84 September 8 opening entry, a 0.99% paper gain.</x:v>
      </x:c>
      <x:c r="I21" s="29" t="str">
        <x:v>Mixed expression</x:v>
      </x:c>
      <x:c r="J21" s="29" t="n">
        <x:v>5</x:v>
      </x:c>
      <x:c r="K21" s="29" t="str">
        <x:v>Producer equities substantially lagged direct crude funds, confirming the methodology's need to score expression performance separately.</x:v>
      </x:c>
    </x:row>
    <x:row r="22">
      <x:c r="A22" s="27" t="str">
        <x:v>EV-2026-017</x:v>
      </x:c>
      <x:c r="B22" s="27" t="str">
        <x:v>EEI-2026-001</x:v>
      </x:c>
      <x:c r="C22" s="49" t="n">
        <x:v>46277.49940972222</x:v>
      </x:c>
      <x:c r="D22" s="27" t="str">
        <x:v>Supporting</x:v>
      </x:c>
      <x:c r="E22" s="27" t="str">
        <x:v>Reuters</x:v>
      </x:c>
      <x:c r="F22" s="27" t="str">
        <x:v>High quality reporting</x:v>
      </x:c>
      <x:c r="G22" s="29" t="str">
        <x:v>https://www.reuters.com/business/energy/saudis-shut-down-oil-pipeline-houthis-tighten-grip-red-sea-shipping-2026-09-12/</x:v>
      </x:c>
      <x:c r="H22" s="29" t="str">
        <x:v>Saudi Arabia temporarily shut its 1,200-km East-West pipeline after a drone attack. Reuters reported the route had been transporting roughly 4-5 million bpd, or 4%-5% of global supply, as a bypass around constrained Hormuz.</x:v>
      </x:c>
      <x:c r="I22" s="29" t="str">
        <x:v>Strengthens</x:v>
      </x:c>
      <x:c r="J22" s="29" t="n">
        <x:v>4</x:v>
      </x:c>
      <x:c r="K22" s="29" t="str">
        <x:v>A new physical disruption to the principal Saudi bypass route; reported while markets were closed, so price confirmation is pending.</x:v>
      </x:c>
    </x:row>
    <x:row r="23">
      <x:c r="A23" s="27" t="str">
        <x:v>EV-2026-018</x:v>
      </x:c>
      <x:c r="B23" s="27" t="str">
        <x:v>EEI-2026-001</x:v>
      </x:c>
      <x:c r="C23" s="49" t="n">
        <x:v>46277.49940972222</x:v>
      </x:c>
      <x:c r="D23" s="27" t="str">
        <x:v>Supporting</x:v>
      </x:c>
      <x:c r="E23" s="27" t="str">
        <x:v>Associated Press</x:v>
      </x:c>
      <x:c r="F23" s="27" t="str">
        <x:v>High quality reporting</x:v>
      </x:c>
      <x:c r="G23" s="29" t="str">
        <x:v>https://apnews.com/article/324485fad65647d4a897d5bfdcb7849c</x:v>
      </x:c>
      <x:c r="H23" s="29" t="str">
        <x:v>Iraq confirmed the pipeline attack originated from Iraqi territory, dismissed a local commander and opened an investigation; the attack forced the East-West pipeline shutdown.</x:v>
      </x:c>
      <x:c r="I23" s="29" t="str">
        <x:v>Strengthens</x:v>
      </x:c>
      <x:c r="J23" s="29" t="n">
        <x:v>4</x:v>
      </x:c>
      <x:c r="K23" s="29" t="str">
        <x:v>Independent confirmation of origin and shutdown. The attacker and ultimate sponsor remain unconfirmed.</x:v>
      </x:c>
    </x:row>
    <x:row r="24">
      <x:c r="A24" s="27" t="str">
        <x:v>EV-2026-019</x:v>
      </x:c>
      <x:c r="B24" s="27" t="str">
        <x:v>EEI-2026-001</x:v>
      </x:c>
      <x:c r="C24" s="49" t="n">
        <x:v>46277.49940972222</x:v>
      </x:c>
      <x:c r="D24" s="27" t="str">
        <x:v>Contradictory</x:v>
      </x:c>
      <x:c r="E24" s="27" t="str">
        <x:v>Reuters</x:v>
      </x:c>
      <x:c r="F24" s="27" t="str">
        <x:v>High quality reporting</x:v>
      </x:c>
      <x:c r="G24" s="29" t="str">
        <x:v>https://www.reuters.com/business/energy/trump-says-iran-probably-responsible-attack-saudi-pipeline-2026-09-12/</x:v>
      </x:c>
      <x:c r="H24" s="29" t="str">
        <x:v>No group claimed responsibility; President Trump said Iran was probably responsible while also reporting Houthi contacts and describing some continuing traffic allowances.</x:v>
      </x:c>
      <x:c r="I24" s="29" t="str">
        <x:v>Weakens entry; limits attribution</x:v>
      </x:c>
      <x:c r="J24" s="29" t="n">
        <x:v>4</x:v>
      </x:c>
      <x:c r="K24" s="29" t="str">
        <x:v>Supports escalation risk but prevents treating attribution as established fact and preserves a possible diplomatic off-ramp.</x:v>
      </x:c>
    </x:row>
    <x:row r="25">
      <x:c r="A25" s="27" t="str">
        <x:v>EV-2026-020</x:v>
      </x:c>
      <x:c r="B25" s="27" t="str">
        <x:v>EEI-2026-004</x:v>
      </x:c>
      <x:c r="C25" s="49" t="n">
        <x:v>46277.49940972222</x:v>
      </x:c>
      <x:c r="D25" s="27" t="str">
        <x:v>Supporting</x:v>
      </x:c>
      <x:c r="E25" s="27" t="str">
        <x:v>Financial Times</x:v>
      </x:c>
      <x:c r="F25" s="27" t="str">
        <x:v>High quality reporting</x:v>
      </x:c>
      <x:c r="G25" s="29" t="str">
        <x:v>https://www.ft.com/content/a83e620a-bb72-478a-ac77-10635ec653bd</x:v>
      </x:c>
      <x:c r="H25" s="29" t="str">
        <x:v>Austrian central-bank governor Martin Kocher warned that oil near $100 through year-end could require further ECB hikes; the ECB adverse scenario associates $99 oil and EUR77/MWh gas with 3.2% inflation in 2027.</x:v>
      </x:c>
      <x:c r="I25" s="29" t="str">
        <x:v>Strengthens</x:v>
      </x:c>
      <x:c r="J25" s="29" t="n">
        <x:v>4</x:v>
      </x:c>
      <x:c r="K25" s="29" t="str">
        <x:v>Kocher also said broad second-round wage and price effects are not yet evident, which remains the strongest near-term contradiction.</x:v>
      </x:c>
    </x:row>
    <x:row r="26">
      <x:c r="A26" s="27" t="str">
        <x:v>EV-2026-021</x:v>
      </x:c>
      <x:c r="B26" s="27" t="str">
        <x:v>EEI-2026-003</x:v>
      </x:c>
      <x:c r="C26" s="28" t="n">
        <x:v>46277.63582175926</x:v>
      </x:c>
      <x:c r="D26" s="27" t="str">
        <x:v>Contradictory</x:v>
      </x:c>
      <x:c r="E26" s="27" t="str">
        <x:v>Reuters</x:v>
      </x:c>
      <x:c r="F26" s="27" t="str">
        <x:v>High quality reporting</x:v>
      </x:c>
      <x:c r="G26" s="29" t="str">
        <x:v>https://www.reuters.com/business/energy/saudis-shut-down-oil-pipeline-houthis-tighten-grip-red-sea-shipping-2026-09-12/</x:v>
      </x:c>
      <x:c r="H26" s="29" t="str">
        <x:v>Saudi Arabia temporarily closed its East-West pipeline after a drone attack. The route had carried about 4-5 million barrels per day while Hormuz was constrained.</x:v>
      </x:c>
      <x:c r="I26" s="29" t="str">
        <x:v>Weakens timing and trading edge</x:v>
      </x:c>
      <x:c r="J26" s="29" t="n">
        <x:v>4</x:v>
      </x:c>
      <x:c r="K26" s="29" t="str">
        <x:v>This is an oil-thesis trigger but only a macro modifier here: higher energy and transport costs can lift inflation and yields, delaying broad equity participation.</x:v>
      </x:c>
    </x:row>
    <x:row r="27">
      <x:c r="A27" s="27" t="str">
        <x:v>EV-2026-022</x:v>
      </x:c>
      <x:c r="B27" s="27" t="str">
        <x:v>EEI-2026-003</x:v>
      </x:c>
      <x:c r="C27" s="28" t="n">
        <x:v>46277.63582175926</x:v>
      </x:c>
      <x:c r="D27" s="27" t="str">
        <x:v>Contradictory</x:v>
      </x:c>
      <x:c r="E27" s="27" t="str">
        <x:v>Associated Press</x:v>
      </x:c>
      <x:c r="F27" s="27" t="str">
        <x:v>High quality reporting</x:v>
      </x:c>
      <x:c r="G27" s="29" t="str">
        <x:v>https://apnews.com/article/324485fad65647d4a897d5bfdcb7849c</x:v>
      </x:c>
      <x:c r="H27" s="29" t="str">
        <x:v>Iraq independently confirmed that the pipeline attack originated from Iraqi territory and opened an investigation after the shutdown.</x:v>
      </x:c>
      <x:c r="I27" s="29" t="str">
        <x:v>Confirms modifier</x:v>
      </x:c>
      <x:c r="J27" s="29" t="n">
        <x:v>4</x:v>
      </x:c>
      <x:c r="K27" s="29" t="str">
        <x:v>The attacker and sponsor remain unconfirmed. The pipeline closure is described as temporary and markets were closed when the news arrived.</x:v>
      </x:c>
    </x:row>
    <x:row r="28">
      <x:c r="A28" s="27" t="str">
        <x:v>EV-2026-023</x:v>
      </x:c>
      <x:c r="B28" s="27" t="str">
        <x:v>EEI-2026-003</x:v>
      </x:c>
      <x:c r="C28" s="28" t="n">
        <x:v>46277.63582175926</x:v>
      </x:c>
      <x:c r="D28" s="27" t="str">
        <x:v>Market confirmation</x:v>
      </x:c>
      <x:c r="E28" s="27" t="str">
        <x:v>Reuters and market price data</x:v>
      </x:c>
      <x:c r="F28" s="27" t="str">
        <x:v>High quality reporting and market data</x:v>
      </x:c>
      <x:c r="G28" s="29" t="str">
        <x:v>https://www.reuters.com/business/wall-st-futures-recover-oil-slides-ahead-inflation-test-2026-09-11/</x:v>
      </x:c>
      <x:c r="H28" s="29" t="str">
        <x:v>Friday's close showed SPY up 0.87%, RSP 0.79%, IWM 0.40% and XLI 1.07%; XLV and XBI fell. S&amp;P 500 breadth was positive, VIX closed at 15.88, and the index lost 0.8% for the week.</x:v>
      </x:c>
      <x:c r="I28" s="29" t="str">
        <x:v>Mixed</x:v>
      </x:c>
      <x:c r="J28" s="29" t="n">
        <x:v>4</x:v>
      </x:c>
      <x:c r="K28" s="29" t="str">
        <x:v>The rebound was broad within the S&amp;P 500, but small caps and health care did not confirm and the market has not reacted to the weekend energy disruption.</x:v>
      </x:c>
    </x:row>
    <x:row r="29">
      <x:c r="A29" s="27" t="str">
        <x:v>EV-2026-024</x:v>
      </x:c>
      <x:c r="B29" s="27" t="str">
        <x:v>EEI-2026-001</x:v>
      </x:c>
      <x:c r="C29" s="49" t="n">
        <x:v>46278.49491898148</x:v>
      </x:c>
      <x:c r="D29" s="27" t="str">
        <x:v>Supporting</x:v>
      </x:c>
      <x:c r="E29" s="27" t="str">
        <x:v>Reuters / UKMTO</x:v>
      </x:c>
      <x:c r="F29" s="27" t="str">
        <x:v>High quality reporting and official maritime notice</x:v>
      </x:c>
      <x:c r="G29" s="29" t="str">
        <x:v>https://www.reuters.com/business/energy/new-report-attack-strait-hormuz-shipping-fans-fears-threats-oil-supplies-2026-09-13/</x:v>
      </x:c>
      <x:c r="H29" s="29" t="str">
        <x:v>UKMTO reported that a projectile struck a vessel in the Strait of Hormuz, causing a fire; local authorities evacuated the crew.</x:v>
      </x:c>
      <x:c r="I29" s="29" t="str">
        <x:v>Strengthens</x:v>
      </x:c>
      <x:c r="J29" s="29" t="n">
        <x:v>4</x:v>
      </x:c>
      <x:c r="K29" s="29" t="str">
        <x:v>Direct evidence that active attacks continue to deter shipping. Reuters did not identify the attacker.</x:v>
      </x:c>
    </x:row>
    <x:row r="30">
      <x:c r="A30" s="27" t="str">
        <x:v>EV-2026-025</x:v>
      </x:c>
      <x:c r="B30" s="27" t="str">
        <x:v>EEI-2026-001</x:v>
      </x:c>
      <x:c r="C30" s="49" t="n">
        <x:v>46278.49491898148</x:v>
      </x:c>
      <x:c r="D30" s="27" t="str">
        <x:v>Supporting</x:v>
      </x:c>
      <x:c r="E30" s="27" t="str">
        <x:v>Associated Press</x:v>
      </x:c>
      <x:c r="F30" s="27" t="str">
        <x:v>High quality reporting</x:v>
      </x:c>
      <x:c r="G30" s="29" t="str">
        <x:v>https://apnews.com/article/aa034da0d8226f5a3b4794b10afb8b3b</x:v>
      </x:c>
      <x:c r="H30" s="29" t="str">
        <x:v>AP reported that an Iranian cargo ship was struck near Qeshm Island early Sunday, killing one person and injuring four; UKMTO reported a projectile impact and fire.</x:v>
      </x:c>
      <x:c r="I30" s="29" t="str">
        <x:v>Strengthens</x:v>
      </x:c>
      <x:c r="J30" s="29" t="n">
        <x:v>4</x:v>
      </x:c>
      <x:c r="K30" s="29" t="str">
        <x:v>Independent confirmation of the incident and casualties; responsibility remains unknown.</x:v>
      </x:c>
    </x:row>
    <x:row r="31">
      <x:c r="A31" s="27" t="str">
        <x:v>EV-2026-026</x:v>
      </x:c>
      <x:c r="B31" s="27" t="str">
        <x:v>EEI-2026-001</x:v>
      </x:c>
      <x:c r="C31" s="49" t="n">
        <x:v>46278.49491898148</x:v>
      </x:c>
      <x:c r="D31" s="27" t="str">
        <x:v>Market confirmation</x:v>
      </x:c>
      <x:c r="E31" s="27" t="str">
        <x:v>Reuters and Saudi market data</x:v>
      </x:c>
      <x:c r="F31" s="27" t="str">
        <x:v>High quality reporting and market data</x:v>
      </x:c>
      <x:c r="G31" s="29" t="str">
        <x:v>https://www.reuters.com/world/middle-east/saudi-shares-drop-after-drone-attacks-target-key-oil-pipeline-2026-09-13/</x:v>
      </x:c>
      <x:c r="H31" s="29" t="str">
        <x:v>Saudi Arabia's benchmark fell 1.0% in early Sunday trade; Aramco fell 1.1%, Saudi Arabian Mining 2.4% and Rabigh Refining 7.3% after the pipeline attacks.</x:v>
      </x:c>
      <x:c r="I31" s="29" t="str">
        <x:v>Confirms regional risk; no crude confirmation</x:v>
      </x:c>
      <x:c r="J31" s="29" t="n">
        <x:v>4</x:v>
      </x:c>
      <x:c r="K31" s="29" t="str">
        <x:v>This is the first regional market reaction, but direct crude and U.S. candidate expressions have not traded since the weekend attacks.</x:v>
      </x:c>
    </x:row>
    <x:row r="32">
      <x:c r="A32" s="27" t="str">
        <x:v>EV-2026-027</x:v>
      </x:c>
      <x:c r="B32" s="27" t="str">
        <x:v>EEI-2026-001</x:v>
      </x:c>
      <x:c r="C32" s="49" t="n">
        <x:v>46278.49491898148</x:v>
      </x:c>
      <x:c r="D32" s="27" t="str">
        <x:v>Neutral</x:v>
      </x:c>
      <x:c r="E32" s="27" t="str">
        <x:v>Reuters</x:v>
      </x:c>
      <x:c r="F32" s="27" t="str">
        <x:v>High quality reporting</x:v>
      </x:c>
      <x:c r="G32" s="29" t="str">
        <x:v>https://www.reuters.com/world/middle-east/no-signed-hormuz-deal-expected-yet-oman-meeting-monday-iranian-official-says-2026-09-12/</x:v>
      </x:c>
      <x:c r="H32" s="29" t="str">
        <x:v>Iran and Gulf states plan to discuss Hormuz in Oman on Monday, but a senior Iranian official said no signed agreement is expected and Iran continues to seek transit-fee authority.</x:v>
      </x:c>
      <x:c r="I32" s="29" t="str">
        <x:v>Supports persistence; preserves diplomatic off-ramp</x:v>
      </x:c>
      <x:c r="J32" s="29" t="n">
        <x:v>4</x:v>
      </x:c>
      <x:c r="K32" s="29" t="str">
        <x:v>The meeting is a live event-risk modifier. A surprise interim deal could reverse risk premiums quickly.</x:v>
      </x:c>
    </x:row>
    <x:row r="33">
      <x:c r="A33" s="27" t="str">
        <x:v>EV-2026-028</x:v>
      </x:c>
      <x:c r="B33" s="27" t="str">
        <x:v>EEI-2026-004</x:v>
      </x:c>
      <x:c r="C33" s="49" t="n">
        <x:v>46278.49491898148</x:v>
      </x:c>
      <x:c r="D33" s="27" t="str">
        <x:v>Supporting</x:v>
      </x:c>
      <x:c r="E33" s="27" t="str">
        <x:v>Reuters</x:v>
      </x:c>
      <x:c r="F33" s="27" t="str">
        <x:v>High quality reporting</x:v>
      </x:c>
      <x:c r="G33" s="29" t="str">
        <x:v>https://www.reuters.com/business/energy/white-house-weighs-how-use-defense-production-act-expand-us-oil-refining-2026-09-11/</x:v>
      </x:c>
      <x:c r="H33" s="29" t="str">
        <x:v>Reuters reported U.S. refinery utilization at 98% and White House consideration of Defense Production Act support for refinery efficiency or expansion as diesel exceeded $6 per gallon.</x:v>
      </x:c>
      <x:c r="I33" s="29" t="str">
        <x:v>Strengthens constraint; no policy decision</x:v>
      </x:c>
      <x:c r="J33" s="29" t="n">
        <x:v>4</x:v>
      </x:c>
      <x:c r="K33" s="29" t="str">
        <x:v>No final decision was made, a new refinery would take years, and the April presidential determination already authorized potential support.</x:v>
      </x:c>
    </x:row>
    <x:row r="34">
      <x:c r="A34" s="27" t="str">
        <x:v>EV-2026-029</x:v>
      </x:c>
      <x:c r="B34" s="27" t="str">
        <x:v>EEI-2026-003</x:v>
      </x:c>
      <x:c r="C34" s="28" t="n">
        <x:v>46278.63196759259</x:v>
      </x:c>
      <x:c r="D34" s="27" t="str">
        <x:v>Contradictory</x:v>
      </x:c>
      <x:c r="E34" s="27" t="str">
        <x:v>Reuters</x:v>
      </x:c>
      <x:c r="F34" s="27" t="str">
        <x:v>High quality reporting</x:v>
      </x:c>
      <x:c r="G34" s="29" t="str">
        <x:v>https://www.reuters.com/business/energy/saudi-pipeline-outage-threatens-loss-4-global-oil-supply-2026-09-13/</x:v>
      </x:c>
      <x:c r="H34" s="29" t="str">
        <x:v>Reuters reported that the East-West pipeline had been moving about 4 million barrels per day, roughly 4% of world supply. Yanbu export stocks were estimated at five to seven days, while one repair estimate was five to six weeks.</x:v>
      </x:c>
      <x:c r="I34" s="29" t="str">
        <x:v>Weakens timing and trading edge</x:v>
      </x:c>
      <x:c r="J34" s="29" t="n">
        <x:v>4</x:v>
      </x:c>
      <x:c r="K34" s="29" t="str">
        <x:v>Saudi Arabia has not confirmed the damage or repair duration, and partial pumping could resume sooner. The confirmed shutdown remains an oil-thesis trigger and a macro modifier here.</x:v>
      </x:c>
    </x:row>
    <x:row r="35">
      <x:c r="A35" s="27" t="str">
        <x:v>EV-2026-030</x:v>
      </x:c>
      <x:c r="B35" s="27" t="str">
        <x:v>EEI-2026-003</x:v>
      </x:c>
      <x:c r="C35" s="28" t="n">
        <x:v>46278.63196759259</x:v>
      </x:c>
      <x:c r="D35" s="27" t="str">
        <x:v>Market confirmation</x:v>
      </x:c>
      <x:c r="E35" s="27" t="str">
        <x:v>Reuters and Saudi market data</x:v>
      </x:c>
      <x:c r="F35" s="27" t="str">
        <x:v>High quality reporting and market data</x:v>
      </x:c>
      <x:c r="G35" s="29" t="str">
        <x:v>https://www.reuters.com/world/middle-east/saudi-shares-drop-after-drone-attacks-target-key-oil-pipeline-2026-09-13/</x:v>
      </x:c>
      <x:c r="H35" s="29" t="str">
        <x:v>Saudi Arabia's benchmark fell 1.3% on Sunday; Aramco fell 1.6% and Saudi Arabian Mining fell 3.2% after the pipeline and Gulf shipping attacks.</x:v>
      </x:c>
      <x:c r="I35" s="29" t="str">
        <x:v>Confirms regional risk; U.S. confirmation pending</x:v>
      </x:c>
      <x:c r="J35" s="29" t="n">
        <x:v>4</x:v>
      </x:c>
      <x:c r="K35" s="29" t="str">
        <x:v>The regional reaction supports the adverse macro modifier. U.S. equity breadth, volatility, rates and candidate funds have not traded since the new weekend evidence.</x:v>
      </x:c>
    </x:row>
    <x:row r="36">
      <x:c r="A36" s="27" t="str">
        <x:v>EV-2026-031</x:v>
      </x:c>
      <x:c r="B36" s="27" t="str">
        <x:v>EEI-2026-003</x:v>
      </x:c>
      <x:c r="C36" s="28" t="n">
        <x:v>46278.63196759259</x:v>
      </x:c>
      <x:c r="D36" s="27" t="str">
        <x:v>Neutral</x:v>
      </x:c>
      <x:c r="E36" s="27" t="str">
        <x:v>Reuters</x:v>
      </x:c>
      <x:c r="F36" s="27" t="str">
        <x:v>High quality reporting</x:v>
      </x:c>
      <x:c r="G36" s="29" t="str">
        <x:v>https://www.reuters.com/world/us/dallas-convention-some-loyalists-question-trump-centric-midterms-strategy-2026-09-11/</x:v>
      </x:c>
      <x:c r="H36" s="29" t="str">
        <x:v>Reuters reported debate within the Republican campaign over using President Trump as the central midterm messenger, with inflation and the Iran war prominent in voter concerns.</x:v>
      </x:c>
      <x:c r="I36" s="29" t="str">
        <x:v>No thesis-stage change</x:v>
      </x:c>
      <x:c r="J36" s="29" t="n">
        <x:v>4</x:v>
      </x:c>
      <x:c r="K36" s="29" t="str">
        <x:v>This is campaign-strategy evidence, not independent confirmation of congressional control or a specific investable policy outcome.</x:v>
      </x:c>
    </x:row>
    <x:row r="37">
      <x:c r="A37" s="27" t="str">
        <x:v>EV-2026-032</x:v>
      </x:c>
      <x:c r="B37" s="27" t="str">
        <x:v>EEI-2026-001</x:v>
      </x:c>
      <x:c r="C37" s="28" t="n">
        <x:v>46279.38055555556</x:v>
      </x:c>
      <x:c r="D37" s="27" t="str">
        <x:v>Market confirmation</x:v>
      </x:c>
      <x:c r="E37" s="27" t="str">
        <x:v>Reuters</x:v>
      </x:c>
      <x:c r="F37" s="27" t="str">
        <x:v>High quality reporting</x:v>
      </x:c>
      <x:c r="G37" s="29" t="str">
        <x:v>https://www.reuters.com/business/energy/oil-prices-jump-more-than-3-after-new-strikes-saudi-strait-hormuz-2026-09-13/</x:v>
      </x:c>
      <x:c r="H37" s="29" t="str">
        <x:v>Brent rose 3.1% to $107.82 and WTI to $102.82, with Brent reaching $108.65, after weekend pipeline and shipping attacks.</x:v>
      </x:c>
      <x:c r="I37" s="29" t="str">
        <x:v>Strengthens thesis; weakens entry</x:v>
      </x:c>
      <x:c r="J37" s="29" t="n">
        <x:v>4</x:v>
      </x:c>
      <x:c r="K37" s="29" t="str">
        <x:v>The missing liquid-market confirmation arrived, but after a 9% prior-week rally and a gap, so Entry Window remains WAIT.</x:v>
      </x:c>
    </x:row>
    <x:row r="38">
      <x:c r="A38" s="27" t="str">
        <x:v>EV-2026-033</x:v>
      </x:c>
      <x:c r="B38" s="27" t="str">
        <x:v>EEI-2026-001</x:v>
      </x:c>
      <x:c r="C38" s="28" t="n">
        <x:v>46279.38055555556</x:v>
      </x:c>
      <x:c r="D38" s="27" t="str">
        <x:v>Physical confirmation</x:v>
      </x:c>
      <x:c r="E38" s="27" t="str">
        <x:v>Reuters</x:v>
      </x:c>
      <x:c r="F38" s="27" t="str">
        <x:v>High quality reporting</x:v>
      </x:c>
      <x:c r="G38" s="29" t="str">
        <x:v>https://www.reuters.com/business/energy/asias-oil-traders-seeing-no-quick-end-middle-east-war-stay-bullish-prices-2026-09-14/</x:v>
      </x:c>
      <x:c r="H38" s="29" t="str">
        <x:v>Dubai/Oman spot premiums reached the highest levels since March; South Korean refiners paid about $24 per barrel premiums for U.S. crude and Iraqi Basrah Medium traded near a $20 premium as Hormuz flows remained constrained.</x:v>
      </x:c>
      <x:c r="I38" s="29" t="str">
        <x:v>Strengthens</x:v>
      </x:c>
      <x:c r="J38" s="29" t="n">
        <x:v>4</x:v>
      </x:c>
      <x:c r="K38" s="29" t="str">
        <x:v>Physical replacement-barrel costs confirm scarcity beyond futures prices; prolonged disruption and rapid-recovery scenarios remain wide.</x:v>
      </x:c>
    </x:row>
    <x:row r="39">
      <x:c r="A39" s="27" t="str">
        <x:v>EV-2026-034</x:v>
      </x:c>
      <x:c r="B39" s="27" t="str">
        <x:v>EEI-2026-001</x:v>
      </x:c>
      <x:c r="C39" s="28" t="n">
        <x:v>46279.38055555556</x:v>
      </x:c>
      <x:c r="D39" s="27" t="str">
        <x:v>Modifier</x:v>
      </x:c>
      <x:c r="E39" s="27" t="str">
        <x:v>Reuters</x:v>
      </x:c>
      <x:c r="F39" s="27" t="str">
        <x:v>High quality reporting</x:v>
      </x:c>
      <x:c r="G39" s="29" t="str">
        <x:v>https://www.reuters.com/world/middle-east/oman-meeting-between-gulf-states-iran-postponed-omani-foreign-minister-says-2026-09-13/</x:v>
      </x:c>
      <x:c r="H39" s="29" t="str">
        <x:v>Oman said the planned Gulf-Iran meeting was postponed.</x:v>
      </x:c>
      <x:c r="I39" s="29" t="str">
        <x:v>Mixed</x:v>
      </x:c>
      <x:c r="J39" s="29" t="n">
        <x:v>4</x:v>
      </x:c>
      <x:c r="K39" s="29" t="str">
        <x:v>The delay weakens the immediate diplomatic off-ramp but does not eliminate future negotiations or reversal risk.</x:v>
      </x:c>
    </x:row>
    <x:row r="40">
      <x:c r="A40" s="27" t="str">
        <x:v>EV-2026-035</x:v>
      </x:c>
      <x:c r="B40" s="27" t="str">
        <x:v>EEI-2026-005</x:v>
      </x:c>
      <x:c r="C40" s="28" t="n">
        <x:v>46279.38055555556</x:v>
      </x:c>
      <x:c r="D40" s="27" t="str">
        <x:v>Trigger</x:v>
      </x:c>
      <x:c r="E40" s="27" t="str">
        <x:v>The Motley Fool — Thomas Niel</x:v>
      </x:c>
      <x:c r="F40" s="27" t="str">
        <x:v>Idea generator only</x:v>
      </x:c>
      <x:c r="G40" s="29" t="str">
        <x:v>https://www.fool.com/investing/2026/09/13/should-you-buy-bristol-myers-squibb-stock-yield/</x:v>
      </x:c>
      <x:c r="H40" s="29" t="str">
        <x:v>A free September 13 editorial argued that BMY's growth portfolio and roughly 4% dividend yield may offset patent-cliff concerns.</x:v>
      </x:c>
      <x:c r="I40" s="29" t="str">
        <x:v>Research trigger only</x:v>
      </x:c>
      <x:c r="J40" s="29" t="n">
        <x:v>2</x:v>
      </x:c>
      <x:c r="K40" s="29" t="str">
        <x:v>Not an official paid-service recommendation. Author disclosed no position; Motley Fool disclosed positions in/recommendations involving BMY. Promotional framing is not evidence.</x:v>
      </x:c>
    </x:row>
    <x:row r="41">
      <x:c r="A41" s="27" t="str">
        <x:v>EV-2026-036</x:v>
      </x:c>
      <x:c r="B41" s="27" t="str">
        <x:v>EEI-2026-005</x:v>
      </x:c>
      <x:c r="C41" s="28" t="n">
        <x:v>46279.38055555556</x:v>
      </x:c>
      <x:c r="D41" s="27" t="str">
        <x:v>Supporting</x:v>
      </x:c>
      <x:c r="E41" s="27" t="str">
        <x:v>Bristol Myers Squibb SEC exhibit</x:v>
      </x:c>
      <x:c r="F41" s="27" t="str">
        <x:v>Primary company filing</x:v>
      </x:c>
      <x:c r="G41" s="29" t="str">
        <x:v>https://www.sec.gov/Archives/edgar/data/14272/000001427226000018/a2026q2ex991-filing.htm</x:v>
      </x:c>
      <x:c r="H41" s="29" t="str">
        <x:v>Q2 revenue was $13.0 billion, up 6%; Growth Portfolio revenue was $7.6 billion, up 15%; 2026 revenue and non-GAAP EPS guidance were raised.</x:v>
      </x:c>
      <x:c r="I41" s="29" t="str">
        <x:v>Strengthens</x:v>
      </x:c>
      <x:c r="J41" s="29" t="n">
        <x:v>5</x:v>
      </x:c>
      <x:c r="K41" s="29" t="str">
        <x:v>Legacy revenue still declined and patent expirations remain the central contradiction; cash flow and leverage require continued tracking.</x:v>
      </x:c>
    </x:row>
    <x:row r="42">
      <x:c r="A42" s="27" t="str">
        <x:v>EV-2026-037</x:v>
      </x:c>
      <x:c r="B42" s="27" t="str">
        <x:v>EEI-2026-006</x:v>
      </x:c>
      <x:c r="C42" s="28" t="n">
        <x:v>46279.38055555556</x:v>
      </x:c>
      <x:c r="D42" s="27" t="str">
        <x:v>Trigger</x:v>
      </x:c>
      <x:c r="E42" s="27" t="str">
        <x:v>The Motley Fool — Catie Hogan</x:v>
      </x:c>
      <x:c r="F42" s="27" t="str">
        <x:v>Idea generator only</x:v>
      </x:c>
      <x:c r="G42" s="29" t="str">
        <x:v>https://www.fool.com/investing/2026/09/13/is-lululemon-nearing-its-bottom/</x:v>
      </x:c>
      <x:c r="H42" s="29" t="str">
        <x:v>A free September 13 editorial argued LULU may be near a bottom as new leadership begins a turnaround.</x:v>
      </x:c>
      <x:c r="I42" s="29" t="str">
        <x:v>Research trigger only</x:v>
      </x:c>
      <x:c r="J42" s="29" t="n">
        <x:v>2</x:v>
      </x:c>
      <x:c r="K42" s="29" t="str">
        <x:v>Not an official paid-service recommendation. Valuation and a fallen share price do not confirm operating stabilization.</x:v>
      </x:c>
    </x:row>
    <x:row r="43">
      <x:c r="A43" s="27" t="str">
        <x:v>EV-2026-038</x:v>
      </x:c>
      <x:c r="B43" s="27" t="str">
        <x:v>EEI-2026-006</x:v>
      </x:c>
      <x:c r="C43" s="28" t="n">
        <x:v>46279.38055555556</x:v>
      </x:c>
      <x:c r="D43" s="27" t="str">
        <x:v>Contradictory</x:v>
      </x:c>
      <x:c r="E43" s="27" t="str">
        <x:v>lululemon / reported Q2 results</x:v>
      </x:c>
      <x:c r="F43" s="27" t="str">
        <x:v>Primary company results and independent reporting</x:v>
      </x:c>
      <x:c r="G43" s="29" t="str">
        <x:v>https://corporate.lululemon.com/investors</x:v>
      </x:c>
      <x:c r="H43" s="29" t="str">
        <x:v>Q2 revenue fell about 4% to $2.42 billion, global comparable sales fell 9%, Americas comparable sales fell 12%, and full-year revenue guidance was cut to a 5%-7% decline.</x:v>
      </x:c>
      <x:c r="I43" s="29" t="str">
        <x:v>Weakens</x:v>
      </x:c>
      <x:c r="J43" s="29" t="n">
        <x:v>4</x:v>
      </x:c>
      <x:c r="K43" s="29" t="str">
        <x:v>The turnaround variable is still moving the wrong way; next-quarter comps, inventory and underlying gross margin are required.</x:v>
      </x:c>
    </x:row>
    <x:row r="44">
      <x:c r="A44" s="27" t="str">
        <x:v>EV-2026-039</x:v>
      </x:c>
      <x:c r="B44" s="27" t="str">
        <x:v>EEI-2026-007</x:v>
      </x:c>
      <x:c r="C44" s="28" t="n">
        <x:v>46279.38055555556</x:v>
      </x:c>
      <x:c r="D44" s="27" t="str">
        <x:v>Trigger</x:v>
      </x:c>
      <x:c r="E44" s="27" t="str">
        <x:v>The Motley Fool — Danny Vena</x:v>
      </x:c>
      <x:c r="F44" s="27" t="str">
        <x:v>Idea generator only</x:v>
      </x:c>
      <x:c r="G44" s="29" t="str">
        <x:v>https://www.fool.com/investing/2026/09/09/aerovironment-just-delivered-historic-results-wall-street-says-it-s-a-buy/</x:v>
      </x:c>
      <x:c r="H44" s="29" t="str">
        <x:v>A free September 9 editorial highlighted AVAV's bookings, backlog and counter-drone demand.</x:v>
      </x:c>
      <x:c r="I44" s="29" t="str">
        <x:v>Research trigger only</x:v>
      </x:c>
      <x:c r="J44" s="29" t="n">
        <x:v>2</x:v>
      </x:c>
      <x:c r="K44" s="29" t="str">
        <x:v>Not treated as confirmation or an expert enhancer; disclosed-position detail was not visible in the accessible excerpt.</x:v>
      </x:c>
    </x:row>
    <x:row r="45">
      <x:c r="A45" s="27" t="str">
        <x:v>EV-2026-040</x:v>
      </x:c>
      <x:c r="B45" s="27" t="str">
        <x:v>EEI-2026-007</x:v>
      </x:c>
      <x:c r="C45" s="28" t="n">
        <x:v>46279.38055555556</x:v>
      </x:c>
      <x:c r="D45" s="27" t="str">
        <x:v>Supporting</x:v>
      </x:c>
      <x:c r="E45" s="27" t="str">
        <x:v>AeroVironment SEC Form 10-Q</x:v>
      </x:c>
      <x:c r="F45" s="27" t="str">
        <x:v>Primary company filing</x:v>
      </x:c>
      <x:c r="G45" s="29" t="str">
        <x:v>https://www.sec.gov/Archives/edgar/data/1368622/000110465926106423/avav-20260801x10q.htm</x:v>
      </x:c>
      <x:c r="H45" s="29" t="str">
        <x:v>Q1 revenue was $480.5 million; Autonomous Systems revenue rose 21% to $346 million; funded backlog was about $1.46 billion, with 78% expected in fiscal 2027.</x:v>
      </x:c>
      <x:c r="I45" s="29" t="str">
        <x:v>Strengthens</x:v>
      </x:c>
      <x:c r="J45" s="29" t="n">
        <x:v>5</x:v>
      </x:c>
      <x:c r="K45" s="29" t="str">
        <x:v>Space, Cyber and Directed Energy revenue declined 21%, inventory increased and material weaknesses remained.</x:v>
      </x:c>
    </x:row>
    <x:row r="46">
      <x:c r="A46" s="27" t="str">
        <x:v>EV-2026-041</x:v>
      </x:c>
      <x:c r="B46" s="27" t="str">
        <x:v>EEI-2026-001</x:v>
      </x:c>
      <x:c r="C46" s="28" t="n">
        <x:v>46279.850694444445</x:v>
      </x:c>
      <x:c r="D46" s="27" t="str">
        <x:v>Market confirmation</x:v>
      </x:c>
      <x:c r="E46" s="27" t="str">
        <x:v>Reuters</x:v>
      </x:c>
      <x:c r="F46" s="27" t="str">
        <x:v>High quality reporting</x:v>
      </x:c>
      <x:c r="G46" s="29" t="str">
        <x:v>https://www.reuters.com/business/energy/oil-prices-jump-more-than-3-after-new-strikes-saudi-strait-hormuz-2026-09-13/</x:v>
      </x:c>
      <x:c r="H46" s="29" t="str">
        <x:v>Brent settled at $105.68 and WTI at $101.39 on September 14. Hormuz commodity-vessel transits fell to single digits per day, and the Saudi East-West pipeline remained out of service after an attack.</x:v>
      </x:c>
      <x:c r="I46" s="29" t="str">
        <x:v>Strengthens thesis; confirms event sensitivity</x:v>
      </x:c>
      <x:c r="J46" s="29" t="n">
        <x:v>4</x:v>
      </x:c>
      <x:c r="K46" s="29" t="str">
        <x:v>Both benchmarks gained about 1%, but they surrendered most of an almost 5% intraday rise after President Trump said Iran wanted a deal. The physical supply mechanism remains active while the rapid reversal confirms the de-escalation risk and supports keeping the Entry Window at WAIT.</x:v>
      </x:c>
    </x:row>
    <x:row r="47">
      <x:c r="A47" s="27" t="str">
        <x:v>EV-2026-042</x:v>
      </x:c>
      <x:c r="B47" s="27" t="str">
        <x:v>EEI-2026-001</x:v>
      </x:c>
      <x:c r="C47" s="28" t="n">
        <x:v>46279.850694444445</x:v>
      </x:c>
      <x:c r="D47" s="27" t="str">
        <x:v>Paper-trade outcome</x:v>
      </x:c>
      <x:c r="E47" s="27" t="str">
        <x:v>StockAnalysis / S&amp;P Global Market Intelligence</x:v>
      </x:c>
      <x:c r="F47" s="27" t="str">
        <x:v>Market data</x:v>
      </x:c>
      <x:c r="G47" s="29" t="str">
        <x:v>https://stockanalysis.com/etf/bno/</x:v>
      </x:c>
      <x:c r="H47" s="29" t="str">
        <x:v>BNO closed at $62.15 on September 14 versus the $57.21 September 8 opening entry, valuing the $1,000 paper position at $1,086.35 for an $86.35 gain, or 8.63%.</x:v>
      </x:c>
      <x:c r="I47" s="29" t="str">
        <x:v>Strengthens expression</x:v>
      </x:c>
      <x:c r="J47" s="29" t="n">
        <x:v>5</x:v>
      </x:c>
      <x:c r="K47" s="29" t="str">
        <x:v>BNO remains the best-performing and cleanest of the three expressions, consistent with the original ranking of Brent-linked exposure for a global seaborne supply shock.</x:v>
      </x:c>
    </x:row>
    <x:row r="48">
      <x:c r="A48" s="27" t="str">
        <x:v>EV-2026-043</x:v>
      </x:c>
      <x:c r="B48" s="27" t="str">
        <x:v>EEI-2026-001</x:v>
      </x:c>
      <x:c r="C48" s="28" t="n">
        <x:v>46279.850694444445</x:v>
      </x:c>
      <x:c r="D48" s="27" t="str">
        <x:v>Paper-trade outcome</x:v>
      </x:c>
      <x:c r="E48" s="27" t="str">
        <x:v>StockAnalysis / S&amp;P Global Market Intelligence</x:v>
      </x:c>
      <x:c r="F48" s="27" t="str">
        <x:v>Market data</x:v>
      </x:c>
      <x:c r="G48" s="29" t="str">
        <x:v>https://stockanalysis.com/etf/uso/history/</x:v>
      </x:c>
      <x:c r="H48" s="29" t="str">
        <x:v>USO closed at $156.67 on September 14 versus the $144.60 September 8 opening entry, valuing the $1,000 paper position at $1,083.47 for an $83.47 gain, or 8.35%.</x:v>
      </x:c>
      <x:c r="I48" s="29" t="str">
        <x:v>Strengthens expression</x:v>
      </x:c>
      <x:c r="J48" s="29" t="n">
        <x:v>5</x:v>
      </x:c>
      <x:c r="K48" s="29" t="str">
        <x:v>WTI-linked exposure continues to track the predicted crude-price direction nearly as well as BNO.</x:v>
      </x:c>
    </x:row>
    <x:row r="49">
      <x:c r="A49" s="27" t="str">
        <x:v>EV-2026-044</x:v>
      </x:c>
      <x:c r="B49" s="27" t="str">
        <x:v>EEI-2026-001</x:v>
      </x:c>
      <x:c r="C49" s="28" t="n">
        <x:v>46279.850694444445</x:v>
      </x:c>
      <x:c r="D49" s="27" t="str">
        <x:v>Paper-trade outcome</x:v>
      </x:c>
      <x:c r="E49" s="27" t="str">
        <x:v>Nasdaq market data</x:v>
      </x:c>
      <x:c r="F49" s="27" t="str">
        <x:v>Primary market data</x:v>
      </x:c>
      <x:c r="G49" s="29" t="str">
        <x:v>https://www.nasdaq.com/market-activity/etf/xop/historical</x:v>
      </x:c>
      <x:c r="H49" s="29" t="str">
        <x:v>XOP closed near $193.55 on September 14 versus the $193.84 September 8 opening entry, valuing the $1,000 paper position at $998.50 for a $1.50 loss, or 0.15%.</x:v>
      </x:c>
      <x:c r="I49" s="29" t="str">
        <x:v>Weakens indirect expression</x:v>
      </x:c>
      <x:c r="J49" s="29" t="n">
        <x:v>5</x:v>
      </x:c>
      <x:c r="K49" s="29" t="str">
        <x:v>Producer equities diverged from direct crude exposure and erased their small prior gain. This does not invalidate the crude-supply thesis; it shows company, equity-market and instrument-mapping risks in XOP.</x:v>
      </x:c>
    </x:row>
    <x:row r="50">
      <x:c r="A50" s="27" t="str">
        <x:v>EV-2026-045</x:v>
      </x:c>
      <x:c r="B50" s="27"/>
      <x:c r="C50" s="28" t="n">
        <x:v>46279.38055555556</x:v>
      </x:c>
      <x:c r="D50" s="27" t="str">
        <x:v>Rejected Motley Fool trigger</x:v>
      </x:c>
      <x:c r="E50" s="27" t="str">
        <x:v>The Motley Fool — Dave Kovaleski</x:v>
      </x:c>
      <x:c r="F50" s="27" t="str">
        <x:v>Idea generator only</x:v>
      </x:c>
      <x:c r="G50" s="29" t="str">
        <x:v>https://www.fool.com/investing/2026/09/14/this-memory-sector-sleeper-stock-hits-a-profitabil/</x:v>
      </x:c>
      <x:c r="H50" s="29" t="str">
        <x:v>A September 14 Everspin article recycled a $40 million defense contract announced in April while the company remained loss-making.</x:v>
      </x:c>
      <x:c r="I50" s="29" t="str">
        <x:v>Rejected</x:v>
      </x:c>
      <x:c r="J50" s="29" t="n">
        <x:v>2</x:v>
      </x:c>
      <x:c r="K50" s="29" t="str">
        <x:v>No new thesis created: the catalyst was not new, profitability was not established and cash-flow improvement was insufficient. Reopen only on new primary evidence.</x:v>
      </x:c>
    </x:row>
    <x:row r="51">
      <x:c r="A51" s="27" t="str">
        <x:v>EV-2026-046</x:v>
      </x:c>
      <x:c r="B51" s="27"/>
      <x:c r="C51" s="28" t="n">
        <x:v>46279.38055555556</x:v>
      </x:c>
      <x:c r="D51" s="27" t="str">
        <x:v>Rejected Motley Fool trigger</x:v>
      </x:c>
      <x:c r="E51" s="27" t="str">
        <x:v>The Motley Fool</x:v>
      </x:c>
      <x:c r="F51" s="27" t="str">
        <x:v>Idea generator only</x:v>
      </x:c>
      <x:c r="G51" s="29" t="str">
        <x:v>https://www.fool.com/investing/2026/09/14/next-gen-defense-stock-down-screaming-buy-krknf/</x:v>
      </x:c>
      <x:c r="H51" s="29" t="str">
        <x:v>A September 14 article promoted Kraken Robotics despite acknowledging weak recent results and high risk.</x:v>
      </x:c>
      <x:c r="I51" s="29" t="str">
        <x:v>Rejected</x:v>
      </x:c>
      <x:c r="J51" s="29" t="n">
        <x:v>2</x:v>
      </x:c>
      <x:c r="K51" s="29" t="str">
        <x:v>Did not clear the basic relevance/materiality threshold: no discrete new catalyst and elevated microcap, foreign-market and liquidity risk. No thesis created.</x:v>
      </x:c>
    </x:row>
    <x:row r="52">
      <x:c r="A52" s="27" t="str">
        <x:v>EV-2026-047</x:v>
      </x:c>
      <x:c r="B52" s="27" t="str">
        <x:v>EEI-2026-007</x:v>
      </x:c>
      <x:c r="C52" s="28" t="n">
        <x:v>46279.38055555556</x:v>
      </x:c>
      <x:c r="D52" s="27" t="str">
        <x:v>Contradictory</x:v>
      </x:c>
      <x:c r="E52" s="27" t="str">
        <x:v>AeroVironment SEC Form 8-K</x:v>
      </x:c>
      <x:c r="F52" s="27" t="str">
        <x:v>Primary company filing</x:v>
      </x:c>
      <x:c r="G52" s="29" t="str">
        <x:v>https://www.sec.gov/Archives/edgar/data/1368622/000110465926076140/avav-20260616x8k.htm</x:v>
      </x:c>
      <x:c r="H52" s="29" t="str">
        <x:v>The audit committee determined that the January 31, 2026 quarterly statements required restatement because of an error in the Space reporting-unit goodwill impairment analysis.</x:v>
      </x:c>
      <x:c r="I52" s="29" t="str">
        <x:v>Weakens</x:v>
      </x:c>
      <x:c r="J52" s="29" t="n">
        <x:v>5</x:v>
      </x:c>
      <x:c r="K52" s="29" t="str">
        <x:v>This restores a primary-source contradiction that had dropped out of the prior ledger version. It supports continued accounting-control and profitability caution despite demand strength.</x:v>
      </x:c>
    </x:row>
    <x:row r="53">
      <x:c r="A53" s="27" t="str">
        <x:v>EV-2026-048</x:v>
      </x:c>
      <x:c r="B53" s="27" t="str">
        <x:v>EEI-2026-008</x:v>
      </x:c>
      <x:c r="C53" s="28" t="n">
        <x:v>46279.38055555556</x:v>
      </x:c>
      <x:c r="D53" s="27" t="str">
        <x:v>Trigger</x:v>
      </x:c>
      <x:c r="E53" s="27" t="str">
        <x:v>Reuters</x:v>
      </x:c>
      <x:c r="F53" s="27" t="str">
        <x:v>High quality reporting</x:v>
      </x:c>
      <x:c r="G53" s="29" t="str">
        <x:v>https://www.reuters.com/world/china/elmet-group-wins-2-billion-us-tungsten-stockpile-contract-2026-09-14/</x:v>
      </x:c>
      <x:c r="H53" s="29" t="str">
        <x:v>Reuters reported that an Elmet subsidiary won a Defense Logistics Agency tungsten stockpile award with a $150 million guaranteed commitment and a potential value near $2 billion.</x:v>
      </x:c>
      <x:c r="I53" s="29" t="str">
        <x:v>Strengthens</x:v>
      </x:c>
      <x:c r="J53" s="29" t="n">
        <x:v>4</x:v>
      </x:c>
      <x:c r="K53" s="29" t="str">
        <x:v>New award as reported, not a routine modification. Recipient subsidiary, award identifier, PSC/NAICS, competition, period and obligated schedule remain unavailable pending primary award indexing.</x:v>
      </x:c>
    </x:row>
    <x:row r="54">
      <x:c r="A54" s="27" t="str">
        <x:v>EV-2026-049</x:v>
      </x:c>
      <x:c r="B54" s="27" t="str">
        <x:v>EEI-2026-008</x:v>
      </x:c>
      <x:c r="C54" s="28" t="n">
        <x:v>46279.38055555556</x:v>
      </x:c>
      <x:c r="D54" s="27" t="str">
        <x:v>Supporting</x:v>
      </x:c>
      <x:c r="E54" s="27" t="str">
        <x:v>U.S. Department of War</x:v>
      </x:c>
      <x:c r="F54" s="27" t="str">
        <x:v>Primary government source</x:v>
      </x:c>
      <x:c r="G54" s="29" t="str">
        <x:v>https://www.war.gov/News/Releases/Release/Article/4599882/department-of-war-announces-a-450-million-investment-in-the-elmet-group-to-secu/</x:v>
      </x:c>
      <x:c r="H54" s="29" t="str">
        <x:v>The Department announced a $450 million redeemable preferred-equity investment in Elmet through the Industrial Base Analysis and Sustainment program and said Elmet supports more than 100 defense programs.</x:v>
      </x:c>
      <x:c r="I54" s="29" t="str">
        <x:v>Strengthens</x:v>
      </x:c>
      <x:c r="J54" s="29" t="n">
        <x:v>5</x:v>
      </x:c>
      <x:c r="K54" s="29" t="str">
        <x:v>Confirms a separate government capital commitment and the domestic tungsten-capacity mechanism. It is not the DLA award record and should not be merged with that award's value.</x:v>
      </x:c>
    </x:row>
    <x:row r="55">
      <x:c r="A55" s="27" t="str">
        <x:v>EV-2026-050</x:v>
      </x:c>
      <x:c r="B55" s="27" t="str">
        <x:v>EEI-2026-008</x:v>
      </x:c>
      <x:c r="C55" s="28" t="n">
        <x:v>46279.38055555556</x:v>
      </x:c>
      <x:c r="D55" s="27" t="str">
        <x:v>Contradictory</x:v>
      </x:c>
      <x:c r="E55" s="27" t="str">
        <x:v>Elmet Group SEC filing</x:v>
      </x:c>
      <x:c r="F55" s="27" t="str">
        <x:v>Primary company filing</x:v>
      </x:c>
      <x:c r="G55" s="29" t="str">
        <x:v>https://www.sec.gov/Archives/edgar/data/2101698/000162828026056460/elmt-20260703.htm</x:v>
      </x:c>
      <x:c r="H55" s="29" t="str">
        <x:v>Elmet's latest quarterly filing shows a newly public company with limited operating history, material project-execution needs and financing dependence.</x:v>
      </x:c>
      <x:c r="I55" s="29" t="str">
        <x:v>Mixed</x:v>
      </x:c>
      <x:c r="J55" s="29" t="n">
        <x:v>5</x:v>
      </x:c>
      <x:c r="K55" s="29" t="str">
        <x:v>The reported government commitments are very large relative to Elmet's roughly $400 million market capitalization, which increases both materiality and execution/dilution risk.</x:v>
      </x:c>
    </x:row>
    <x:row r="56">
      <x:c r="A56" s="27" t="str">
        <x:v>EV-2026-051</x:v>
      </x:c>
      <x:c r="B56" s="27" t="str">
        <x:v>EEI-2026-008</x:v>
      </x:c>
      <x:c r="C56" s="28" t="n">
        <x:v>46280.34236111111</x:v>
      </x:c>
      <x:c r="D56" s="27" t="str">
        <x:v>Market confirmation</x:v>
      </x:c>
      <x:c r="E56" s="27" t="str">
        <x:v>Barron's</x:v>
      </x:c>
      <x:c r="F56" s="27" t="str">
        <x:v>Independent financial reporting</x:v>
      </x:c>
      <x:c r="G56" s="29" t="str">
        <x:v>https://www.barrons.com/articles/elmet-stock-pentagon-tungsten-deal-5c0ce250</x:v>
      </x:c>
      <x:c r="H56" s="29" t="str">
        <x:v>Elmet closed September 14 at $21.56, up about 33%. Barron's reported an initial $200 million disbursement, milestone-tied remaining capital and government warrants for up to 19.9% of shares.</x:v>
      </x:c>
      <x:c r="I56" s="29" t="str">
        <x:v>Strengthens thesis; weakens entry</x:v>
      </x:c>
      <x:c r="J56" s="29" t="n">
        <x:v>4</x:v>
      </x:c>
      <x:c r="K56" s="29" t="str">
        <x:v>The reaction confirms materiality and market recognition, but the gap and dilution terms reduce remaining trading edge. Entry Window stays WAIT.</x:v>
      </x:c>
    </x:row>
    <x:row r="57">
      <x:c r="A57" s="27" t="str">
        <x:v>EV-2026-052</x:v>
      </x:c>
      <x:c r="B57" s="27" t="str">
        <x:v>EEI-2026-001</x:v>
      </x:c>
      <x:c r="C57" s="28" t="n">
        <x:v>46280.34236111111</x:v>
      </x:c>
      <x:c r="D57" s="27" t="str">
        <x:v>Market and physical confirmation</x:v>
      </x:c>
      <x:c r="E57" s="27" t="str">
        <x:v>Reuters</x:v>
      </x:c>
      <x:c r="F57" s="27" t="str">
        <x:v>High quality reporting</x:v>
      </x:c>
      <x:c r="G57" s="29" t="str">
        <x:v>https://www.reuters.com/business/energy/oil-prices-rise-saudi-pipeline-outage-fresh-attacks-raise-supply-concerns-2026-09-15/</x:v>
      </x:c>
      <x:c r="H57" s="29" t="str">
        <x:v>Brent traded above $107 while Saudi Arabia's East-West pipeline remained out of service and attacks continued, leaving a material share of global supply exposed.</x:v>
      </x:c>
      <x:c r="I57" s="29" t="str">
        <x:v>Strengthens thesis; entry unchanged</x:v>
      </x:c>
      <x:c r="J57" s="29" t="n">
        <x:v>4</x:v>
      </x:c>
      <x:c r="K57" s="29" t="str">
        <x:v>The physical mechanism remains intact, but the prior rally and repeated headline gaps leave trading edge at 1/5 and Entry Window WAIT.</x:v>
      </x:c>
    </x:row>
    <x:row r="58">
      <x:c r="A58" s="27" t="str">
        <x:v>EV-2026-053</x:v>
      </x:c>
      <x:c r="B58" s="27" t="str">
        <x:v>EEI-2026-001</x:v>
      </x:c>
      <x:c r="C58" s="28" t="n">
        <x:v>46280.34236111111</x:v>
      </x:c>
      <x:c r="D58" s="27" t="str">
        <x:v>Contradictory</x:v>
      </x:c>
      <x:c r="E58" s="27" t="str">
        <x:v>Reuters</x:v>
      </x:c>
      <x:c r="F58" s="27" t="str">
        <x:v>High quality reporting</x:v>
      </x:c>
      <x:c r="G58" s="29" t="str">
        <x:v>https://www.reuters.com/world/middle-east/saudi-civil-defence-says-danger-has-passed-six-cities-including-yanbu-2026-09-15/</x:v>
      </x:c>
      <x:c r="H58" s="29" t="str">
        <x:v>Saudi Civil Defence said the immediate danger had passed in six cities including Yanbu.</x:v>
      </x:c>
      <x:c r="I58" s="29" t="str">
        <x:v>Mixed</x:v>
      </x:c>
      <x:c r="J58" s="29" t="n">
        <x:v>4</x:v>
      </x:c>
      <x:c r="K58" s="29" t="str">
        <x:v>This reduces immediate escalation risk but does not by itself confirm pipeline restoration or normalized Hormuz shipping.</x:v>
      </x:c>
    </x:row>
    <x:row r="59">
      <x:c r="A59" s="27" t="str">
        <x:v>EV-2026-054</x:v>
      </x:c>
      <x:c r="B59" s="27" t="str"/>
      <x:c r="C59" s="28" t="n">
        <x:v>46280.34236111111</x:v>
      </x:c>
      <x:c r="D59" s="27" t="str">
        <x:v>Rejected Motley Fool trigger</x:v>
      </x:c>
      <x:c r="E59" s="27" t="str">
        <x:v>The Motley Fool — Sara Appino</x:v>
      </x:c>
      <x:c r="F59" s="27" t="str">
        <x:v>Idea generator only</x:v>
      </x:c>
      <x:c r="G59" s="29" t="str">
        <x:v>https://www.fool.com/coverage/better-buy/2026/09/15/lucid-vs-rtx-which-stock-is-a-better-buy-in-2026/</x:v>
      </x:c>
      <x:c r="H59" s="29" t="str">
        <x:v>Free public editorial preferred RTX to Lucid based on backlog, profitability and defense/aerospace demand. The author disclosed no position; Motley Fool disclosed positions in and recommendations for RTX.</x:v>
      </x:c>
      <x:c r="I59" s="29" t="str">
        <x:v>Rejected</x:v>
      </x:c>
      <x:c r="J59" s="29" t="n">
        <x:v>2</x:v>
      </x:c>
      <x:c r="K59" s="29" t="str">
        <x:v>No new company-specific catalyst beyond already public results and defense-demand themes. Did not clear the distinct-thesis relevance threshold.</x:v>
      </x:c>
    </x:row>
    <x:row r="60">
      <x:c r="A60" s="27" t="str">
        <x:v>EV-2026-055</x:v>
      </x:c>
      <x:c r="B60" s="27" t="str"/>
      <x:c r="C60" s="28" t="n">
        <x:v>46280.34236111111</x:v>
      </x:c>
      <x:c r="D60" s="27" t="str">
        <x:v>Rejected Motley Fool trigger</x:v>
      </x:c>
      <x:c r="E60" s="27" t="str">
        <x:v>The Motley Fool — Erin Kennedy</x:v>
      </x:c>
      <x:c r="F60" s="27" t="str">
        <x:v>Idea generator only</x:v>
      </x:c>
      <x:c r="G60" s="29" t="str">
        <x:v>https://www.fool.com/coverage/better-buy/2026/09/15/applied-materials-vs-qualcomm-which-tech-stock-is-a-better-buy-in-2026/</x:v>
      </x:c>
      <x:c r="H60" s="29" t="str">
        <x:v>Free public comparison article evaluated AMAT and QCOM using reported financial metrics and long-running semiconductor themes.</x:v>
      </x:c>
      <x:c r="I60" s="29" t="str">
        <x:v>Rejected</x:v>
      </x:c>
      <x:c r="J60" s="29" t="n">
        <x:v>2</x:v>
      </x:c>
      <x:c r="K60" s="29" t="str">
        <x:v>No newly verified catalyst or material non-consensus change. Promotional or comparative opinion was not treated as evidence.</x:v>
      </x:c>
    </x:row>
    <x:row r="61">
      <x:c r="A61" s="27" t="str">
        <x:v>EV-2026-056</x:v>
      </x:c>
      <x:c r="B61" s="27" t="str">
        <x:v>EEI-2026-001</x:v>
      </x:c>
      <x:c r="C61" s="28" t="n">
        <x:v>46280.84722222222</x:v>
      </x:c>
      <x:c r="D61" s="27" t="str">
        <x:v>Market and physical confirmation</x:v>
      </x:c>
      <x:c r="E61" s="27" t="str">
        <x:v>Reuters</x:v>
      </x:c>
      <x:c r="F61" s="27" t="str">
        <x:v>High quality reporting</x:v>
      </x:c>
      <x:c r="G61" s="29" t="str">
        <x:v>https://www.reuters.com/business/energy/oil-prices-rise-saudi-pipeline-outage-fresh-attacks-raise-supply-concerns-2026-09-15/</x:v>
      </x:c>
      <x:c r="H61" s="29" t="str">
        <x:v>Brent settled at $108.75 and WTI at $105.83 on September 15. Loadings at Saudi Arabia's Yanbu terminal were suspended and some European cargoes were cancelled after the East-West pipeline disruption.</x:v>
      </x:c>
      <x:c r="I61" s="29" t="str">
        <x:v>Strengthens thesis; entry unchanged</x:v>
      </x:c>
      <x:c r="J61" s="29" t="n">
        <x:v>4</x:v>
      </x:c>
      <x:c r="K61" s="29" t="str">
        <x:v>The predicted mechanism is operating: constrained Gulf and bypass-route supply is raising crude prices. Libya and Russia added confirming supply pressure. A quick Saudi repair remains the most important near-term counterweight, so the Entry Window stays WAIT.</x:v>
      </x:c>
    </x:row>
    <x:row r="62">
      <x:c r="A62" s="27" t="str">
        <x:v>EV-2026-057</x:v>
      </x:c>
      <x:c r="B62" s="27" t="str">
        <x:v>EEI-2026-001</x:v>
      </x:c>
      <x:c r="C62" s="28" t="n">
        <x:v>46280.84722222222</x:v>
      </x:c>
      <x:c r="D62" s="27" t="str">
        <x:v>Paper-trade outcome</x:v>
      </x:c>
      <x:c r="E62" s="27" t="str">
        <x:v>StockAnalysis / S&amp;P Global Market Intelligence</x:v>
      </x:c>
      <x:c r="F62" s="27" t="str">
        <x:v>Market data</x:v>
      </x:c>
      <x:c r="G62" s="29" t="str">
        <x:v>https://stockanalysis.com/etf/bno/history/</x:v>
      </x:c>
      <x:c r="H62" s="29" t="str">
        <x:v>BNO closed at $63.50 on September 15 versus the $57.21 September 8 opening entry, valuing the $1,000 paper position at $1,109.95 for a $109.95 gain, or 10.99%.</x:v>
      </x:c>
      <x:c r="I62" s="29" t="str">
        <x:v>Strengthens expression</x:v>
      </x:c>
      <x:c r="J62" s="29" t="n">
        <x:v>5</x:v>
      </x:c>
      <x:c r="K62" s="29" t="str">
        <x:v>BNO remains the cleanest thesis mapping and continues to confirm the original ranking of Brent-linked exposure for a global seaborne supply shock.</x:v>
      </x:c>
    </x:row>
    <x:row r="63">
      <x:c r="A63" s="27" t="str">
        <x:v>EV-2026-058</x:v>
      </x:c>
      <x:c r="B63" s="27" t="str">
        <x:v>EEI-2026-001</x:v>
      </x:c>
      <x:c r="C63" s="28" t="n">
        <x:v>46280.84722222222</x:v>
      </x:c>
      <x:c r="D63" s="27" t="str">
        <x:v>Paper-trade outcome</x:v>
      </x:c>
      <x:c r="E63" s="27" t="str">
        <x:v>StockAnalysis / S&amp;P Global Market Intelligence</x:v>
      </x:c>
      <x:c r="F63" s="27" t="str">
        <x:v>Market data</x:v>
      </x:c>
      <x:c r="G63" s="29" t="str">
        <x:v>https://stockanalysis.com/etf/uso/history/</x:v>
      </x:c>
      <x:c r="H63" s="29" t="str">
        <x:v>USO closed at $161.73 on September 15 versus the $144.60 September 8 opening entry, valuing the $1,000 paper position at $1,118.46 for a $118.46 gain, or 11.85%.</x:v>
      </x:c>
      <x:c r="I63" s="29" t="str">
        <x:v>Strengthens expression</x:v>
      </x:c>
      <x:c r="J63" s="29" t="n">
        <x:v>5</x:v>
      </x:c>
      <x:c r="K63" s="29" t="str">
        <x:v>USO is the best-performing paper position at this close; WTI-linked exposure is tracking the predicted crude-price direction at least as strongly as BNO over this short test.</x:v>
      </x:c>
    </x:row>
    <x:row r="64">
      <x:c r="A64" s="27" t="str">
        <x:v>EV-2026-059</x:v>
      </x:c>
      <x:c r="B64" s="27" t="str">
        <x:v>EEI-2026-001</x:v>
      </x:c>
      <x:c r="C64" s="28" t="n">
        <x:v>46280.84722222222</x:v>
      </x:c>
      <x:c r="D64" s="27" t="str">
        <x:v>Paper-trade outcome</x:v>
      </x:c>
      <x:c r="E64" s="27" t="str">
        <x:v>StockAnalysis / S&amp;P Global Market Intelligence</x:v>
      </x:c>
      <x:c r="F64" s="27" t="str">
        <x:v>Market data</x:v>
      </x:c>
      <x:c r="G64" s="29" t="str">
        <x:v>https://stockanalysis.com/etf/xop/history/</x:v>
      </x:c>
      <x:c r="H64" s="29" t="str">
        <x:v>XOP closed at $199.70 on September 15 versus the $193.84 September 8 opening entry, valuing the $1,000 paper position at $1,030.23 for a $30.23 gain, or 3.02%.</x:v>
      </x:c>
      <x:c r="I64" s="29" t="str">
        <x:v>Mixed expression</x:v>
      </x:c>
      <x:c r="J64" s="29" t="n">
        <x:v>5</x:v>
      </x:c>
      <x:c r="K64" s="29" t="str">
        <x:v>Producer equities recovered and now confirm the direction, but XOP still materially trails the direct crude funds. The gap isolates expression risk rather than invalidating the supply thesis.</x:v>
      </x:c>
    </x:row>
    <x:row r="65">
      <x:c r="A65" s="27" t="str">
        <x:v>EV-2026-060</x:v>
      </x:c>
      <x:c r="B65" s="27" t="str">
        <x:v>EEI-2026-003</x:v>
      </x:c>
      <x:c r="C65" s="28" t="n">
        <x:v>46280.654594907406</x:v>
      </x:c>
      <x:c r="D65" s="27" t="str">
        <x:v>Contradictory</x:v>
      </x:c>
      <x:c r="E65" s="27" t="str">
        <x:v>Reuters</x:v>
      </x:c>
      <x:c r="F65" s="27" t="str">
        <x:v>High quality reporting</x:v>
      </x:c>
      <x:c r="G65" s="29" t="str">
        <x:v>https://www.reuters.com/business/wells-fargo-trims-sp-500-indexs-year-end-target-7700-2026-09-15/</x:v>
      </x:c>
      <x:c r="H65" s="29" t="str">
        <x:v>Wells Fargo reduced its S&amp;P 500 year-end target to 7,700 from 7,950, citing limited further catalysts and rising political and sector-specific risks.</x:v>
      </x:c>
      <x:c r="I65" s="29" t="str">
        <x:v>Modestly weakens equity backdrop</x:v>
      </x:c>
      <x:c r="J65" s="29" t="n">
        <x:v>3</x:v>
      </x:c>
      <x:c r="K65" s="29" t="str">
        <x:v>This is an analyst opinion and therefore an enhancer or contradiction, not primary proof. It does not override supportive earnings evidence or determine the thesis stage by itself.</x:v>
      </x:c>
    </x:row>
    <x:row r="66">
      <x:c r="A66" s="27" t="str">
        <x:v>EV-2026-061</x:v>
      </x:c>
      <x:c r="B66" s="27" t="str">
        <x:v>EEI-2026-009</x:v>
      </x:c>
      <x:c r="C66" s="28" t="n">
        <x:v>46281.32777777778</x:v>
      </x:c>
      <x:c r="D66" s="27" t="str">
        <x:v>Trigger and market confirmation</x:v>
      </x:c>
      <x:c r="E66" s="27" t="str">
        <x:v>Reuters / LSEG</x:v>
      </x:c>
      <x:c r="F66" s="27" t="str">
        <x:v>High quality reporting and market data</x:v>
      </x:c>
      <x:c r="G66" s="29" t="str">
        <x:v>https://www.reuters.com/business/energy/asia-diesel-refining-margins-record-high-more-than-87-barrel-data-shows-2026-09-16/</x:v>
      </x:c>
      <x:c r="H66" s="29" t="str">
        <x:v>Asian 10ppm diesel refining margins rose above $87 per barrel, an all-time high, while the front-month time spread exceeded $11 and spot cargo availability remained limited.</x:v>
      </x:c>
      <x:c r="I66" s="29" t="str">
        <x:v>Strengthens</x:v>
      </x:c>
      <x:c r="J66" s="29" t="n">
        <x:v>4</x:v>
      </x:c>
      <x:c r="K66" s="29" t="str">
        <x:v>Creates a distinct refined-products thesis rather than merely repeating the crude thesis. Record levels also weaken the Entry Window.</x:v>
      </x:c>
    </x:row>
    <x:row r="67">
      <x:c r="A67" s="27" t="str">
        <x:v>EV-2026-062</x:v>
      </x:c>
      <x:c r="B67" s="27" t="str">
        <x:v>EEI-2026-009</x:v>
      </x:c>
      <x:c r="C67" s="28" t="n">
        <x:v>46281.32777777778</x:v>
      </x:c>
      <x:c r="D67" s="27" t="str">
        <x:v>Supporting and fundamental confirmation</x:v>
      </x:c>
      <x:c r="E67" s="27" t="str">
        <x:v>Reuters</x:v>
      </x:c>
      <x:c r="F67" s="27" t="str">
        <x:v>High quality reporting</x:v>
      </x:c>
      <x:c r="G67" s="29" t="str">
        <x:v>https://www.reuters.com/business/energy/dangote-profits-europe-fuel-crunch-ipo-tests-investor-appetite-2026-09-15/</x:v>
      </x:c>
      <x:c r="H67" s="29" t="str">
        <x:v>Reuters reported that Middle East disruption cut European diesel and jet-fuel supply by roughly one quarter, left inventories at a 12-year low and helped Dangote post $1.82 billion of first-half profit on more than $13 billion of revenue.</x:v>
      </x:c>
      <x:c r="I67" s="29" t="str">
        <x:v>Strengthens</x:v>
      </x:c>
      <x:c r="J67" s="29" t="n">
        <x:v>4</x:v>
      </x:c>
      <x:c r="K67" s="29" t="str">
        <x:v>Confirms both physical scarcity and the causal path from wider cracks to refinery earnings. Dangote is not yet publicly traded.</x:v>
      </x:c>
    </x:row>
    <x:row r="68">
      <x:c r="A68" s="27" t="str">
        <x:v>EV-2026-063</x:v>
      </x:c>
      <x:c r="B68" s="27" t="str">
        <x:v>EEI-2026-001</x:v>
      </x:c>
      <x:c r="C68" s="28" t="n">
        <x:v>46281.32777777778</x:v>
      </x:c>
      <x:c r="D68" s="27" t="str">
        <x:v>Contradictory and modifier</x:v>
      </x:c>
      <x:c r="E68" s="27" t="str">
        <x:v>Reuters</x:v>
      </x:c>
      <x:c r="F68" s="27" t="str">
        <x:v>High quality reporting</x:v>
      </x:c>
      <x:c r="G68" s="29" t="str">
        <x:v>https://www.reuters.com/business/energy/oil-falls-us-crude-inventories-rise-despite-saudi-supply-concerns-2026-09-16/</x:v>
      </x:c>
      <x:c r="H68" s="29" t="str">
        <x:v>Saudi Arabia began offering more crude via Oman's Sohar port while API data showed a 7.1 million-barrel U.S. crude inventory build. Oil prices eased as the market weighed rerouting against continuing disruption.</x:v>
      </x:c>
      <x:c r="I68" s="29" t="str">
        <x:v>Weakens near-term edge</x:v>
      </x:c>
      <x:c r="J68" s="29" t="n">
        <x:v>4</x:v>
      </x:c>
      <x:c r="K68" s="29" t="str">
        <x:v>The bypass is evidence that adaptation is working. It does not yet prove normal Gulf flows, so status and Entry Window remain unchanged.</x:v>
      </x:c>
    </x:row>
    <x:row r="69">
      <x:c r="A69" s="27" t="str">
        <x:v>EV-2026-064</x:v>
      </x:c>
      <x:c r="B69" s="27" t="str">
        <x:v>EEI-2026-001</x:v>
      </x:c>
      <x:c r="C69" s="28" t="n">
        <x:v>46281.32777777778</x:v>
      </x:c>
      <x:c r="D69" s="27" t="str">
        <x:v>Contradictory and modifier</x:v>
      </x:c>
      <x:c r="E69" s="27" t="str">
        <x:v>Reuters via Investing.com</x:v>
      </x:c>
      <x:c r="F69" s="27" t="str">
        <x:v>High quality reporting</x:v>
      </x:c>
      <x:c r="G69" s="29" t="str">
        <x:v>https://www.investing.com/news/commodities-news/us-energy-chief-says-saudi-arabia-oil-pipeline-should-be-back-online-within-days-4902318</x:v>
      </x:c>
      <x:c r="H69" s="29" t="str">
        <x:v>U.S. Energy Secretary Chris Wright said Saudi Arabia's East-West pipeline should return to service within days.</x:v>
      </x:c>
      <x:c r="I69" s="29" t="str">
        <x:v>Weakens near-term edge</x:v>
      </x:c>
      <x:c r="J69" s="29" t="n">
        <x:v>3</x:v>
      </x:c>
      <x:c r="K69" s="29" t="str">
        <x:v>This is an official's expectation rather than Saudi operator confirmation. Verified restoration would be a stronger contradiction and could materially change the thesis.</x:v>
      </x:c>
    </x:row>
    <x:row r="70">
      <x:c r="A70" s="27" t="str">
        <x:v>EV-2026-065</x:v>
      </x:c>
      <x:c r="B70" s="27"/>
      <x:c r="C70" s="28" t="n">
        <x:v>46281.32777777778</x:v>
      </x:c>
      <x:c r="D70" s="27" t="str">
        <x:v>Rejected Motley Fool trigger</x:v>
      </x:c>
      <x:c r="E70" s="27" t="str">
        <x:v>The Motley Fool — Adam Levy</x:v>
      </x:c>
      <x:c r="F70" s="27" t="str">
        <x:v>Idea generator only</x:v>
      </x:c>
      <x:c r="G70" s="29" t="str">
        <x:v>https://www.fool.com/investing/2026/09/16/what-anthropic-ipo-means-amazon-alphabet/</x:v>
      </x:c>
      <x:c r="H70" s="29" t="str">
        <x:v>A free public article framed Anthropic's prospective IPO as a catalyst for Amazon and Alphabet because of their investments and cloud relationships.</x:v>
      </x:c>
      <x:c r="I70" s="29" t="str">
        <x:v>Rejected</x:v>
      </x:c>
      <x:c r="J70" s="29" t="n">
        <x:v>2</x:v>
      </x:c>
      <x:c r="K70" s="29" t="str">
        <x:v>Anthropic's confidential S-1 was announced on June 1 and its cloud relationships were already public. The article added no new verified catalyst or material change for AMZN or GOOG, so no distinct thesis was created.</x:v>
      </x:c>
    </x:row>
    <x:row r="71">
      <x:c r="A71" s="27" t="str">
        <x:v>EV-2026-066</x:v>
      </x:c>
      <x:c r="B71" s="27"/>
      <x:c r="C71" s="28" t="n">
        <x:v>46281.32777777778</x:v>
      </x:c>
      <x:c r="D71" s="27" t="str">
        <x:v>Rejected Motley Fool trigger</x:v>
      </x:c>
      <x:c r="E71" s="27" t="str">
        <x:v>The Motley Fool — John Bromels</x:v>
      </x:c>
      <x:c r="F71" s="27" t="str">
        <x:v>Idea generator only</x:v>
      </x:c>
      <x:c r="G71" s="29" t="str">
        <x:v>https://www.fool.com/investing/2026/09/16/is-it-too-late-to-buy-nvidia-stock/</x:v>
      </x:c>
      <x:c r="H71" s="29" t="str">
        <x:v>A free public article revisited Nvidia's growth and valuation case without identifying a discrete new primary-source catalyst.</x:v>
      </x:c>
      <x:c r="I71" s="29" t="str">
        <x:v>Rejected</x:v>
      </x:c>
      <x:c r="J71" s="29" t="n">
        <x:v>2</x:v>
      </x:c>
      <x:c r="K71" s="29" t="str">
        <x:v>Did not clear the relevance threshold. Existing AI-demand and valuation facts do not create a distinct new thesis without new material evidence.</x:v>
      </x:c>
    </x:row>
    <x:row r="72">
      <x:c r="A72" s="27" t="str">
        <x:v>EV-2026-067</x:v>
      </x:c>
      <x:c r="B72" s="27" t="str">
        <x:v>EEI-2026-003</x:v>
      </x:c>
      <x:c r="C72" s="28" t="n">
        <x:v>46281.65054398148</x:v>
      </x:c>
      <x:c r="D72" s="27" t="str">
        <x:v>Market confirmation</x:v>
      </x:c>
      <x:c r="E72" s="27" t="str">
        <x:v>Reuters and delayed market price data</x:v>
      </x:c>
      <x:c r="F72" s="27" t="str">
        <x:v>High quality reporting and market data</x:v>
      </x:c>
      <x:c r="G72" s="29" t="str">
        <x:v>https://www.reuters.com/business/wall-st-futures-edge-higher-countdown-fed-decision-2026-09-16/</x:v>
      </x:c>
      <x:c r="H72" s="29" t="str">
        <x:v>At about 11:24 a.m. ET, SPY was up 0.41%, RSP 0.13%, IWM 0.43%, XLI 0.76%, XLB 0.61%, XLV 0.38%, XBI 0.55% and CPER 0.98%; XLF was down 0.56%. Reuters reported positive NYSE and Nasdaq breadth.</x:v>
      </x:c>
      <x:c r="I72" s="29" t="str">
        <x:v>Partial confirmation</x:v>
      </x:c>
      <x:c r="J72" s="29" t="n">
        <x:v>4</x:v>
      </x:c>
      <x:c r="K72" s="29" t="str">
        <x:v>The cross-asset pattern improved materially from Tuesday, but RSP still lagged SPY and financials declined. Intraday data and the pending Fed decision prevent treating one session as sustained broadening.</x:v>
      </x:c>
    </x:row>
    <x:row r="73">
      <x:c r="A73" s="27" t="str">
        <x:v>EV-2026-068</x:v>
      </x:c>
      <x:c r="B73" s="27" t="str">
        <x:v>EEI-2026-003</x:v>
      </x:c>
      <x:c r="C73" s="28" t="n">
        <x:v>46281.65054398148</x:v>
      </x:c>
      <x:c r="D73" s="27" t="str">
        <x:v>Contradictory and modifier</x:v>
      </x:c>
      <x:c r="E73" s="27" t="str">
        <x:v>Reuters / Commerce Department / BLS</x:v>
      </x:c>
      <x:c r="F73" s="27" t="str">
        <x:v>High quality reporting and government data</x:v>
      </x:c>
      <x:c r="G73" s="29" t="str">
        <x:v>https://www.reuters.com/business/retail-consumer/us-retail-sales-rebound-sharply-august-2026-09-16/</x:v>
      </x:c>
      <x:c r="H73" s="29" t="str">
        <x:v>August retail sales rose 1.2% and core retail sales 1.4%, confirming resilient demand, while import prices rose 0.7% month over month and 7.0% year over year.</x:v>
      </x:c>
      <x:c r="I73" s="29" t="str">
        <x:v>Mixed; supports earnings but sustains rate risk</x:v>
      </x:c>
      <x:c r="J73" s="29" t="n">
        <x:v>4</x:v>
      </x:c>
      <x:c r="K73" s="29" t="str">
        <x:v>Demand resilience supports corporate revenue, but import inflation and the associated tightening risk remain adverse for small-cap financing, financial conditions and equity multiples.</x:v>
      </x:c>
    </x:row>
    <x:row r="74">
      <x:c r="A74" s="27" t="str">
        <x:v>EV-2026-069</x:v>
      </x:c>
      <x:c r="B74" s="27" t="str">
        <x:v>EEI-2026-003</x:v>
      </x:c>
      <x:c r="C74" s="28" t="n">
        <x:v>46281.65054398148</x:v>
      </x:c>
      <x:c r="D74" s="27" t="str">
        <x:v>Modifier</x:v>
      </x:c>
      <x:c r="E74" s="27" t="str">
        <x:v>Reuters</x:v>
      </x:c>
      <x:c r="F74" s="27" t="str">
        <x:v>High quality reporting</x:v>
      </x:c>
      <x:c r="G74" s="29" t="str">
        <x:v>https://www.reuters.com/business/energy/oil-falls-us-crude-inventories-rise-despite-saudi-supply-concerns-2026-09-16/</x:v>
      </x:c>
      <x:c r="H74" s="29" t="str">
        <x:v>Brent fell about 1.2% to $107.45 as Saudi Arabia offered more crude via Oman and U.S. crude inventories rose, modestly easing the immediate energy-inflation pressure.</x:v>
      </x:c>
      <x:c r="I74" s="29" t="str">
        <x:v>Modestly strengthens timing</x:v>
      </x:c>
      <x:c r="J74" s="29" t="n">
        <x:v>4</x:v>
      </x:c>
      <x:c r="K74" s="29" t="str">
        <x:v>Oil remains above $100 and diesel markets remain tight, so this is relief from the adverse modifier rather than confirmation that the macro risk has cleared.</x:v>
      </x:c>
    </x:row>
    <x:row r="75">
      <x:c r="A75" s="27" t="str">
        <x:v>EV-2026-070</x:v>
      </x:c>
      <x:c r="B75" s="27" t="str">
        <x:v>EEI-2026-003</x:v>
      </x:c>
      <x:c r="C75" s="28" t="n">
        <x:v>46281.65054398148</x:v>
      </x:c>
      <x:c r="D75" s="27" t="str">
        <x:v>Neutral political outlook</x:v>
      </x:c>
      <x:c r="E75" s="27" t="str">
        <x:v>Cook Political Report</x:v>
      </x:c>
      <x:c r="F75" s="27" t="str">
        <x:v>Nonpartisan election analysis</x:v>
      </x:c>
      <x:c r="G75" s="29" t="str">
        <x:v>https://www.cookpolitical.com/</x:v>
      </x:c>
      <x:c r="H75" s="29" t="str">
        <x:v>Cook Political Report published a revised assessment of the New Hampshire Senate race on September 15 while its current House and Senate ratings continued to identify multiple competitive contests.</x:v>
      </x:c>
      <x:c r="I75" s="29" t="str">
        <x:v>Confirms outlook remains unsettled</x:v>
      </x:c>
      <x:c r="J75" s="29"/>
      <x:c r="K75" s="29" t="str">
        <x:v>A change in one race assessment does not establish control of either chamber or a specific investable policy outcome. No election-result prediction is made.</x:v>
      </x:c>
    </x:row>
    <x:row r="76">
      <x:c r="A76" s="27" t="str">
        <x:v>EV-2026-071</x:v>
      </x:c>
      <x:c r="B76" s="27" t="str">
        <x:v>EEI-2026-001</x:v>
      </x:c>
      <x:c r="C76" s="52" t="n">
        <x:v>46281.833333333336</x:v>
      </x:c>
      <x:c r="D76" s="27" t="str">
        <x:v>Market confirmation</x:v>
      </x:c>
      <x:c r="E76" s="27" t="str">
        <x:v>StockAnalysis</x:v>
      </x:c>
      <x:c r="F76" s="27" t="str">
        <x:v>Market data</x:v>
      </x:c>
      <x:c r="G76" s="29" t="str">
        <x:v>https://stockanalysis.com/etf/bno/history/</x:v>
      </x:c>
      <x:c r="H76" s="29" t="str">
        <x:v>BNO closed September 16 at $61.71, down 2.91% for the session but still 7.87% above the September 8 paper entry; the $1,000 position was worth $1,078.66.</x:v>
      </x:c>
      <x:c r="I76" s="29" t="str">
        <x:v>Mixed; direct crude expression remains profitable</x:v>
      </x:c>
      <x:c r="J76" s="29" t="n">
        <x:v>4</x:v>
      </x:c>
      <x:c r="K76" s="29" t="str">
        <x:v>The one-day pullback reduced the paper gain but did not erase the positive result. Entry Window remains WAIT because the paper entry followed a large headline move.</x:v>
      </x:c>
    </x:row>
    <x:row r="77">
      <x:c r="A77" s="27" t="str">
        <x:v>EV-2026-072</x:v>
      </x:c>
      <x:c r="B77" s="27" t="str">
        <x:v>EEI-2026-001</x:v>
      </x:c>
      <x:c r="C77" s="52" t="n">
        <x:v>46281.833333333336</x:v>
      </x:c>
      <x:c r="D77" s="27" t="str">
        <x:v>Market confirmation</x:v>
      </x:c>
      <x:c r="E77" s="27" t="str">
        <x:v>StockAnalysis</x:v>
      </x:c>
      <x:c r="F77" s="27" t="str">
        <x:v>Market data</x:v>
      </x:c>
      <x:c r="G77" s="29" t="str">
        <x:v>https://stockanalysis.com/etf/uso/history/</x:v>
      </x:c>
      <x:c r="H77" s="29" t="str">
        <x:v>USO closed September 16 at $156.17, down 3.52% for the session but still 8.00% above the September 8 paper entry; the $1,000 position was worth $1,080.01.</x:v>
      </x:c>
      <x:c r="I77" s="29" t="str">
        <x:v>Mixed; direct crude expression remains profitable</x:v>
      </x:c>
      <x:c r="J77" s="29" t="n">
        <x:v>4</x:v>
      </x:c>
      <x:c r="K77" s="29" t="str">
        <x:v>USO remained the best paper position by a narrow margin, supporting the predicted crude-price direction despite the sharp daily reversal.</x:v>
      </x:c>
    </x:row>
    <x:row r="78">
      <x:c r="A78" s="27" t="str">
        <x:v>EV-2026-073</x:v>
      </x:c>
      <x:c r="B78" s="27" t="str">
        <x:v>EEI-2026-001</x:v>
      </x:c>
      <x:c r="C78" s="52" t="n">
        <x:v>46281.833333333336</x:v>
      </x:c>
      <x:c r="D78" s="27" t="str">
        <x:v>Market confirmation</x:v>
      </x:c>
      <x:c r="E78" s="27" t="str">
        <x:v>StockAnalysis</x:v>
      </x:c>
      <x:c r="F78" s="27" t="str">
        <x:v>Market data</x:v>
      </x:c>
      <x:c r="G78" s="29" t="str">
        <x:v>https://stockanalysis.com/etf/xop/history/</x:v>
      </x:c>
      <x:c r="H78" s="29" t="str">
        <x:v>XOP closed September 16 at $191.80, down 3.96% for the session and 1.05% below the September 8 paper entry; the $1,000 position was worth $989.48.</x:v>
      </x:c>
      <x:c r="I78" s="29" t="str">
        <x:v>Weakens indirect equity expression</x:v>
      </x:c>
      <x:c r="J78" s="29" t="n">
        <x:v>4</x:v>
      </x:c>
      <x:c r="K78" s="29" t="str">
        <x:v>XOP's loss while BNO and USO remain positive strengthens the methodology lesson that the cleanest direct expression tracked the predicted variable better.</x:v>
      </x:c>
    </x:row>
    <x:row r="79">
      <x:c r="A79" s="27" t="str">
        <x:v>EV-2026-074</x:v>
      </x:c>
      <x:c r="B79" s="27" t="str">
        <x:v>EEI-2026-001</x:v>
      </x:c>
      <x:c r="C79" s="52" t="n">
        <x:v>46281.833333333336</x:v>
      </x:c>
      <x:c r="D79" s="27" t="str">
        <x:v>Market confirmation and modifier</x:v>
      </x:c>
      <x:c r="E79" s="27" t="str">
        <x:v>Reuters / EIA</x:v>
      </x:c>
      <x:c r="F79" s="27" t="str">
        <x:v>High quality reporting and primary government data</x:v>
      </x:c>
      <x:c r="G79" s="29" t="str">
        <x:v>https://www.reuters.com/business/energy/oil-falls-us-crude-inventories-rise-despite-saudi-supply-concerns-2026-09-16/</x:v>
      </x:c>
      <x:c r="H79" s="29" t="str">
        <x:v>Brent settled at $105.83 and WTI at $102.43, both lower on the day as Saudi Arabia offered more crude through Oman and U.S. crude stocks fell only 640,000 barrels versus a 1.62 million-barrel expectation. Visible Hormuz passage was four vessels on September 15 versus a 10-day average of 18.</x:v>
      </x:c>
      <x:c r="I79" s="29" t="str">
        <x:v>Mixed; physical disruption persists but adaptation weakens near-term edge</x:v>
      </x:c>
      <x:c r="J79" s="29" t="n">
        <x:v>5</x:v>
      </x:c>
      <x:c r="K79" s="29" t="str">
        <x:v>This final report supersedes the preliminary API inventory-build signal logged earlier. Official EIA data showed a draw, but it was smaller than expected. Very low Hormuz traffic still confirms disruption; rerouting and inventories explain the day's reversal.</x:v>
      </x:c>
    </x:row>
    <x:row r="80">
      <x:c r="A80" s="27" t="str">
        <x:v>EV-2026-075</x:v>
      </x:c>
      <x:c r="B80" s="27" t="str">
        <x:v>EEI-2026-009</x:v>
      </x:c>
      <x:c r="C80" s="28" t="n">
        <x:v>46282.325</x:v>
      </x:c>
      <x:c r="D80" s="27" t="str">
        <x:v>Supporting and market confirmation</x:v>
      </x:c>
      <x:c r="E80" s="27" t="str">
        <x:v>Reuters</x:v>
      </x:c>
      <x:c r="F80" s="27" t="str">
        <x:v>High quality reporting and market data</x:v>
      </x:c>
      <x:c r="G80" s="29" t="str">
        <x:v>https://www.reuters.com/business/energy/oil-prices-extend-losses-fears-middle-east-supply-disruptions-ease-2026-09-17/</x:v>
      </x:c>
      <x:c r="H80" s="29" t="str">
        <x:v>European gasoil and U.S. ULSD futures reached records even as Brent and WTI eased on Saudi rerouting and expected pipeline repair.</x:v>
      </x:c>
      <x:c r="I80" s="29" t="str">
        <x:v>Strengthens product-specific thesis; contradicts crude scarcity edge</x:v>
      </x:c>
      <x:c r="J80" s="29" t="n">
        <x:v>5</x:v>
      </x:c>
      <x:c r="K80" s="29" t="str">
        <x:v>Distinguishes refined-product scarcity from the broader crude thesis and supplies the market confirmation needed for Actionable status.</x:v>
      </x:c>
    </x:row>
    <x:row r="81">
      <x:c r="A81" s="27" t="str">
        <x:v>EV-2026-076</x:v>
      </x:c>
      <x:c r="B81" s="27" t="str">
        <x:v>EEI-2026-009</x:v>
      </x:c>
      <x:c r="C81" s="28" t="n">
        <x:v>46282.325</x:v>
      </x:c>
      <x:c r="D81" s="27" t="str">
        <x:v>Physical confirmation</x:v>
      </x:c>
      <x:c r="E81" s="27" t="str">
        <x:v>Reuters</x:v>
      </x:c>
      <x:c r="F81" s="27" t="str">
        <x:v>High quality reporting and vessel data</x:v>
      </x:c>
      <x:c r="G81" s="29" t="str">
        <x:v>https://www.reuters.com/world/middle-east/number-ships-transiting-strait-hormuz-falls-three-wednesday-data-shows-2026-09-17/</x:v>
      </x:c>
      <x:c r="H81" s="29" t="str">
        <x:v>Only three commercial ships transited Hormuz on September 16, versus 12 the prior day and a 10-day average of 17.</x:v>
      </x:c>
      <x:c r="I81" s="29" t="str">
        <x:v>Strengthens</x:v>
      </x:c>
      <x:c r="J81" s="29" t="n">
        <x:v>5</x:v>
      </x:c>
      <x:c r="K81" s="29" t="str">
        <x:v>Confirms that logistics disruption remains severe despite crude-price relief from rerouting.</x:v>
      </x:c>
    </x:row>
    <x:row r="82">
      <x:c r="A82" s="27" t="str">
        <x:v>EV-2026-077</x:v>
      </x:c>
      <x:c r="B82" s="27" t="str">
        <x:v>EEI-2026-009</x:v>
      </x:c>
      <x:c r="C82" s="28" t="n">
        <x:v>46282.325</x:v>
      </x:c>
      <x:c r="D82" s="27" t="str">
        <x:v>Supply-chain confirmation</x:v>
      </x:c>
      <x:c r="E82" s="27" t="str">
        <x:v>Reuters</x:v>
      </x:c>
      <x:c r="F82" s="27" t="str">
        <x:v>High quality reporting</x:v>
      </x:c>
      <x:c r="G82" s="29" t="str">
        <x:v>https://www.reuters.com/business/energy/russias-syzran-saratov-oil-refineries-hold-after-drone-attacks-sources-say-2026-09-16/</x:v>
      </x:c>
      <x:c r="H82" s="29" t="str">
        <x:v>Russia's Syzran and Saratov refineries were halted after drone attacks; Syzran repairs were expected to take at least a month.</x:v>
      </x:c>
      <x:c r="I82" s="29" t="str">
        <x:v>Strengthens</x:v>
      </x:c>
      <x:c r="J82" s="29" t="n">
        <x:v>4</x:v>
      </x:c>
      <x:c r="K82" s="29" t="str">
        <x:v>An independent refining outage compounds the Middle East product shortage and supports the global rather than single-region classification.</x:v>
      </x:c>
    </x:row>
    <x:row r="83">
      <x:c r="A83" s="27" t="str">
        <x:v>EV-2026-078</x:v>
      </x:c>
      <x:c r="B83" s="27" t="str">
        <x:v>EEI-2026-009</x:v>
      </x:c>
      <x:c r="C83" s="28" t="n">
        <x:v>46282.325</x:v>
      </x:c>
      <x:c r="D83" s="27" t="str">
        <x:v>Regional supply confirmation</x:v>
      </x:c>
      <x:c r="E83" s="27" t="str">
        <x:v>Reuters</x:v>
      </x:c>
      <x:c r="F83" s="27" t="str">
        <x:v>High quality reporting</x:v>
      </x:c>
      <x:c r="G83" s="29" t="str">
        <x:v>https://www.reuters.com/business/energy/ghanas-bost-cuts-fuel-exports-burkina-faso-mali-protect-local-supply-2026-09-16/</x:v>
      </x:c>
      <x:c r="H83" s="29" t="str">
        <x:v>Ghana's BOST reduced diesel and gasoline exports to Burkina Faso and Mali to protect domestic supply during global shortages.</x:v>
      </x:c>
      <x:c r="I83" s="29" t="str">
        <x:v>Strengthens</x:v>
      </x:c>
      <x:c r="J83" s="29" t="n">
        <x:v>4</x:v>
      </x:c>
      <x:c r="K83" s="29" t="str">
        <x:v>Observable export rationing is downstream evidence that scarcity is reaching additional regions.</x:v>
      </x:c>
    </x:row>
    <x:row r="84">
      <x:c r="A84" s="27" t="str">
        <x:v>EV-2026-079</x:v>
      </x:c>
      <x:c r="B84" s="27" t="str">
        <x:v>EEI-2026-009</x:v>
      </x:c>
      <x:c r="C84" s="28" t="n">
        <x:v>46282.325</x:v>
      </x:c>
      <x:c r="D84" s="27" t="str">
        <x:v>Contradictory policy modifier</x:v>
      </x:c>
      <x:c r="E84" s="27" t="str">
        <x:v>Reuters</x:v>
      </x:c>
      <x:c r="F84" s="27" t="str">
        <x:v>High quality reporting</x:v>
      </x:c>
      <x:c r="G84" s="29" t="str">
        <x:v>https://www.reuters.com/business/energy/petrobras-raises-diesel-price-offsets-increase-with-new-brazil-subsidy-2026-09-17/</x:v>
      </x:c>
      <x:c r="H84" s="29" t="str">
        <x:v>Petrobras raised its diesel distributor price, but Brazil introduced a subsidy that offsets the increase for consumers.</x:v>
      </x:c>
      <x:c r="I84" s="29" t="str">
        <x:v>Caps transmission and edge</x:v>
      </x:c>
      <x:c r="J84" s="29" t="n">
        <x:v>4</x:v>
      </x:c>
      <x:c r="K84" s="29" t="str">
        <x:v>Shows active government intervention that can suppress end-user price transmission, alter demand and weaken clean investable expressions.</x:v>
      </x:c>
    </x:row>
    <x:row r="85">
      <x:c r="A85" s="27" t="str">
        <x:v>EV-2026-080</x:v>
      </x:c>
      <x:c r="B85" s="27" t="str">
        <x:v>EEI-2026-004</x:v>
      </x:c>
      <x:c r="C85" s="28" t="n">
        <x:v>46282.325</x:v>
      </x:c>
      <x:c r="D85" s="27" t="str">
        <x:v>Primary policy confirmation</x:v>
      </x:c>
      <x:c r="E85" s="27" t="str">
        <x:v>Federal Reserve</x:v>
      </x:c>
      <x:c r="F85" s="27" t="str">
        <x:v>Primary official source</x:v>
      </x:c>
      <x:c r="G85" s="29" t="str">
        <x:v>https://www.federalreserve.gov/newsevents/pressreleases/monetary20260916a.htm</x:v>
      </x:c>
      <x:c r="H85" s="29" t="str">
        <x:v>The FOMC raised the federal-funds target range 25 basis points to 3.75%-4.00% on September 16 by a unanimous 12-0 vote and said inflation remains elevated.</x:v>
      </x:c>
      <x:c r="I85" s="29" t="str">
        <x:v>Strengthens economic variable and direction</x:v>
      </x:c>
      <x:c r="J85" s="29" t="n">
        <x:v>5</x:v>
      </x:c>
      <x:c r="K85" s="29" t="str">
        <x:v>Primary confirmation of the predicted policy move. Outcome questions remain blank until the ledger's September 18 evaluation date.</x:v>
      </x:c>
    </x:row>
    <x:row r="86">
      <x:c r="A86" s="27" t="str">
        <x:v>EV-2026-081</x:v>
      </x:c>
      <x:c r="B86" s="27" t="str">
        <x:v>EEI-2026-004</x:v>
      </x:c>
      <x:c r="C86" s="28" t="n">
        <x:v>46282.325</x:v>
      </x:c>
      <x:c r="D86" s="27" t="str">
        <x:v>Market confirmation and contradiction</x:v>
      </x:c>
      <x:c r="E86" s="27" t="str">
        <x:v>Reuters</x:v>
      </x:c>
      <x:c r="F86" s="27" t="str">
        <x:v>High quality reporting and market data</x:v>
      </x:c>
      <x:c r="G86" s="29" t="str">
        <x:v>https://www.reuters.com/commentary/reuters-open-interest/global-markets-view-usa-2026-09-17/</x:v>
      </x:c>
      <x:c r="H86" s="29" t="str">
        <x:v>Short-term Treasury yields rose after the Fed decision, while long-term yields eased and equity futures advanced.</x:v>
      </x:c>
      <x:c r="I86" s="29" t="str">
        <x:v>Mixed; weakens expression and edge</x:v>
      </x:c>
      <x:c r="J86" s="29" t="n">
        <x:v>5</x:v>
      </x:c>
      <x:c r="K86" s="29" t="str">
        <x:v>Policy direction was confirmed, but the TBF/long-yield expression did not respond as predicted. Trading edge reduced to 1/5.</x:v>
      </x:c>
    </x:row>
    <x:row r="87">
      <x:c r="A87" s="27" t="str">
        <x:v>EV-2026-082</x:v>
      </x:c>
      <x:c r="B87" s="27" t="str"/>
      <x:c r="C87" s="28" t="n">
        <x:v>46282.325</x:v>
      </x:c>
      <x:c r="D87" s="27" t="str">
        <x:v>Rejected Motley Fool trigger</x:v>
      </x:c>
      <x:c r="E87" s="27" t="str">
        <x:v>The Motley Fool — Harsh Chauhan</x:v>
      </x:c>
      <x:c r="F87" s="27" t="str">
        <x:v>Idea generator only</x:v>
      </x:c>
      <x:c r="G87" s="29" t="str">
        <x:v>https://www.fool.com/investing/2026/09/17/1-ai-stock-poised-to-outperform-micron-and-sandisk/</x:v>
      </x:c>
      <x:c r="H87" s="29" t="str">
        <x:v>Free editorial on TSMC cited AI accelerator demand, August revenue growth and valuation. The author disclosed no position; Motley Fool disclosed a recommendation/position. No discrete new primary-source catalyst was presented.</x:v>
      </x:c>
      <x:c r="I87" s="29" t="str">
        <x:v>Rejected</x:v>
      </x:c>
      <x:c r="J87" s="29" t="n">
        <x:v>2</x:v>
      </x:c>
      <x:c r="K87" s="29" t="str">
        <x:v>Ticker TSM; claimed variable AI foundry revenue and earnings over years. Already-strong price performance and recycled public facts make the idea insufficiently distinct; no thesis created.</x:v>
      </x:c>
    </x:row>
    <x:row r="88">
      <x:c r="A88" s="27" t="str">
        <x:v>EV-2026-083</x:v>
      </x:c>
      <x:c r="B88" s="27" t="str"/>
      <x:c r="C88" s="28" t="n">
        <x:v>46282.325</x:v>
      </x:c>
      <x:c r="D88" s="27" t="str">
        <x:v>Rejected Motley Fool trigger</x:v>
      </x:c>
      <x:c r="E88" s="27" t="str">
        <x:v>The Motley Fool — Lee Samaha</x:v>
      </x:c>
      <x:c r="F88" s="27" t="str">
        <x:v>Idea generator only</x:v>
      </x:c>
      <x:c r="G88" s="29" t="str">
        <x:v>https://www.fool.com/investing/2026/09/17/wall-street-sees-a-huge-rebound-for-viking-therape/</x:v>
      </x:c>
      <x:c r="H88" s="29" t="str">
        <x:v>Free editorial on VKTX relied on analyst targets and future obesity-drug trial data. No new Phase 3 result or regulatory decision was published; the article itself noted long timelines and discontinuation risk.</x:v>
      </x:c>
      <x:c r="I88" s="29" t="str">
        <x:v>Rejected pending primary data</x:v>
      </x:c>
      <x:c r="J88" s="29" t="n">
        <x:v>2</x:v>
      </x:c>
      <x:c r="K88" s="29" t="str">
        <x:v>Ticker VKTX; claimed variable future obesity-drug adoption and revenue over multiple years. Reconsider only on new ClinicalTrials.gov, company trial or FDA evidence.</x:v>
      </x:c>
    </x:row>
    <x:row r="89">
      <x:c r="A89" s="27" t="str">
        <x:v>EV-2026-084</x:v>
      </x:c>
      <x:c r="B89" s="27" t="str"/>
      <x:c r="C89" s="28" t="n">
        <x:v>46282.325</x:v>
      </x:c>
      <x:c r="D89" s="27" t="str">
        <x:v>Rejected Motley Fool trigger</x:v>
      </x:c>
      <x:c r="E89" s="27" t="str">
        <x:v>The Motley Fool — Micah Zimmerman</x:v>
      </x:c>
      <x:c r="F89" s="27" t="str">
        <x:v>Idea generator only</x:v>
      </x:c>
      <x:c r="G89" s="29" t="str">
        <x:v>https://www.fool.com/investing/2026/09/17/500-invested-in-joby-aviation-today-could-be-wor/</x:v>
      </x:c>
      <x:c r="H89" s="29" t="str">
        <x:v>Free editorial on JOBY extrapolated long-term value from emerging operations. FAA and company sources confirm eIPP demonstration flights, but they do not yet establish scalable certified commercial economics.</x:v>
      </x:c>
      <x:c r="I89" s="29" t="str">
        <x:v>Rejected as new thesis</x:v>
      </x:c>
      <x:c r="J89" s="29" t="n">
        <x:v>2</x:v>
      </x:c>
      <x:c r="K89" s="29" t="str">
        <x:v>Ticker JOBY; claimed variable commercial eVTOL operations and revenue over roughly five years. Certification, capital intensity, dilution and unit-economics risks remain dominant; existing primary evidence did not justify a distinct thesis.</x:v>
      </x:c>
    </x:row>
    <x:row r="90">
      <x:c r="A90" s="27" t="str">
        <x:v>EV-2026-085</x:v>
      </x:c>
      <x:c r="B90" s="27" t="str"/>
      <x:c r="C90" s="28" t="n">
        <x:v>46282.325</x:v>
      </x:c>
      <x:c r="D90" s="27" t="str">
        <x:v>Rejected government-award trigger</x:v>
      </x:c>
      <x:c r="E90" s="27" t="str">
        <x:v>IBM / Commerce; confirmed by Barron's</x:v>
      </x:c>
      <x:c r="F90" s="27" t="str">
        <x:v>Primary company announcement plus financial press</x:v>
      </x:c>
      <x:c r="G90" s="29" t="str">
        <x:v>https://newsroom.ibm.com/</x:v>
      </x:c>
      <x:c r="H90" s="29" t="str">
        <x:v>Anderon, an IBM company, finalized a $1 billion Commerce CHIPS award on September 16. It follows a previously announced proposed award, is long-dated, and IBM shares fell after the news.</x:v>
      </x:c>
      <x:c r="I90" s="29" t="str">
        <x:v>Rejected; expected and immaterial to parent</x:v>
      </x:c>
      <x:c r="J90" s="29" t="n">
        <x:v>3</x:v>
      </x:c>
      <x:c r="K90" s="29" t="str">
        <x:v>Recipient Anderon; parent IBM; agency Commerce; final award rather than a new contract or routine modification. Publicly announced, low materiality relative to IBM, and no reliable evidence of an unanticipated backlog step-change.</x:v>
      </x:c>
    </x:row>
    <x:row r="91">
      <x:c r="A91" s="27" t="str">
        <x:v>EV-2026-086</x:v>
      </x:c>
      <x:c r="B91" s="27" t="str"/>
      <x:c r="C91" s="28" t="n">
        <x:v>46282.325</x:v>
      </x:c>
      <x:c r="D91" s="27" t="str">
        <x:v>Unconfirmed policy/capex trigger</x:v>
      </x:c>
      <x:c r="E91" s="27" t="str">
        <x:v>Reuters citing Nikkei</x:v>
      </x:c>
      <x:c r="F91" s="27" t="str">
        <x:v>High quality reporting; anonymous-source proposal</x:v>
      </x:c>
      <x:c r="G91" s="29" t="str">
        <x:v>https://www.reuters.com/world/asia-pacific/japan-us-discussing-chip-factory-construction-part-550-billion-investment-talks-2026-09-17/</x:v>
      </x:c>
      <x:c r="H91" s="29" t="str">
        <x:v>Japan and the U.S. were reported to be discussing a roughly $13-$19 billion semiconductor factory expected to involve GlobalFoundries, but negotiations and company participation were not officially confirmed.</x:v>
      </x:c>
      <x:c r="I91" s="29" t="str">
        <x:v>Watch only</x:v>
      </x:c>
      <x:c r="J91" s="29" t="n">
        <x:v>2</x:v>
      </x:c>
      <x:c r="K91" s="29" t="str">
        <x:v>Potential foundry-capacity variable over years. No thesis created until official parties, financing, schedule and company economics are confirmed.</x:v>
      </x:c>
    </x:row>
    <x:row r="92">
      <x:c r="A92" s="27" t="str">
        <x:v>EV-2026-087</x:v>
      </x:c>
      <x:c r="B92" s="27" t="str">
        <x:v>EEI-2026-003</x:v>
      </x:c>
      <x:c r="C92" s="28" t="n">
        <x:v>46282.6278125</x:v>
      </x:c>
      <x:c r="D92" s="27" t="str">
        <x:v>Market confirmation</x:v>
      </x:c>
      <x:c r="E92" s="27" t="str">
        <x:v>Reuters and delayed market price data</x:v>
      </x:c>
      <x:c r="F92" s="27" t="str">
        <x:v>High quality reporting and market data</x:v>
      </x:c>
      <x:c r="G92" s="29" t="str">
        <x:v>https://www.reuters.com/business/wall-st-futures-rise-fed-rate-hike-lifts-long-standing-overhang-2026-09-17/</x:v>
      </x:c>
      <x:c r="H92" s="29" t="str">
        <x:v>At about 10:51 a.m. ET, SPY was up 0.95%, RSP 0.42%, IWM 1.14%, XLI 0.21%, XLB 0.58%, XLV 0.39%, XBI 3.69% and CPER 3.42%; XLF was down 0.45%. Reuters reported all 11 S&amp;P sectors higher, breadth of 4.17-to-one on the NYSE and 3.5-to-one on Nasdaq, and VIX at 15.70.</x:v>
      </x:c>
      <x:c r="I92" s="29" t="str">
        <x:v>Meaningful but partial confirmation</x:v>
      </x:c>
      <x:c r="J92" s="29" t="n">
        <x:v>4</x:v>
      </x:c>
      <x:c r="K92" s="29" t="str">
        <x:v>Breadth, small caps, biotech and volatility improved, but RSP still lagged SPY, financials declined and technology led. The move followed the Fed decision and falling oil rather than a resolved election trigger.</x:v>
      </x:c>
    </x:row>
    <x:row r="93">
      <x:c r="A93" s="27" t="str">
        <x:v>EV-2026-088</x:v>
      </x:c>
      <x:c r="B93" s="27" t="str">
        <x:v>EEI-2026-003</x:v>
      </x:c>
      <x:c r="C93" s="28" t="n">
        <x:v>46282.6278125</x:v>
      </x:c>
      <x:c r="D93" s="27" t="str">
        <x:v>Modifier and contradictory evidence</x:v>
      </x:c>
      <x:c r="E93" s="27" t="str">
        <x:v>Federal Reserve / Reuters</x:v>
      </x:c>
      <x:c r="F93" s="27" t="str">
        <x:v>Primary policy source and high quality reporting</x:v>
      </x:c>
      <x:c r="G93" s="29" t="str">
        <x:v>https://www.federalreserve.gov/newsevents/pressreleases/monetary20260916a.htm</x:v>
      </x:c>
      <x:c r="H93" s="29" t="str">
        <x:v>The Federal Reserve raised the target range 25 basis points to 3.75%-4.00%. Reuters reported a lower 10-year Treasury yield and Brent near $102.90 on September 17, but also a roughly 49% market-implied chance of another rate increase in October.</x:v>
      </x:c>
      <x:c r="I93" s="29" t="str">
        <x:v>Mixed; immediate relief but tightening risk remains</x:v>
      </x:c>
      <x:c r="J93" s="29" t="n">
        <x:v>5</x:v>
      </x:c>
      <x:c r="K93" s="29" t="str">
        <x:v>Lower oil and long yields improve the near-term equity setup. Further tightening risk remains a direct contradiction for small caps, financial conditions and valuation-sensitive equities.</x:v>
      </x:c>
    </x:row>
    <x:row r="94">
      <x:c r="A94" s="27" t="str">
        <x:v>EV-2026-089</x:v>
      </x:c>
      <x:c r="B94" s="27" t="str">
        <x:v>EEI-2026-003</x:v>
      </x:c>
      <x:c r="C94" s="28" t="n">
        <x:v>46282.6278125</x:v>
      </x:c>
      <x:c r="D94" s="27" t="str">
        <x:v>Earnings modifier</x:v>
      </x:c>
      <x:c r="E94" s="27" t="str">
        <x:v>FactSet</x:v>
      </x:c>
      <x:c r="F94" s="27" t="str">
        <x:v>Institutional earnings research</x:v>
      </x:c>
      <x:c r="G94" s="29" t="str">
        <x:v>https://insight.factset.com/analysts-increasing-eps-estimates-for-sp-500-companies-for-2nd-straight-quarter</x:v>
      </x:c>
      <x:c r="H94" s="29" t="str">
        <x:v>FactSet reported that the Q3 S&amp;P 500 bottom-up EPS estimate rose 1.2% from June 30 through August 31 and the full-year 2026 estimate rose 6.1%; seven of eleven sectors had higher full-year estimates.</x:v>
      </x:c>
      <x:c r="I94" s="29" t="str">
        <x:v>Supports the fundamental backdrop</x:v>
      </x:c>
      <x:c r="J94" s="29" t="n">
        <x:v>4</x:v>
      </x:c>
      <x:c r="K94" s="29" t="str">
        <x:v>Positive revisions improve the capacity for an uncertainty-relief rally, but they are not caused by the election and do not confirm a specific congressional-control outcome. Materials Q3 estimates declined 9.1%, a contradiction for XLB despite copper strength.</x:v>
      </x:c>
    </x:row>
    <x:row r="95">
      <x:c r="A95" s="27" t="str">
        <x:v>EV-2026-090</x:v>
      </x:c>
      <x:c r="B95" s="27" t="str">
        <x:v>EEI-2026-003</x:v>
      </x:c>
      <x:c r="C95" s="28" t="n">
        <x:v>46282.6278125</x:v>
      </x:c>
      <x:c r="D95" s="27" t="str">
        <x:v>Neutral policy development</x:v>
      </x:c>
      <x:c r="E95" s="27" t="str">
        <x:v>Reuters / U.S. House vote</x:v>
      </x:c>
      <x:c r="F95" s="27" t="str">
        <x:v>High quality reporting on official legislative action</x:v>
      </x:c>
      <x:c r="G95" s="29" t="str">
        <x:v>https://www.reuters.com/world/us-house-advances-first-bill-addressing-economic-impacts-data-center-boom-2026-09-16/</x:v>
      </x:c>
      <x:c r="H95" s="29" t="str">
        <x:v>The House passed the Ratepayer Protection Act 417-3, requiring state utility regulators to consider whether large electricity users should bear incremental infrastructure costs. The measure does not compel a particular state allocation and still requires further legislative action.</x:v>
      </x:c>
      <x:c r="I95" s="29" t="str">
        <x:v>No clean candidate-sector trigger</x:v>
      </x:c>
      <x:c r="J95" s="29" t="n">
        <x:v>4</x:v>
      </x:c>
      <x:c r="K95" s="29" t="str">
        <x:v>The bipartisan vote shows policy attention to data-center power costs, but it does not establish congressional control, mandatory spending, or a direct investable catalyst for the midterm candidate list.</x:v>
      </x:c>
    </x:row>
    <x:row r="96">
      <x:c r="A96" s="27" t="str">
        <x:v>EV-2026-091</x:v>
      </x:c>
      <x:c r="B96" s="27" t="str">
        <x:v>EEI-2026-001</x:v>
      </x:c>
      <x:c r="C96" s="28" t="n">
        <x:v>46282.666666666664</x:v>
      </x:c>
      <x:c r="D96" s="27" t="str">
        <x:v>Paper-trade market outcome</x:v>
      </x:c>
      <x:c r="E96" s="27" t="str">
        <x:v>S&amp;P Global Market Intelligence via StockAnalysis</x:v>
      </x:c>
      <x:c r="F96" s="27" t="str">
        <x:v>Daily closing market data</x:v>
      </x:c>
      <x:c r="G96" s="29" t="str">
        <x:v>https://stockanalysis.com/etf/bno/history/</x:v>
      </x:c>
      <x:c r="H96" s="29" t="str">
        <x:v>BNO closed September 17 at $60.91 versus the $57.21 September 8 opening entry; the paper position is worth $1,064.67, up $64.67 or 6.47%.</x:v>
      </x:c>
      <x:c r="I96" s="29" t="str">
        <x:v>Supports direct Brent expression</x:v>
      </x:c>
      <x:c r="J96" s="29" t="n">
        <x:v>5</x:v>
      </x:c>
      <x:c r="K96" s="29" t="str">
        <x:v>Direct Brent-linked exposure remains profitable despite a second daily pullback.</x:v>
      </x:c>
    </x:row>
    <x:row r="97">
      <x:c r="A97" s="27" t="str">
        <x:v>EV-2026-092</x:v>
      </x:c>
      <x:c r="B97" s="27" t="str">
        <x:v>EEI-2026-001</x:v>
      </x:c>
      <x:c r="C97" s="28" t="n">
        <x:v>46282.666666666664</x:v>
      </x:c>
      <x:c r="D97" s="27" t="str">
        <x:v>Paper-trade market outcome</x:v>
      </x:c>
      <x:c r="E97" s="27" t="str">
        <x:v>S&amp;P Global Market Intelligence via StockAnalysis</x:v>
      </x:c>
      <x:c r="F97" s="27" t="str">
        <x:v>Daily closing market data</x:v>
      </x:c>
      <x:c r="G97" s="29" t="str">
        <x:v>https://stockanalysis.com/etf/uso/history/</x:v>
      </x:c>
      <x:c r="H97" s="29" t="str">
        <x:v>USO closed September 17 at $155.31 versus the $144.60 September 8 opening entry; the paper position is worth $1,074.07, up $74.07 or 7.41%.</x:v>
      </x:c>
      <x:c r="I97" s="29" t="str">
        <x:v>Supports direct crude expression</x:v>
      </x:c>
      <x:c r="J97" s="29" t="n">
        <x:v>5</x:v>
      </x:c>
      <x:c r="K97" s="29" t="str">
        <x:v>USO remains the strongest paper expression by dollar gain and continues to confirm the predicted crude-price direction.</x:v>
      </x:c>
    </x:row>
    <x:row r="98">
      <x:c r="A98" s="27" t="str">
        <x:v>EV-2026-093</x:v>
      </x:c>
      <x:c r="B98" s="27" t="str">
        <x:v>EEI-2026-001</x:v>
      </x:c>
      <x:c r="C98" s="28" t="n">
        <x:v>46282.666666666664</x:v>
      </x:c>
      <x:c r="D98" s="27" t="str">
        <x:v>Paper-trade market outcome</x:v>
      </x:c>
      <x:c r="E98" s="27" t="str">
        <x:v>S&amp;P Global Market Intelligence via StockAnalysis</x:v>
      </x:c>
      <x:c r="F98" s="27" t="str">
        <x:v>Daily closing market data</x:v>
      </x:c>
      <x:c r="G98" s="29" t="str">
        <x:v>https://stockanalysis.com/etf/xop/history/</x:v>
      </x:c>
      <x:c r="H98" s="29" t="str">
        <x:v>XOP closed September 17 at $192.59 versus the $193.84 September 8 opening entry; the paper position is worth $993.55, down $6.45 or 0.64%.</x:v>
      </x:c>
      <x:c r="I98" s="29" t="str">
        <x:v>Contradicts indirect equity expression</x:v>
      </x:c>
      <x:c r="J98" s="29" t="n">
        <x:v>5</x:v>
      </x:c>
      <x:c r="K98" s="29" t="str">
        <x:v>Producer equities continue to lag the direct crude funds, supporting the clean-expression rule.</x:v>
      </x:c>
    </x:row>
    <x:row r="99">
      <x:c r="A99" s="27" t="str">
        <x:v>EV-2026-094</x:v>
      </x:c>
      <x:c r="B99" s="27" t="str">
        <x:v>EEI-2026-001</x:v>
      </x:c>
      <x:c r="C99" s="28" t="n">
        <x:v>46282.666666666664</x:v>
      </x:c>
      <x:c r="D99" s="27" t="str">
        <x:v>Thesis outcome and modifier</x:v>
      </x:c>
      <x:c r="E99" s="27" t="str">
        <x:v>Reuters</x:v>
      </x:c>
      <x:c r="F99" s="27" t="str">
        <x:v>High quality reporting and market data</x:v>
      </x:c>
      <x:c r="G99" s="29" t="str">
        <x:v>https://www.reuters.com/business/energy/oil-prices-extend-losses-fears-middle-east-supply-disruptions-ease-2026-09-17/</x:v>
      </x:c>
      <x:c r="H99" s="29" t="str">
        <x:v>Brent settled 0.95% lower at $104.82 and WTI 0.5% lower at $101.91. Saudi ship-to-ship transfers through Oman and expected East-West pipeline repairs offset some disruption, while falling Hormuz traffic and continuing regional attacks kept the physical market tight.</x:v>
      </x:c>
      <x:c r="I99" s="29" t="str">
        <x:v>Mixed; thesis intact but remaining edge reduced</x:v>
      </x:c>
      <x:c r="J99" s="29" t="n">
        <x:v>5</x:v>
      </x:c>
      <x:c r="K99" s="29" t="str">
        <x:v>Confirms the predicted supply-risk premium while identifying adaptation and repair as the leading invalidation path.</x:v>
      </x:c>
    </x:row>
    <x:row r="100">
      <x:c r="A100" s="27" t="str">
        <x:v>EV-2026-095</x:v>
      </x:c>
      <x:c r="B100" s="27" t="str">
        <x:v>EEI-2026-001</x:v>
      </x:c>
      <x:c r="C100" s="28" t="n">
        <x:v>46283.3533217593</x:v>
      </x:c>
      <x:c r="D100" s="27" t="str">
        <x:v>Completed outcome confirmation</x:v>
      </x:c>
      <x:c r="E100" s="27" t="str">
        <x:v>Reuters</x:v>
      </x:c>
      <x:c r="F100" s="27" t="str">
        <x:v>High quality reporting and physical-market data</x:v>
      </x:c>
      <x:c r="G100" s="29" t="str">
        <x:v>https://www.reuters.com/business/energy/russian-espo-oil-price-exceeds-120-per-barrel-traders-say-data-shows-2026-09-18/</x:v>
      </x:c>
      <x:c r="H100" s="29" t="str">
        <x:v>Russian ESPO crude rose above $120 per barrel for the first time since April, with premiums of roughly $20-$30 over Brent as Chinese refiners competed for replacement barrels amid Middle East disruption.</x:v>
      </x:c>
      <x:c r="I100" s="29" t="str">
        <x:v>Confirms variable, direction and timing</x:v>
      </x:c>
      <x:c r="J100" s="29" t="n">
        <x:v>5</x:v>
      </x:c>
      <x:c r="K100" s="29" t="str">
        <x:v>Final physical-market confirmation for EEI-2026-001: the disruption raised replacement-barrel costs and the crude risk premium within the forecast horizon.</x:v>
      </x:c>
    </x:row>
    <x:row r="101">
      <x:c r="A101" t="str">
        <x:v>EV-2026-096</x:v>
      </x:c>
      <x:c r="B101" t="str">
        <x:v>EEI-2026-001</x:v>
      </x:c>
      <x:c r="C101" s="21" t="n">
        <x:v>46283.3533217593</x:v>
      </x:c>
      <x:c r="D101" t="str">
        <x:v>Outcome modifier and contradiction</x:v>
      </x:c>
      <x:c r="E101" t="str">
        <x:v>Reuters</x:v>
      </x:c>
      <x:c r="F101" t="str">
        <x:v>High quality reporting and market data</x:v>
      </x:c>
      <x:c r="G101" s="44" t="str">
        <x:v>https://www.reuters.com/business/energy/oil-prices-fall-1-hopes-limited-supply-disruptions-2026-09-18/</x:v>
      </x:c>
      <x:c r="H101" s="44" t="str">
        <x:v>Brent fell to about $103.17 and WTI to about $101.30 as Saudi rerouting, expected East-West pipeline restoration, higher product inventories and Chinese fuel exports reduced immediate scarcity fears.</x:v>
      </x:c>
      <x:c r="I101" s="44" t="str">
        <x:v>Confirms risk but closes remaining edge</x:v>
      </x:c>
      <x:c r="J101" s="44" t="n">
        <x:v>5</x:v>
      </x:c>
      <x:c r="K101" s="44" t="str">
        <x:v>The forecast succeeded over its horizon, but the same evidence supports closing it rather than extending a low-edge headline trade.</x:v>
      </x:c>
    </x:row>
    <x:row r="102">
      <x:c r="A102" t="str">
        <x:v>EV-2026-097</x:v>
      </x:c>
      <x:c r="B102" t="str">
        <x:v>EEI-2026-009</x:v>
      </x:c>
      <x:c r="C102" s="21" t="n">
        <x:v>46283.3533217593</x:v>
      </x:c>
      <x:c r="D102" t="str">
        <x:v>Physical supply confirmation</x:v>
      </x:c>
      <x:c r="E102" t="str">
        <x:v>Reuters</x:v>
      </x:c>
      <x:c r="F102" t="str">
        <x:v>High quality reporting</x:v>
      </x:c>
      <x:c r="G102" s="44" t="str">
        <x:v>https://www.reuters.com/business/energy/exxon-mobil-says-floodwater-overwhelmed-pump-at-joliet-illinois-refinery-2026-09-17/</x:v>
      </x:c>
      <x:c r="H102" s="44" t="str">
        <x:v>ExxonMobil's 275,000-bpd Joliet refinery remained offline after flooding and a power outage; the plant normally supplies about 11 million gallons of gasoline and diesel per day.</x:v>
      </x:c>
      <x:c r="I102" s="44" t="str">
        <x:v>Strengthens</x:v>
      </x:c>
      <x:c r="J102" s="44" t="n">
        <x:v>4</x:v>
      </x:c>
      <x:c r="K102" s="44" t="str">
        <x:v>The U.S. Midwest outage compounds the global refined-product shortage, although a restart would remove this incremental support.</x:v>
      </x:c>
    </x:row>
    <x:row r="103">
      <x:c r="A103" t="str">
        <x:v>EV-2026-098</x:v>
      </x:c>
      <x:c r="B103" t="str">
        <x:v>EEI-2026-009</x:v>
      </x:c>
      <x:c r="C103" s="21" t="n">
        <x:v>46283.3533217593</x:v>
      </x:c>
      <x:c r="D103" t="str">
        <x:v>Contradictory supply modifier</x:v>
      </x:c>
      <x:c r="E103" t="str">
        <x:v>Reuters</x:v>
      </x:c>
      <x:c r="F103" t="str">
        <x:v>High quality reporting</x:v>
      </x:c>
      <x:c r="G103" s="44" t="str">
        <x:v>https://www.reuters.com/business/energy/aramco-boost-exports-strait-hormuz-60-million-bbl-september-october-traders-say-2026-09-18/</x:v>
      </x:c>
      <x:c r="H103" s="44" t="str">
        <x:v>Saudi Aramco plans roughly 60 million barrels of Gulf exports in September and October using ship-to-ship transfers near Sohar, restoring about 1.0-1.5 million bpd despite damaged Red Sea logistics.</x:v>
      </x:c>
      <x:c r="I103" s="44" t="str">
        <x:v>Caps scarcity and trading edge</x:v>
      </x:c>
      <x:c r="J103" s="44" t="n">
        <x:v>4</x:v>
      </x:c>
      <x:c r="K103" s="44" t="str">
        <x:v>Feedstock adaptation can ease refinery constraints; record tanker freight shows the workaround remains costly rather than fully normal.</x:v>
      </x:c>
    </x:row>
    <x:row r="104">
      <x:c r="A104" t="str">
        <x:v>EV-2026-099</x:v>
      </x:c>
      <x:c r="B104" t="str">
        <x:v>EEI-2026-004</x:v>
      </x:c>
      <x:c r="C104" s="21" t="n">
        <x:v>46283.3533217593</x:v>
      </x:c>
      <x:c r="D104" t="str">
        <x:v>Completed outcome market evidence</x:v>
      </x:c>
      <x:c r="E104" t="str">
        <x:v>Wall Street Journal</x:v>
      </x:c>
      <x:c r="F104" t="str">
        <x:v>Financial press and market data</x:v>
      </x:c>
      <x:c r="G104" s="44" t="str">
        <x:v>https://www.wsj.com/livecoverage/stock-market-today-dow-sp-500-nasdaq-09-17-2026</x:v>
      </x:c>
      <x:c r="H104" s="44" t="str">
        <x:v>The 10-year Treasury yield fell below 5% on September 17 after the Fed hike and an oil pullback; TLT rose while TBF fell at the close.</x:v>
      </x:c>
      <x:c r="I104" s="44" t="str">
        <x:v>Contradicts direction and expression</x:v>
      </x:c>
      <x:c r="J104" s="44" t="n">
        <x:v>4</x:v>
      </x:c>
      <x:c r="K104" s="44" t="str">
        <x:v>The policy variable was relevant and timely, but long yields and the intended TBF expression moved opposite the frozen prediction.</x:v>
      </x:c>
    </x:row>
    <x:row r="105">
      <x:c r="A105" t="str">
        <x:v>EV-2026-100</x:v>
      </x:c>
      <x:c r="B105"/>
      <x:c r="C105" s="21" t="n">
        <x:v>46283.3533217593</x:v>
      </x:c>
      <x:c r="D105" t="str">
        <x:v>Rejected Motley Fool trigger</x:v>
      </x:c>
      <x:c r="E105" t="str">
        <x:v>The Motley Fool — Thomas Niel</x:v>
      </x:c>
      <x:c r="F105" t="str">
        <x:v>Idea generator only</x:v>
      </x:c>
      <x:c r="G105" s="44" t="str">
        <x:v>https://www.fool.com/investing/2026/09/18/exxonmobil-vs-conocophillips-which-oil-majors-buyb/</x:v>
      </x:c>
      <x:c r="H105" s="44" t="str">
        <x:v>Free editorial at 6:51 a.m. ET compared XOM and COP buybacks and longer-term catalysts. The author disclosed no position; Motley Fool recommends COP. Primary filings confirm the repurchase programs, but the article supplied no new company catalyst.</x:v>
      </x:c>
      <x:c r="I105" s="44" t="str">
        <x:v>Rejected as new thesis</x:v>
      </x:c>
      <x:c r="J105" s="44" t="n">
        <x:v>2</x:v>
      </x:c>
      <x:c r="K105" s="44" t="str">
        <x:v>Tickers XOM and COP; claimed variable per-share value and cash returns over years. Oil exposure is already covered, and both stocks were near the upper portion of their annual ranges. No distinct thesis created.</x:v>
      </x:c>
    </x:row>
    <x:row r="106">
      <x:c r="A106" t="str">
        <x:v>EV-2026-101</x:v>
      </x:c>
      <x:c r="B106"/>
      <x:c r="C106" s="21" t="n">
        <x:v>46283.3533217593</x:v>
      </x:c>
      <x:c r="D106" t="str">
        <x:v>Rejected Motley Fool trigger</x:v>
      </x:c>
      <x:c r="E106" t="str">
        <x:v>The Motley Fool — Catie Hogan</x:v>
      </x:c>
      <x:c r="F106" t="str">
        <x:v>Idea generator only</x:v>
      </x:c>
      <x:c r="G106" s="44" t="str">
        <x:v>https://www.fool.com/investing/2026/09/18/is-verizon-the-years-best-telecom-stock/</x:v>
      </x:c>
      <x:c r="H106" s="44" t="str">
        <x:v>Free editorial cited Verizon's Q2 subscriber recovery, Frontier integration and cost reductions. The author disclosed an AT&amp;T position; Motley Fool recommends Verizon and T-Mobile. Company results independently confirm operational improvement.</x:v>
      </x:c>
      <x:c r="I106" s="44" t="str">
        <x:v>Rejected; catalyst already known and priced</x:v>
      </x:c>
      <x:c r="J106" s="44" t="n">
        <x:v>2</x:v>
      </x:c>
      <x:c r="K106" s="44" t="str">
        <x:v>Ticker VZ; claimed variable subscriber, fiber and free-cash-flow growth over quarters. Shares had already risen materially in 2026 and the article did not add a new primary catalyst or favorable entry structure.</x:v>
      </x:c>
    </x:row>
    <x:row r="107">
      <x:c r="A107" t="str">
        <x:v>EV-2026-102</x:v>
      </x:c>
      <x:c r="B107"/>
      <x:c r="C107" s="21" t="n">
        <x:v>46283.3533217593</x:v>
      </x:c>
      <x:c r="D107" t="str">
        <x:v>Rejected Motley Fool trigger</x:v>
      </x:c>
      <x:c r="E107" t="str">
        <x:v>The Motley Fool — Geoffrey Seiler</x:v>
      </x:c>
      <x:c r="F107" t="str">
        <x:v>Idea generator only</x:v>
      </x:c>
      <x:c r="G107" s="44" t="str">
        <x:v>https://www.fool.com/investing/2026/09/18/stocks-buy-analyst-semiconductor-spend/</x:v>
      </x:c>
      <x:c r="H107" s="44" t="str">
        <x:v>Free editorial cited a Bank of America forecast and selected SK Hynix, Nvidia and ASML. The author disclosed no position; Motley Fool disclosed positions and recommendations. The 88% market-growth claim is an analyst estimate, not a new primary company event.</x:v>
      </x:c>
      <x:c r="I107" s="44" t="str">
        <x:v>Rejected as non-distinct</x:v>
      </x:c>
      <x:c r="J107" s="44" t="n">
        <x:v>2</x:v>
      </x:c>
      <x:c r="K107" s="44" t="str">
        <x:v>Tickers SKHY, NVDA and ASML; claimed variable semiconductor revenue through 2030. The secular AI-memory thesis is established and valuations already embed substantial growth; no new thesis created.</x:v>
      </x:c>
    </x:row>
    <x:row r="108">
      <x:c r="A108" t="str">
        <x:v>EV-2026-103</x:v>
      </x:c>
      <x:c r="B108"/>
      <x:c r="C108" s="21" t="n">
        <x:v>46283.3533217593</x:v>
      </x:c>
      <x:c r="D108" t="str">
        <x:v>Rejected Motley Fool trigger</x:v>
      </x:c>
      <x:c r="E108" t="str">
        <x:v>The Motley Fool — Jeff Siegel</x:v>
      </x:c>
      <x:c r="F108" t="str">
        <x:v>Idea generator only</x:v>
      </x:c>
      <x:c r="G108" s="44" t="str">
        <x:v>https://www.fool.com/investing/2026/09/18/this-overlooked-grid-technology-stock-could-be-you/</x:v>
      </x:c>
      <x:c r="H108" s="44" t="str">
        <x:v>Free editorial argued that Hubbell benefits from grid modernization and data-center demand. The author and Motley Fool disclosed no position. Company-reported Q2 growth and raised guidance support the mechanism, but no new dated catalyst was identified.</x:v>
      </x:c>
      <x:c r="I108" s="44" t="str">
        <x:v>Watch only; no new thesis</x:v>
      </x:c>
      <x:c r="J108" s="44" t="n">
        <x:v>2</x:v>
      </x:c>
      <x:c r="K108" s="44" t="str">
        <x:v>Ticker HUBB; claimed variable utility-equipment revenue and earnings over years. The business case is credible, but current evidence is an already-known long-cycle trend without a distinct trigger or preferred entry.</x:v>
      </x:c>
    </x:row>
    <x:row r="109">
      <x:c r="A109" t="str">
        <x:v>EV-2026-104</x:v>
      </x:c>
      <x:c r="B109"/>
      <x:c r="C109" s="21" t="n">
        <x:v>46283.3533217593</x:v>
      </x:c>
      <x:c r="D109" t="str">
        <x:v>Rejected Motley Fool trigger</x:v>
      </x:c>
      <x:c r="E109" t="str">
        <x:v>The Motley Fool — Dave Kovaleski</x:v>
      </x:c>
      <x:c r="F109" t="str">
        <x:v>Idea generator only</x:v>
      </x:c>
      <x:c r="G109" s="44" t="str">
        <x:v>https://www.fool.com/investing/2026/09/18/market-signal-seen-only-once-point-next/</x:v>
      </x:c>
      <x:c r="H109" s="44" t="str">
        <x:v>Free editorial highlighted a Shiller CAPE near 41 and compared it with prior high-valuation periods. The author disclosed no position; Motley Fool disclosed an Nvidia position and recommendation.</x:v>
      </x:c>
      <x:c r="I109" s="44" t="str">
        <x:v>Rejected as timing thesis</x:v>
      </x:c>
      <x:c r="J109" s="44" t="n">
        <x:v>2</x:v>
      </x:c>
      <x:c r="K109" s="44" t="str">
        <x:v>Claimed variable broad-equity drawdown risk. CAPE is a valuation modifier, not a reliable short-horizon timing trigger; no new thesis or short expression created.</x:v>
      </x:c>
    </x:row>
    <x:row r="110">
      <x:c r="A110" t="str">
        <x:v>EV-2026-105</x:v>
      </x:c>
      <x:c r="B110"/>
      <x:c r="C110" s="21" t="n">
        <x:v>46283.3533217593</x:v>
      </x:c>
      <x:c r="D110" t="str">
        <x:v>Macro policy watch</x:v>
      </x:c>
      <x:c r="E110" t="str">
        <x:v>Reuters / Bank of Japan</x:v>
      </x:c>
      <x:c r="F110" t="str">
        <x:v>High quality reporting on primary policy action</x:v>
      </x:c>
      <x:c r="G110" s="44" t="str">
        <x:v>https://www.reuters.com/world/asia-pacific/yen-weak-ahead-boj-decision-rate-hike-expected-2026-09-18/</x:v>
      </x:c>
      <x:c r="H110" s="44" t="str">
        <x:v>The Bank of Japan raised its policy rate to 1.25%, a 31-year high, but the yen weakened because guidance and the vote were less hawkish than expected.</x:v>
      </x:c>
      <x:c r="I110" s="44" t="str">
        <x:v>Watch only</x:v>
      </x:c>
      <x:c r="J110" s="44" t="n">
        <x:v>3</x:v>
      </x:c>
      <x:c r="K110" s="44" t="str">
        <x:v>The action was broadly anticipated and produced no independently confirmed, favorable cross-asset expression. No thesis created.</x:v>
      </x:c>
    </x:row>
    <x:row r="111">
      <x:c r="A111" t="str">
        <x:v>EV-2026-106</x:v>
      </x:c>
      <x:c r="B111" t="str">
        <x:v>EEI-2026-003</x:v>
      </x:c>
      <x:c r="C111" s="53" t="n">
        <x:v>46283.4610069444</x:v>
      </x:c>
      <x:c r="D111" t="str">
        <x:v>Political trigger update</x:v>
      </x:c>
      <x:c r="E111" t="str">
        <x:v>Reuters</x:v>
      </x:c>
      <x:c r="F111" t="str">
        <x:v>High quality reporting</x:v>
      </x:c>
      <x:c r="G111" s="44" t="str">
        <x:v>https://www.reuters.com/legal/government/trump-linked-pop-up-pacs-blitz-ohio-with-ads-against-brown-costly-senate-race-2026-09-18/</x:v>
      </x:c>
      <x:c r="H111" s="44" t="str">
        <x:v>Political groups added roughly $14 million of advertising in a competitive Ohio Senate race that could be consequential for chamber control.</x:v>
      </x:c>
      <x:c r="I111" s="44" t="str">
        <x:v>Confirms uncertainty; no outcome</x:v>
      </x:c>
      <x:c r="J111" s="44" t="n">
        <x:v>4</x:v>
      </x:c>
      <x:c r="K111" s="44" t="str">
        <x:v>Campaign spending confirms that the race is active and high-stakes, but it does not independently establish Senate control or a policy outcome.</x:v>
      </x:c>
    </x:row>
    <x:row r="112">
      <x:c r="A112" t="str">
        <x:v>EV-2026-107</x:v>
      </x:c>
      <x:c r="B112" t="str">
        <x:v>EEI-2026-003</x:v>
      </x:c>
      <x:c r="C112" s="53" t="n">
        <x:v>46283.4610069444</x:v>
      </x:c>
      <x:c r="D112" t="str">
        <x:v>Market contradiction</x:v>
      </x:c>
      <x:c r="E112" t="str">
        <x:v>Reuters</x:v>
      </x:c>
      <x:c r="F112" t="str">
        <x:v>High quality reporting and market data</x:v>
      </x:c>
      <x:c r="G112" s="44" t="str">
        <x:v>https://www.reuters.com/business/nasdaq-futures-lead-wall-st-gains-oil-retreat-eases-inflation-worries-2026-09-18/</x:v>
      </x:c>
      <x:c r="H112" s="44" t="str">
        <x:v>Friday breadth was negative on both major exchanges, materials fell about 1.4%, and the 10-year Treasury yield moved back near 5%.</x:v>
      </x:c>
      <x:c r="I112" s="44" t="str">
        <x:v>Weakens market confirmation</x:v>
      </x:c>
      <x:c r="J112" s="44" t="n">
        <x:v>5</x:v>
      </x:c>
      <x:c r="K112" s="44" t="str">
        <x:v>Triple-witching can amplify intraday volatility, but IWM, XBI and RSP also failed the follow-through test from Thursday's broad session.</x:v>
      </x:c>
    </x:row>
    <x:row r="113">
      <x:c r="A113" t="str">
        <x:v>EV-2026-108</x:v>
      </x:c>
      <x:c r="B113" t="str">
        <x:v>EEI-2026-003</x:v>
      </x:c>
      <x:c r="C113" s="53" t="n">
        <x:v>46283.4610069444</x:v>
      </x:c>
      <x:c r="D113" t="str">
        <x:v>Adverse macro modifier</x:v>
      </x:c>
      <x:c r="E113" t="str">
        <x:v>Reuters</x:v>
      </x:c>
      <x:c r="F113" t="str">
        <x:v>High quality reporting and market data</x:v>
      </x:c>
      <x:c r="G113" s="44" t="str">
        <x:v>https://www.reuters.com/business/energy/oil-prices-fall-1-hopes-limited-supply-disruptions-2026-09-18/</x:v>
      </x:c>
      <x:c r="H113" s="44" t="str">
        <x:v>Brent traded around $104.49 while damage to Saudi export infrastructure and Middle East shipping risks kept the supply premium elevated.</x:v>
      </x:c>
      <x:c r="I113" s="44" t="str">
        <x:v>Maintains oil-inflation-rates headwind</x:v>
      </x:c>
      <x:c r="J113" s="44" t="n">
        <x:v>5</x:v>
      </x:c>
      <x:c r="K113" s="44" t="str">
        <x:v>Oil is a modifier to the midterm thesis, not part of it. Partial Saudi restoration and higher product supply remain countervailing evidence.</x:v>
      </x:c>
    </x:row>
    <x:row r="114">
      <x:c r="A114" t="str">
        <x:v>EV-2026-109</x:v>
      </x:c>
      <x:c r="B114" t="str">
        <x:v>EEI-2026-003</x:v>
      </x:c>
      <x:c r="C114" s="53" t="n">
        <x:v>46283.4610069444</x:v>
      </x:c>
      <x:c r="D114" t="str">
        <x:v>Positioning and flows</x:v>
      </x:c>
      <x:c r="E114" t="str">
        <x:v>Reuters / LSEG Lipper</x:v>
      </x:c>
      <x:c r="F114" t="str">
        <x:v>High quality reporting on fund-flow data</x:v>
      </x:c>
      <x:c r="G114" s="44" t="str">
        <x:v>https://www.reuters.com/business/us-equity-funds-post-fourth-weekly-outflow-inflation-worries-rate-concerns-2026-09-18/</x:v>
      </x:c>
      <x:c r="H114" s="44" t="str">
        <x:v>U.S. equity funds had $31.44 billion of net outflows for a fourth week, while small-cap funds drew $568 million and sector funds attracted technology, financial and consumer-discretionary inflows.</x:v>
      </x:c>
      <x:c r="I114" s="44" t="str">
        <x:v>Mixed; broad caution with selective breadth</x:v>
      </x:c>
      <x:c r="J114" s="44" t="n">
        <x:v>4</x:v>
      </x:c>
      <x:c r="K114" s="44" t="str">
        <x:v>The small-cap inflow is supportive, but total outflows and concentration in selected sectors do not confirm a durable broad risk-on rotation.</x:v>
      </x:c>
    </x:row>
    <x:row r="115">
      <x:c r="A115" t="str">
        <x:v>EV-2026-110</x:v>
      </x:c>
      <x:c r="B115" t="str">
        <x:v>EEI-2026-001</x:v>
      </x:c>
      <x:c r="C115" s="21" t="n">
        <x:v>46283.6819444444</x:v>
      </x:c>
      <x:c r="D115" t="str">
        <x:v>Final outcome and contradiction</x:v>
      </x:c>
      <x:c r="E115" t="str">
        <x:v>Reuters</x:v>
      </x:c>
      <x:c r="F115" t="str">
        <x:v>High quality reporting and market data</x:v>
      </x:c>
      <x:c r="G115" s="44" t="str">
        <x:v>https://www.reuters.com/business/energy/oil-prices-fall-1-hopes-limited-supply-disruptions-2026-09-18/</x:v>
      </x:c>
      <x:c r="H115" s="44" t="str">
        <x:v>Brent settled at $104.87 and WTI at $100.30 on September 18. Only four commodity vessels crossed Hormuz Thursday versus a 10-day average near 16, while China pressed Iran to curb Houthi attacks and Saudi Arabia sought partial East-West pipeline restoration.</x:v>
      </x:c>
      <x:c r="I115" s="44" t="str">
        <x:v>Confirms thesis outcome; strengthens invalidation path</x:v>
      </x:c>
      <x:c r="J115" s="44" t="n">
        <x:v>5</x:v>
      </x:c>
      <x:c r="K115" s="44" t="str">
        <x:v>The supply-risk premium remained elevated through the horizon, but diplomacy and repair expectations pulled prices back from the week's highs and justified closing a low-edge thesis.</x:v>
      </x:c>
    </x:row>
    <x:row r="116">
      <x:c r="A116" t="str">
        <x:v>EV-2026-111</x:v>
      </x:c>
      <x:c r="B116" t="str">
        <x:v>EEI-2026-001</x:v>
      </x:c>
      <x:c r="C116" s="21" t="n">
        <x:v>46283.6819444444</x:v>
      </x:c>
      <x:c r="D116" t="str">
        <x:v>Paper-trade outcome</x:v>
      </x:c>
      <x:c r="E116" t="str">
        <x:v>Market data — BNO</x:v>
      </x:c>
      <x:c r="F116" t="str">
        <x:v>Exchange quote data</x:v>
      </x:c>
      <x:c r="G116" s="44" t="str">
        <x:v>https://finance.yahoo.com/quote/BNO/</x:v>
      </x:c>
      <x:c r="H116" s="44" t="str">
        <x:v>BNO closed September 18 at $60.55. The $1,000 paper position entered at $57.21 was worth $1,058.38, a gain of $58.38 or 5.84%.</x:v>
      </x:c>
      <x:c r="I116" s="44" t="str">
        <x:v>Confirms direct Brent expression</x:v>
      </x:c>
      <x:c r="J116" s="44" t="n">
        <x:v>4</x:v>
      </x:c>
      <x:c r="K116" s="44" t="str">
        <x:v>Fractional shares: 17.47946163. Hypothetical paper trade only.</x:v>
      </x:c>
    </x:row>
    <x:row r="117">
      <x:c r="A117" t="str">
        <x:v>EV-2026-112</x:v>
      </x:c>
      <x:c r="B117" t="str">
        <x:v>EEI-2026-001</x:v>
      </x:c>
      <x:c r="C117" s="21" t="n">
        <x:v>46283.6819444444</x:v>
      </x:c>
      <x:c r="D117" t="str">
        <x:v>Paper-trade outcome</x:v>
      </x:c>
      <x:c r="E117" t="str">
        <x:v>Market data — USO</x:v>
      </x:c>
      <x:c r="F117" t="str">
        <x:v>Exchange quote data</x:v>
      </x:c>
      <x:c r="G117" s="44" t="str">
        <x:v>https://finance.yahoo.com/quote/USO/</x:v>
      </x:c>
      <x:c r="H117" s="44" t="str">
        <x:v>USO closed September 18 at $153.87. The $1,000 paper position entered at $144.60 was worth $1,064.11, a gain of $64.11 or 6.41%.</x:v>
      </x:c>
      <x:c r="I117" s="44" t="str">
        <x:v>Confirms direct WTI expression</x:v>
      </x:c>
      <x:c r="J117" s="44" t="n">
        <x:v>4</x:v>
      </x:c>
      <x:c r="K117" s="44" t="str">
        <x:v>Fractional shares: 6.91562932. Hypothetical paper trade only.</x:v>
      </x:c>
    </x:row>
    <x:row r="118">
      <x:c r="A118" t="str">
        <x:v>EV-2026-113</x:v>
      </x:c>
      <x:c r="B118" t="str">
        <x:v>EEI-2026-001</x:v>
      </x:c>
      <x:c r="C118" s="21" t="n">
        <x:v>46283.6819444444</x:v>
      </x:c>
      <x:c r="D118" t="str">
        <x:v>Paper-trade outcome</x:v>
      </x:c>
      <x:c r="E118" t="str">
        <x:v>Market data — XOP</x:v>
      </x:c>
      <x:c r="F118" t="str">
        <x:v>Exchange quote data</x:v>
      </x:c>
      <x:c r="G118" s="44" t="str">
        <x:v>https://finance.yahoo.com/quote/XOP/</x:v>
      </x:c>
      <x:c r="H118" s="44" t="str">
        <x:v>XOP closed September 18 at $190.65. The $1,000 paper position entered at $193.84 was worth $983.54, a loss of $16.46 or 1.65%.</x:v>
      </x:c>
      <x:c r="I118" s="44" t="str">
        <x:v>Invalidates indirect producer-equity expression</x:v>
      </x:c>
      <x:c r="J118" s="44" t="n">
        <x:v>4</x:v>
      </x:c>
      <x:c r="K118" s="44" t="str">
        <x:v>Fractional shares: 5.15889393. The weaker result supports preferring the cleanest instrument for the predicted economic variable. Hypothetical paper trade only.</x:v>
      </x:c>
    </x:row>
    <x:row r="119">
      <x:c r="A119" t="str">
        <x:v>EV-2026-114</x:v>
      </x:c>
      <x:c r="B119" t="str">
        <x:v>EEI-2026-010</x:v>
      </x:c>
      <x:c r="C119" s="21" t="n">
        <x:v>46284.33085648148</x:v>
      </x:c>
      <x:c r="D119" t="str">
        <x:v>Primary regulatory trigger</x:v>
      </x:c>
      <x:c r="E119" t="str">
        <x:v>European Commission</x:v>
      </x:c>
      <x:c r="F119" t="str">
        <x:v>Primary government record</x:v>
      </x:c>
      <x:c r="G119" s="44" t="str">
        <x:v>https://policy.trade.ec.europa.eu/news/commission-imposes-provisional-safeguard-measures-imports-grain-oriented-electrical-steel-2026-09-18_en</x:v>
      </x:c>
      <x:c r="H119" s="44" t="str">
        <x:v>The Commission imposed provisional tariff-rate quotas and price thresholds on GOES, laminations and transformer cores, including cores already incorporated in transformers. The measures take effect September 25, follow a March investigation and are intended to protect strategic EU energy infrastructure.</x:v>
      </x:c>
      <x:c r="I119" s="44" t="str">
        <x:v>Confirms trigger and full-chain scope</x:v>
      </x:c>
      <x:c r="J119" s="44" t="n">
        <x:v>5</x:v>
      </x:c>
      <x:c r="K119" s="44" t="str">
        <x:v>The Commission says definitive measures require a qualified majority of at least 15 member states representing 65% of the EU population; the provisional step alone does not establish a durable company outcome.</x:v>
      </x:c>
    </x:row>
    <x:row r="120">
      <x:c r="A120" t="str">
        <x:v>EV-2026-115</x:v>
      </x:c>
      <x:c r="B120" t="str">
        <x:v>EEI-2026-010</x:v>
      </x:c>
      <x:c r="C120" s="21" t="n">
        <x:v>46284.33085648148</x:v>
      </x:c>
      <x:c r="D120" t="str">
        <x:v>Independent economic confirmation</x:v>
      </x:c>
      <x:c r="E120" t="str">
        <x:v>Reuters</x:v>
      </x:c>
      <x:c r="F120" t="str">
        <x:v>High quality reporting</x:v>
      </x:c>
      <x:c r="G120" s="44" t="str">
        <x:v>https://www.reuters.com/business/energy/eu-impose-provisional-safeguards-protect-electrical-steel-imports-2026-09-18/</x:v>
      </x:c>
      <x:c r="H120" s="44" t="str">
        <x:v>Reuters reported price floors of roughly EUR2,800-EUR3,400 per metric ton within quotas and EUR3,500 above them. Thyssenkrupp Steel Europe and Poland's Stalprodukt are among the last European producers; Chinese supply represented more than half of EU imports of the steel and downstream products in 2025.</x:v>
      </x:c>
      <x:c r="I120" s="44" t="str">
        <x:v>Supports pricing and utilization mechanism</x:v>
      </x:c>
      <x:c r="J120" s="44" t="n">
        <x:v>5</x:v>
      </x:c>
      <x:c r="K120" s="44" t="str">
        <x:v>The measure is provisional for 155 days. Beneficiary exposure is indirect or illiquid, and there is no reliable post-announcement market confirmation yet.</x:v>
      </x:c>
    </x:row>
    <x:row r="121">
      <x:c r="A121" t="str">
        <x:v>EV-2026-116</x:v>
      </x:c>
      <x:c r="B121" t="str">
        <x:v>EEI-2026-009</x:v>
      </x:c>
      <x:c r="C121" s="21" t="n">
        <x:v>46284.33085648148</x:v>
      </x:c>
      <x:c r="D121" t="str">
        <x:v>Physical supply confirmation</x:v>
      </x:c>
      <x:c r="E121" t="str">
        <x:v>Reuters / Bloomberg reporting</x:v>
      </x:c>
      <x:c r="F121" t="str">
        <x:v>High quality reporting</x:v>
      </x:c>
      <x:c r="G121" s="44" t="str">
        <x:v>https://www.reuters.com/business/energy/aramco-halts-october-crude-deliveries-some-european-refiners-after-pipeline-2026-09-18/</x:v>
      </x:c>
      <x:c r="H121" s="44" t="str">
        <x:v>Saudi Aramco halted October term crude deliveries to at least two European refiners after the East-West pipeline attack. Buyers sought North Sea replacement barrels while partial pipeline restart was expected sooner than full restoration.</x:v>
      </x:c>
      <x:c r="I121" s="44" t="str">
        <x:v>Strengthens feedstock-scarcity mechanism</x:v>
      </x:c>
      <x:c r="J121" s="44" t="n">
        <x:v>4</x:v>
      </x:c>
      <x:c r="K121" s="44" t="str">
        <x:v>Aramco did not immediately comment, and partial restoration plus alternative barrels could reduce the disruption before it reaches refinery throughput or margins.</x:v>
      </x:c>
    </x:row>
    <x:row r="122">
      <x:c r="A122" t="str">
        <x:v>EV-2026-117</x:v>
      </x:c>
      <x:c r="B122" t="str">
        <x:v>EEI-2026-009</x:v>
      </x:c>
      <x:c r="C122" s="21" t="n">
        <x:v>46284.33085648148</x:v>
      </x:c>
      <x:c r="D122" t="str">
        <x:v>Policy intervention modifier</x:v>
      </x:c>
      <x:c r="E122" t="str">
        <x:v>Reuters</x:v>
      </x:c>
      <x:c r="F122" t="str">
        <x:v>High quality reporting on official comments</x:v>
      </x:c>
      <x:c r="G122" s="44" t="str">
        <x:v>https://www.reuters.com/business/energy/frances-macron-says-g7-will-meet-discuss-energy-crisis-coming-weeks-2026-09-18/</x:v>
      </x:c>
      <x:c r="H122" s="44" t="str">
        <x:v>French President Emmanuel Macron said a G7 energy meeting would consider additional strategic-reserve releases or lifting restrictions to secure supplies during the energy crisis.</x:v>
      </x:c>
      <x:c r="I122" s="44" t="str">
        <x:v>Contradicts durability and caps trading edge</x:v>
      </x:c>
      <x:c r="J122" s="44" t="n">
        <x:v>4</x:v>
      </x:c>
      <x:c r="K122" s="44" t="str">
        <x:v>No coordinated release has been agreed. Reserve action can soften prices and logistics temporarily but may not cure a persistent physical chokepoint or refinery outage.</x:v>
      </x:c>
    </x:row>
    <x:row r="123">
      <x:c r="A123" t="str">
        <x:v>EV-2026-118</x:v>
      </x:c>
      <x:c r="B123"/>
      <x:c r="C123" s="21" t="n">
        <x:v>46284.33085648148</x:v>
      </x:c>
      <x:c r="D123" t="str">
        <x:v>Rejected government-award trigger</x:v>
      </x:c>
      <x:c r="E123" t="str">
        <x:v>Department of War</x:v>
      </x:c>
      <x:c r="F123" t="str">
        <x:v>Primary government contract announcement</x:v>
      </x:c>
      <x:c r="G123" s="44" t="str">
        <x:v>https://www.war.gov/News/Contracts/Contract/Article/4605498/contracts-for-sept-18-2026/</x:v>
      </x:c>
      <x:c r="H123" s="44" t="str">
        <x:v>Lockheed Martin Corp., parent Lockheed Martin, received Navy modification P00002 to IDIQ contract N0001926D0010. The $871,243,964 ceiling increase adds F-35 site-activation and sustainment capacity through February 2031; no funds were obligated at award, work is 90% El Segundo and 10% Fort Worth, and the modification was not competed. The relevant category is F-35 sustainment/support equipment; public NAICS or PSC detail was not identified in the announcement.</x:v>
      </x:c>
      <x:c r="I123" s="44" t="str">
        <x:v>Rejected as routine modification, not new award</x:v>
      </x:c>
      <x:c r="J123" s="44" t="n">
        <x:v>4</x:v>
      </x:c>
      <x:c r="K123" s="44" t="str">
        <x:v>Current and potential incremental value are the same ceiling increase, but obligation is zero until orders issue. Against Lockheed Martin's scale and established F-35 backlog, the change is not a distinct surprise or independently investable thesis.</x:v>
      </x:c>
    </x:row>
    <x:row r="124">
      <x:c r="A124" t="str">
        <x:v>EV-2026-119</x:v>
      </x:c>
      <x:c r="B124"/>
      <x:c r="C124" s="21" t="n">
        <x:v>46284.33085648148</x:v>
      </x:c>
      <x:c r="D124" t="str">
        <x:v>Rejected Motley Fool trigger</x:v>
      </x:c>
      <x:c r="E124" t="str">
        <x:v>The Motley Fool — Neil Patel</x:v>
      </x:c>
      <x:c r="F124" t="str">
        <x:v>Idea generator only</x:v>
      </x:c>
      <x:c r="G124" s="44" t="str">
        <x:v>https://www.fool.com/investing/2026/09/19/sofi-technologies-stock-buy-sell-hold-52-week-high/</x:v>
      </x:c>
      <x:c r="H124" s="44" t="str">
        <x:v>Free editorial at 5:00 a.m. ET recommended SOFI after a 49% drawdown, citing member growth, revenue growth and improving credit. The author and Motley Fool disclosed no position. Reuters independently confirmed strong July Q2 growth but also that an unchanged profit forecast drove a 9% post-report decline.</x:v>
      </x:c>
      <x:c r="I124" s="44" t="str">
        <x:v>Rejected; no new dated primary catalyst</x:v>
      </x:c>
      <x:c r="J124" s="44" t="n">
        <x:v>3</x:v>
      </x:c>
      <x:c r="K124" s="44" t="str">
        <x:v>Ticker SOFI; claimed variable revenue, member growth, credit performance and profit over five years. The underlying event is July earnings, credit risk remains the key bear case, and the article does not create a new entry trigger beyond price weakness.</x:v>
      </x:c>
    </x:row>
    <x:row r="125">
      <x:c r="A125" t="str">
        <x:v>EV-2026-120</x:v>
      </x:c>
      <x:c r="B125"/>
      <x:c r="C125" s="21" t="n">
        <x:v>46284.33085648148</x:v>
      </x:c>
      <x:c r="D125" t="str">
        <x:v>Rejected Motley Fool trigger</x:v>
      </x:c>
      <x:c r="E125" t="str">
        <x:v>The Motley Fool — Daniel Sparks</x:v>
      </x:c>
      <x:c r="F125" t="str">
        <x:v>Idea generator only</x:v>
      </x:c>
      <x:c r="G125" s="44" t="str">
        <x:v>https://www.fool.com/investing/2026/09/19/sandisk-joins-the-s-and-p-100-on-monday-the-same-day-nike-leaves-it/</x:v>
      </x:c>
      <x:c r="H125" s="44" t="str">
        <x:v>Free editorial at 12:53 a.m. ET discussed SNDK's September 21 S&amp;P 100 inclusion and NKE removal. The author and clients disclosed no positions; Motley Fool disclosed a Nike position. The article estimated only modest incremental index demand because Sandisk was already in the S&amp;P 500 and reported an 11% Friday jump.</x:v>
      </x:c>
      <x:c r="I125" s="44" t="str">
        <x:v>Rejected as already-priced index-flow timing</x:v>
      </x:c>
      <x:c r="J125" s="44" t="n">
        <x:v>3</x:v>
      </x:c>
      <x:c r="K125" s="44" t="str">
        <x:v>Tickers SNDK and NKE; claimed variable passive index demand over days. The article itself estimates flows small relative to normal volume, Friday supplied a sharp pre-event move, and slowing sequential growth leaves poor reward-to-invalidation for a fresh thesis.</x:v>
      </x:c>
    </x:row>
    <x:row r="126">
      <x:c r="A126" t="str">
        <x:v>EV-2026-121</x:v>
      </x:c>
      <x:c r="B126"/>
      <x:c r="C126" s="21" t="n">
        <x:v>46284.33085648148</x:v>
      </x:c>
      <x:c r="D126" t="str">
        <x:v>Rejected Motley Fool trigger</x:v>
      </x:c>
      <x:c r="E126" t="str">
        <x:v>The Motley Fool — Rick Orford</x:v>
      </x:c>
      <x:c r="F126" t="str">
        <x:v>Idea generator only</x:v>
      </x:c>
      <x:c r="G126" s="44" t="str">
        <x:v>https://www.fool.com/investing/2026/09/19/got-1000-2-no-brainer-nuclear-stocks-to-buy-right/</x:v>
      </x:c>
      <x:c r="H126" s="44" t="str">
        <x:v>Free editorial at 1:30 a.m. ET named OKLO and CCJ on rising nuclear demand. The author disclosed a Meta position; Motley Fool disclosed a Cameco position and recommendation. Oklo remained pre-revenue with a reported $124.2 million operating loss, while Cameco is an established uranium and Westinghouse exposure.</x:v>
      </x:c>
      <x:c r="I126" s="44" t="str">
        <x:v>Rejected as non-distinct secular theme</x:v>
      </x:c>
      <x:c r="J126" s="44" t="n">
        <x:v>2</x:v>
      </x:c>
      <x:c r="K126" s="44" t="str">
        <x:v>Tickers OKLO and CCJ; claimed variable nuclear demand and revenue over years. No new dated catalyst or favorable entry structure was identified, and Oklo's pre-revenue execution risk is materially different from Cameco's commodity and Westinghouse exposure.</x:v>
      </x:c>
    </x:row>
    <x:row r="127">
      <x:c r="A127" t="str">
        <x:v>EV-2026-122</x:v>
      </x:c>
      <x:c r="B127"/>
      <x:c r="C127" s="21" t="n">
        <x:v>46284.33085648148</x:v>
      </x:c>
      <x:c r="D127" t="str">
        <x:v>Rejected Motley Fool trigger</x:v>
      </x:c>
      <x:c r="E127" t="str">
        <x:v>The Motley Fool — Daniel Sparks</x:v>
      </x:c>
      <x:c r="F127" t="str">
        <x:v>Idea generator only</x:v>
      </x:c>
      <x:c r="G127" s="44" t="str">
        <x:v>https://www.fool.com/investing/2026/09/19/semiconductor-stocks-to-buy-and-hold-through-2030/</x:v>
      </x:c>
      <x:c r="H127" s="44" t="str">
        <x:v>Free editorial at 5:17 a.m. ET favored NVDA, AVGO and MRVL and held MU, using already-published company growth and guidance. The author and clients disclosed no positions; Motley Fool disclosed positions and recommendations in all four.</x:v>
      </x:c>
      <x:c r="I127" s="44" t="str">
        <x:v>Rejected as non-distinct and already repriced</x:v>
      </x:c>
      <x:c r="J127" s="44" t="n">
        <x:v>2</x:v>
      </x:c>
      <x:c r="K127" s="44" t="str">
        <x:v>Tickers NVDA, AVGO, MRVL and MU; claimed variable AI-chip revenue and margin durability through 2030. The article adds no new primary event, valuations and recent gains already incorporate strong growth, and the semiconductor-cycle bear case remains material.</x:v>
      </x:c>
    </x:row>
    <x:row r="128">
      <x:c r="A128" t="str">
        <x:v>EV-2026-123</x:v>
      </x:c>
      <x:c r="B128"/>
      <x:c r="C128" s="21" t="n">
        <x:v>46284.33085648148</x:v>
      </x:c>
      <x:c r="D128" t="str">
        <x:v>Rejected Motley Fool trigger</x:v>
      </x:c>
      <x:c r="E128" t="str">
        <x:v>The Motley Fool — Ryan Vanzo</x:v>
      </x:c>
      <x:c r="F128" t="str">
        <x:v>Idea generator only</x:v>
      </x:c>
      <x:c r="G128" s="44" t="str">
        <x:v>https://www.fool.com/investing/2026/09/19/3-wall-street-analysts-predict-100-upside-for-plug/</x:v>
      </x:c>
      <x:c r="H128" s="44" t="str">
        <x:v>Free editorial at 2:05 a.m. ET reviewed bullish analyst targets for PLUG but explicitly rejected the stock. The author disclosed no position; Motley Fool disclosed no Plug Power position or recommendation.</x:v>
      </x:c>
      <x:c r="I128" s="44" t="str">
        <x:v>Rejected; analyst targets are not confirmation</x:v>
      </x:c>
      <x:c r="J128" s="44" t="n">
        <x:v>2</x:v>
      </x:c>
      <x:c r="K128" s="44" t="str">
        <x:v>Ticker PLUG; claimed variable hydrogen revenue and cash burn over years. No new primary catalyst was established, and the writer's own conclusion plus financing and execution risk fail the basic escalation threshold.</x:v>
      </x:c>
    </x:row>
    <x:row r="129">
      <x:c r="A129" t="str">
        <x:v>EV-2026-124</x:v>
      </x:c>
      <x:c r="B129" t="str">
        <x:v>EEI-2026-003</x:v>
      </x:c>
      <x:c r="C129" s="53" t="n">
        <x:v>46284.4750462963</x:v>
      </x:c>
      <x:c r="D129" t="str">
        <x:v>Final market confirmation</x:v>
      </x:c>
      <x:c r="E129" t="str">
        <x:v>Reuters / market data</x:v>
      </x:c>
      <x:c r="F129" t="str">
        <x:v>High quality reporting and exchange quote data</x:v>
      </x:c>
      <x:c r="G129" s="44" t="str">
        <x:v>https://www.reuters.com/business/nasdaq-futures-lead-wall-st-gains-oil-retreat-eases-inflation-worries-2026-09-18/</x:v>
      </x:c>
      <x:c r="H129" s="44" t="str">
        <x:v>The S&amp;P 500 gained 0.17% and Nasdaq 0.40% on technology leadership, but decliners led 1.78-to-1 on the NYSE and 1.42-to-1 on Nasdaq; the 10-year Treasury yield topped 5% and crude stayed above $100.</x:v>
      </x:c>
      <x:c r="I129" s="44" t="str">
        <x:v>Weakens breadth mechanism</x:v>
      </x:c>
      <x:c r="J129" s="44" t="n">
        <x:v>5</x:v>
      </x:c>
      <x:c r="K129" s="44" t="str">
        <x:v>Final candidate closes reinforced the contradiction: RSP, IWM and XBI lagged SPY. XLI showed relative strength, while CPER rose and XLB fell sharply.</x:v>
      </x:c>
    </x:row>
    <x:row r="130">
      <x:c r="A130" t="str">
        <x:v>EV-2026-125</x:v>
      </x:c>
      <x:c r="B130" t="str">
        <x:v>EEI-2026-003</x:v>
      </x:c>
      <x:c r="C130" s="53" t="n">
        <x:v>46284.4750462963</x:v>
      </x:c>
      <x:c r="D130" t="str">
        <x:v>Political trigger update</x:v>
      </x:c>
      <x:c r="E130" t="str">
        <x:v>Reuters</x:v>
      </x:c>
      <x:c r="F130" t="str">
        <x:v>High quality reporting</x:v>
      </x:c>
      <x:c r="G130" s="44" t="str">
        <x:v>https://www.reuters.com/legal/government/lingering-feuds-threaten-democrats-bid-reclaim-us-congress-2026-09-19/</x:v>
      </x:c>
      <x:c r="H130" s="44" t="str">
        <x:v>Reuters reported unresolved coordination and endorsement disputes in several competitive states while control of both congressional chambers remains at stake.</x:v>
      </x:c>
      <x:c r="I130" s="44" t="str">
        <x:v>Confirms uncertainty; no control outcome</x:v>
      </x:c>
      <x:c r="J130" s="44" t="n">
        <x:v>4</x:v>
      </x:c>
      <x:c r="K130" s="44" t="str">
        <x:v>The reporting may affect campaign execution, but it does not independently establish House or Senate control or a specific economic-policy result.</x:v>
      </x:c>
    </x:row>
    <x:row r="131">
      <x:c r="A131" t="str">
        <x:v>EV-2026-126</x:v>
      </x:c>
      <x:c r="B131" t="str">
        <x:v>EEI-2026-003</x:v>
      </x:c>
      <x:c r="C131" s="53" t="n">
        <x:v>46284.4750462963</x:v>
      </x:c>
      <x:c r="D131" t="str">
        <x:v>Sector policy modifier</x:v>
      </x:c>
      <x:c r="E131" t="str">
        <x:v>Reuters</x:v>
      </x:c>
      <x:c r="F131" t="str">
        <x:v>High quality reporting</x:v>
      </x:c>
      <x:c r="G131" s="44" t="str">
        <x:v>https://www.reuters.com/legal/government/democrats-try-ride-data-center-backlash-election-victory-rural-us-midwest-2026-09-19/</x:v>
      </x:c>
      <x:c r="H131" s="44" t="str">
        <x:v>Ohio's governor suspended new data-center tax-exemption applications pending reforms, Defiance imposed a six-month approval moratorium, and competing policy proposals would make developers bear more power and infrastructure costs.</x:v>
      </x:c>
      <x:c r="I131" s="44" t="str">
        <x:v>Weakens indiscriminate data-center sector mapping</x:v>
      </x:c>
      <x:c r="J131" s="44" t="n">
        <x:v>4</x:v>
      </x:c>
      <x:c r="K131" s="44" t="str">
        <x:v>This is a state and local policy modifier, not a national congressional trigger. It raises execution risk for broad XLI/XLB expressions tied to data-center construction.</x:v>
      </x:c>
    </x:row>
    <x:row r="132">
      <x:c r="A132" t="str">
        <x:v>EV-2026-127</x:v>
      </x:c>
      <x:c r="B132" t="str">
        <x:v>EEI-2026-009</x:v>
      </x:c>
      <x:c r="C132" s="21" t="n">
        <x:v>46285.3341319444</x:v>
      </x:c>
      <x:c r="D132" t="str">
        <x:v>Refinery disruption confirmation</x:v>
      </x:c>
      <x:c r="E132" t="str">
        <x:v>Reuters</x:v>
      </x:c>
      <x:c r="F132" t="str">
        <x:v>High quality reporting</x:v>
      </x:c>
      <x:c r="G132" s="44" t="str">
        <x:v>https://www.reuters.com/world/europe/two-dead-moscow-region-drones-hit-oil-refinery-russian-capital-2026-09-20/</x:v>
      </x:c>
      <x:c r="H132" s="44" t="str">
        <x:v>A large Ukrainian drone attack damaged a unit at Moscow's Gazprom Neft refinery. The strike extends the sequence of Russian refinery disruptions while global diesel supply is already constrained.</x:v>
      </x:c>
      <x:c r="I132" s="44" t="str">
        <x:v>Strengthens refinery-capacity scarcity</x:v>
      </x:c>
      <x:c r="J132" s="44" t="n">
        <x:v>4</x:v>
      </x:c>
      <x:c r="K132" s="44" t="str">
        <x:v>Damage and downtime were not yet fully quantified. Russia may redirect output, repair capacity or use inventories, so the event confirms stress but not its duration.</x:v>
      </x:c>
    </x:row>
    <x:row r="133">
      <x:c r="A133" t="str">
        <x:v>EV-2026-128</x:v>
      </x:c>
      <x:c r="B133" t="str">
        <x:v>EEI-2026-009</x:v>
      </x:c>
      <x:c r="C133" s="21" t="n">
        <x:v>46285.3341319444</x:v>
      </x:c>
      <x:c r="D133" t="str">
        <x:v>Substitution and demand modifier</x:v>
      </x:c>
      <x:c r="E133" t="str">
        <x:v>Financial Times</x:v>
      </x:c>
      <x:c r="F133" t="str">
        <x:v>High quality reporting using observable fuel prices</x:v>
      </x:c>
      <x:c r="G133" s="44" t="str">
        <x:v>https://www.ft.com/content/e2cbfd2e-ee56-4d8b-a403-cbaae4cce191</x:v>
      </x:c>
      <x:c r="H133" s="44" t="str">
        <x:v>European marine biodiesel was reported near $985 per metric ton versus about $1,528.50 for marine gasoil, while EU emissions rules improve the compliance economics of switching.</x:v>
      </x:c>
      <x:c r="I133" s="44" t="str">
        <x:v>Contradicts unlimited fossil-diesel demand</x:v>
      </x:c>
      <x:c r="J133" s="44" t="n">
        <x:v>5</x:v>
      </x:c>
      <x:c r="K133" s="44" t="str">
        <x:v>Availability, blending limits and vessel compatibility constrain immediate substitution. The price inversion is nevertheless a concrete cap on the durability of extreme marine-gasoil demand.</x:v>
      </x:c>
    </x:row>
    <x:row r="134">
      <x:c r="A134" t="str">
        <x:v>EV-2026-129</x:v>
      </x:c>
      <x:c r="B134" t="str">
        <x:v>EEI-2026-009</x:v>
      </x:c>
      <x:c r="C134" s="21" t="n">
        <x:v>46285.3341319444</x:v>
      </x:c>
      <x:c r="D134" t="str">
        <x:v>Independent physical-market confirmation</x:v>
      </x:c>
      <x:c r="E134" t="str">
        <x:v>Wall Street Journal</x:v>
      </x:c>
      <x:c r="F134" t="str">
        <x:v>High quality independent reporting</x:v>
      </x:c>
      <x:c r="G134" s="44" t="str">
        <x:v>https://www.wsj.com/business/energy-oil/refineries-are-now-the-main-chokepoint-for-global-energy-supplies-f923e1ba</x:v>
      </x:c>
      <x:c r="H134" s="44" t="str">
        <x:v>The Wall Street Journal identified refineries as the principal global energy chokepoint, with Gulf and Russian diesel exports falling and U.S. diesel reaching $6.45 per gallon on September 18.</x:v>
      </x:c>
      <x:c r="I134" s="44" t="str">
        <x:v>Confirms economic variable and mechanism</x:v>
      </x:c>
      <x:c r="J134" s="44" t="n">
        <x:v>5</x:v>
      </x:c>
      <x:c r="K134" s="44" t="str">
        <x:v>Record product prices invite conservation, substitution, emergency policy action and faster logistics adjustment. The article confirms scarcity but also reinforces headline-chasing risk.</x:v>
      </x:c>
    </x:row>
    <x:row r="135">
      <x:c r="A135" t="str">
        <x:v>EV-2026-130</x:v>
      </x:c>
      <x:c r="B135"/>
      <x:c r="C135" s="21" t="n">
        <x:v>46285.3341319444</x:v>
      </x:c>
      <x:c r="D135" t="str">
        <x:v>Rejected Motley Fool trigger</x:v>
      </x:c>
      <x:c r="E135" t="str">
        <x:v>The Motley Fool — Courtney Carlsen</x:v>
      </x:c>
      <x:c r="F135" t="str">
        <x:v>Idea generator only</x:v>
      </x:c>
      <x:c r="G135" s="44" t="str">
        <x:v>https://www.fool.com/investing/2026/09/20/plug-power-vs-bloom-energy-which-hydrogen-adjacent/</x:v>
      </x:c>
      <x:c r="H135" s="44" t="str">
        <x:v>Free editorial at 2:05 a.m. ET favored Bloom Energy over Plug Power on data-center power demand, revenue growth and profitability. The author disclosed a Bloom Energy position; Motley Fool disclosed positions and recommendations in Bloom Energy and Brookfield.</x:v>
      </x:c>
      <x:c r="I135" s="44" t="str">
        <x:v>Rejected as an already-repriced catalyst</x:v>
      </x:c>
      <x:c r="J135" s="44" t="n">
        <x:v>3</x:v>
      </x:c>
      <x:c r="K135" s="44" t="str">
        <x:v>Ticker BE; claimed variable on-site data-center power revenue, earnings and backlog over years. Independent reporting confirmed Q1 revenue of $751.1 million, a $70.7 million profit, raised 2026 guidance and a $5 billion Brookfield commitment, but the stock had risen more than 1,000% in 12 months. No new dated primary catalyst or favorable entry structure was established.</x:v>
      </x:c>
    </x:row>
    <x:row r="136">
      <x:c r="A136" t="str">
        <x:v>EV-2026-131</x:v>
      </x:c>
      <x:c r="B136"/>
      <x:c r="C136" s="21" t="n">
        <x:v>46285.3341319444</x:v>
      </x:c>
      <x:c r="D136" t="str">
        <x:v>Rejected Motley Fool trigger</x:v>
      </x:c>
      <x:c r="E136" t="str">
        <x:v>The Motley Fool — Parkev Tatevosian, CFA</x:v>
      </x:c>
      <x:c r="F136" t="str">
        <x:v>Idea generator only</x:v>
      </x:c>
      <x:c r="G136" s="44" t="str">
        <x:v>https://www.fool.com/investing/2026/09/20/why-is-everyone-talking-about-planet-labs-stock/</x:v>
      </x:c>
      <x:c r="H136" s="44" t="str">
        <x:v>Free editorial published September 20 used rising geopolitical tension as the reason for renewed attention to Planet Labs. The author disclosed no position; Motley Fool disclosed ownership and a recommendation in Planet Labs and affiliate compensation where applicable.</x:v>
      </x:c>
      <x:c r="I136" s="44" t="str">
        <x:v>Rejected; no new company catalyst</x:v>
      </x:c>
      <x:c r="J136" s="44" t="n">
        <x:v>3</x:v>
      </x:c>
      <x:c r="K136" s="44" t="str">
        <x:v>Ticker PL; claimed variable defense and intelligence imagery demand over years. Independent reporting confirmed 41% quarterly revenue growth and a $900 million backlog, but the stock had already risen several hundred percent over 12 months and a $1.5 billion capital-raise program adds dilution risk. The article relied on September 17 prices and did not identify a new primary event.</x:v>
      </x:c>
    </x:row>
    <x:row r="137">
      <x:c r="A137" t="str">
        <x:v>EV-2026-132</x:v>
      </x:c>
      <x:c r="B137"/>
      <x:c r="C137" s="21" t="n">
        <x:v>46285.3341319444</x:v>
      </x:c>
      <x:c r="D137" t="str">
        <x:v>Rejected government-award and Motley Fool trigger</x:v>
      </x:c>
      <x:c r="E137" t="str">
        <x:v>The Motley Fool — Rich Smith; U.S. Navy contract reporting</x:v>
      </x:c>
      <x:c r="F137" t="str">
        <x:v>Idea generator plus reported government award</x:v>
      </x:c>
      <x:c r="G137" s="44" t="str">
        <x:v>https://www.fool.com/investing/2026/09/20/boeings-mq-25a-stingray-drone-costs-184-million/</x:v>
      </x:c>
      <x:c r="H137" s="44" t="str">
        <x:v>Free editorial at 5:05 a.m. ET highlighted a reported $552 million fixed-price Navy award to Boeing for three MQ-25 Lot One aircraft and long-lead work for three Lot Two aircraft, with completion expected in 2031.</x:v>
      </x:c>
      <x:c r="I137" s="44" t="str">
        <x:v>Rejected pending primary award detail and materiality</x:v>
      </x:c>
      <x:c r="J137" s="44" t="n">
        <x:v>3</x:v>
      </x:c>
      <x:c r="K137" s="44" t="str">
        <x:v>Ticker BA; claimed variable unmanned-aircraft revenue and backlog over years. The accessible public report did not establish the award identifier, obligation amount, competition status, NAICS/PSC or full period-of-performance record. Even the stated ceiling is small relative to Boeing's annual revenue and established defense backlog, so it does not clear the surprise-and-materiality threshold.</x:v>
      </x:c>
    </x:row>
    <x:row r="138">
      <x:c r="A138" t="str">
        <x:v>EV-2026-133</x:v>
      </x:c>
      <x:c r="B138"/>
      <x:c r="C138" s="21" t="n">
        <x:v>46285.3341319444</x:v>
      </x:c>
      <x:c r="D138" t="str">
        <x:v>Rejected Motley Fool trigger</x:v>
      </x:c>
      <x:c r="E138" t="str">
        <x:v>The Motley Fool — Reuben Gregg Brewer</x:v>
      </x:c>
      <x:c r="F138" t="str">
        <x:v>Idea generator only</x:v>
      </x:c>
      <x:c r="G138" s="44" t="str">
        <x:v>https://www.fool.com/investing/2026/09/20/this-overlooked-pipeline-stock-just-became-a-rival/</x:v>
      </x:c>
      <x:c r="H138" s="44" t="str">
        <x:v>Free editorial at 1:15 a.m. ET highlighted MPLX's participation with WhiteWater, Devon, Diamondback and Western Midstream in two Permian-to-Katy natural-gas pipeline projects. The accessible article summary did not provide a new dated transaction beyond the previously announced final investment decision.</x:v>
      </x:c>
      <x:c r="I138" s="44" t="str">
        <x:v>Rejected as stale, non-distinct infrastructure catalyst</x:v>
      </x:c>
      <x:c r="J138" s="44" t="n">
        <x:v>3</x:v>
      </x:c>
      <x:c r="K138" s="44" t="str">
        <x:v>Ticker MPLX; claimed variable pipeline throughput and distributable cash flow over years. Reuters had already reported the final investment decision on August 17. Capital-cost, construction and volume risks remain, and no new primary event or favorable Entry Window was established on September 20.</x:v>
      </x:c>
    </x:row>
    <x:row r="139">
      <x:c r="A139" t="str">
        <x:v>EV-2026-134</x:v>
      </x:c>
      <x:c r="B139" t="str">
        <x:v>EEI-2026-003</x:v>
      </x:c>
      <x:c r="C139" s="53" t="n">
        <x:v>46285.4907638889</x:v>
      </x:c>
      <x:c r="D139" t="str">
        <x:v>Macro contradiction</x:v>
      </x:c>
      <x:c r="E139" t="str">
        <x:v>Reuters</x:v>
      </x:c>
      <x:c r="F139" t="str">
        <x:v>High quality reporting of a Federal Reserve official's remarks</x:v>
      </x:c>
      <x:c r="G139" s="44" t="str">
        <x:v>https://www.reuters.com/business/feds-kashkari-says-inflation-goes-beyond-oil-prices-according-fox-news-interview-2026-09-20/</x:v>
      </x:c>
      <x:c r="H139" s="44" t="str">
        <x:v>Minneapolis Fed President Neel Kashkari said inflation remains too high across the U.S. economy even after excluding volatile energy and food, and supported the September quarter-point rate increase.</x:v>
      </x:c>
      <x:c r="I139" s="44" t="str">
        <x:v>Strengthens inflation-to-rates contradiction</x:v>
      </x:c>
      <x:c r="J139" s="44" t="n">
        <x:v>5</x:v>
      </x:c>
      <x:c r="K139" s="44" t="str">
        <x:v>This weakens the idea that an oil retreat by itself would clear the macro hurdle for broadening. It does not invalidate the midterm uncertainty-relief mechanism, but it lowers the near-term trading edge.</x:v>
      </x:c>
    </x:row>
    <x:row r="140">
      <x:c r="A140" t="str">
        <x:v>EV-2026-135</x:v>
      </x:c>
      <x:c r="B140" t="str">
        <x:v>EEI-2026-003</x:v>
      </x:c>
      <x:c r="C140" s="53" t="n">
        <x:v>46285.4907638889</x:v>
      </x:c>
      <x:c r="D140" t="str">
        <x:v>Trade and sector-policy modifier</x:v>
      </x:c>
      <x:c r="E140" t="str">
        <x:v>Reuters</x:v>
      </x:c>
      <x:c r="F140" t="str">
        <x:v>High quality reporting</x:v>
      </x:c>
      <x:c r="G140" s="44" t="str">
        <x:v>https://www.reuters.com/business/finance/us-treasurys-bessent-chinas-he-launch-talks-ai-trade-critical-minerals-2026-09-20/</x:v>
      </x:c>
      <x:c r="H140" s="44" t="str">
        <x:v>U.S. and Chinese officials began talks on tariffs, AI guardrails and critical-mineral flows ahead of a presidential summit. The trade truce expires November 10, and no agreement had been announced during this check.</x:v>
      </x:c>
      <x:c r="I140" s="44" t="str">
        <x:v>Mixed modifier; no election trigger</x:v>
      </x:c>
      <x:c r="J140" s="44" t="n">
        <x:v>4</x:v>
      </x:c>
      <x:c r="K140" s="44" t="str">
        <x:v>Incremental de-escalation could help industrial, materials and technology supply chains, while renewed tariffs would be adverse. The talks do not establish House or Senate control or a clean candidate-sector signal.</x:v>
      </x:c>
    </x:row>
    <x:row r="141">
      <x:c r="A141" t="str">
        <x:v>EV-2026-136</x:v>
      </x:c>
      <x:c r="B141" t="str">
        <x:v>EEI-2026-002</x:v>
      </x:c>
      <x:c r="C141" s="21" t="n">
        <x:v>46286.35158564815</x:v>
      </x:c>
      <x:c r="D141" t="str">
        <x:v>Supporting supply evidence</x:v>
      </x:c>
      <x:c r="E141" t="str">
        <x:v>Reuters reporting of QatarEnergy CEO remarks</x:v>
      </x:c>
      <x:c r="F141" t="str">
        <x:v>High quality reporting of company statements</x:v>
      </x:c>
      <x:c r="G141" s="44" t="str">
        <x:v>https://www.reuters.com/business/energy/qatarenergy-says-hormuz-crisis-may-delay-lng-expansion-projects-2026-09-21/</x:v>
      </x:c>
      <x:c r="H141" s="44" t="str">
        <x:v>QatarEnergy said attacks disabled 17% of national LNG capacity, repairs to two trains may take three years and later North Field expansion trains depend on restoration of Hormuz logistics.</x:v>
      </x:c>
      <x:c r="I141" s="44" t="str">
        <x:v>Strengthens duration and mechanism</x:v>
      </x:c>
      <x:c r="J141" s="44" t="n">
        <x:v>5</x:v>
      </x:c>
      <x:c r="K141" s="44" t="str">
        <x:v>The first North Field East train remains targeted for first-half 2027. QatarEnergy also said normal gas operations could resume within weeks if Hormuz reopens, which is the central contradiction.</x:v>
      </x:c>
    </x:row>
    <x:row r="142">
      <x:c r="A142" t="str">
        <x:v>EV-2026-137</x:v>
      </x:c>
      <x:c r="B142" t="str">
        <x:v>EEI-2026-002</x:v>
      </x:c>
      <x:c r="C142" s="21" t="n">
        <x:v>46286.35158564815</x:v>
      </x:c>
      <x:c r="D142" t="str">
        <x:v>Modifier and contradiction</x:v>
      </x:c>
      <x:c r="E142" t="str">
        <x:v>Reuters</x:v>
      </x:c>
      <x:c r="F142" t="str">
        <x:v>High quality reporting</x:v>
      </x:c>
      <x:c r="G142" s="44" t="str">
        <x:v>https://www.reuters.com/business/energy/lng-buyers-sellers-seek-greater-supply-diversity-amid-iran-war-2026-09-21/</x:v>
      </x:c>
      <x:c r="H142" s="44" t="str">
        <x:v>Buyers are shifting toward West Africa, Indonesia, North America, Australia and China. New capacity and flexible shipping limited the estimated net 2026 global LNG supply loss to about 5 million tons despite a 36 million-ton Middle East reduction.</x:v>
      </x:c>
      <x:c r="I142" s="44" t="str">
        <x:v>Limits net gas scarcity</x:v>
      </x:c>
      <x:c r="J142" s="44" t="n">
        <x:v>5</x:v>
      </x:c>
      <x:c r="K142" s="44" t="str">
        <x:v>Diversification can cap the coal-switching mechanism, although it does not eliminate regional price and reliability stress.</x:v>
      </x:c>
    </x:row>
    <x:row r="143">
      <x:c r="A143" t="str">
        <x:v>EV-2026-138</x:v>
      </x:c>
      <x:c r="B143" t="str">
        <x:v>EEI-2026-002</x:v>
      </x:c>
      <x:c r="C143" s="21" t="n">
        <x:v>46286.35158564815</x:v>
      </x:c>
      <x:c r="D143" t="str">
        <x:v>Demand confirmation with implementation risk</x:v>
      </x:c>
      <x:c r="E143" t="str">
        <x:v>Reuters citing Indian Central Electricity Authority data</x:v>
      </x:c>
      <x:c r="F143" t="str">
        <x:v>High quality reporting of government data</x:v>
      </x:c>
      <x:c r="G143" s="44" t="str">
        <x:v>https://www.reuters.com/business/energy/nearly-40-indias-coal-power-plants-running-critically-low-fuel-data-show-2026-09-21/</x:v>
      </x:c>
      <x:c r="H143" s="44" t="str">
        <x:v>Seventy-four Indian coal plants had critically low stocks as of September 19 and August coal imports reached a 15-month high as heat-driven demand rose and hydropower lagged.</x:v>
      </x:c>
      <x:c r="I143" s="44" t="str">
        <x:v>Strengthens coal-demand variable</x:v>
      </x:c>
      <x:c r="J143" s="44" t="n">
        <x:v>5</x:v>
      </x:c>
      <x:c r="K143" s="44" t="str">
        <x:v>Analysts described the stock shortage as a temporary logistics issue. Renewable generation rose 21%, and low on-site stocks can constrain generation even when demand is strong.</x:v>
      </x:c>
    </x:row>
    <x:row r="144">
      <x:c r="A144" t="str">
        <x:v>EV-2026-139</x:v>
      </x:c>
      <x:c r="B144" t="str">
        <x:v>EEI-2026-009</x:v>
      </x:c>
      <x:c r="C144" s="21" t="n">
        <x:v>46286.35158564815</x:v>
      </x:c>
      <x:c r="D144" t="str">
        <x:v>Supporting physical and horizon evidence</x:v>
      </x:c>
      <x:c r="E144" t="str">
        <x:v>Reuters citing U.S. EIA and storage data</x:v>
      </x:c>
      <x:c r="F144" t="str">
        <x:v>High quality reporting of primary statistics</x:v>
      </x:c>
      <x:c r="G144" s="44" t="str">
        <x:v>https://www.reuters.com/business/energy/global-diesel-shortage-likely-last-into-2027-as-storage-tanks-drain-2026-09-21/</x:v>
      </x:c>
      <x:c r="H144" s="44" t="str">
        <x:v>U.S. diesel inventories were 107.9 million barrels by September 11, the lowest comparable September level in EIA records since 1982. EIA expects stocks below the five-year low through end-2026 and most of 2027; the U.S. diesel crack hit a record $118.62 per barrel on September 14.</x:v>
      </x:c>
      <x:c r="I144" s="44" t="str">
        <x:v>Strengthens variable and extends duration</x:v>
      </x:c>
      <x:c r="J144" s="44" t="n">
        <x:v>5</x:v>
      </x:c>
      <x:c r="K144" s="44" t="str">
        <x:v>Record margins encourage more output, China is raising exports and high prices can destroy demand. The data strengthen the thesis but do not improve the entry.</x:v>
      </x:c>
    </x:row>
    <x:row r="145">
      <x:c r="A145" t="str">
        <x:v>EV-2026-140</x:v>
      </x:c>
      <x:c r="B145" t="str">
        <x:v>EEI-2026-011</x:v>
      </x:c>
      <x:c r="C145" s="21" t="n">
        <x:v>46286.35158564815</x:v>
      </x:c>
      <x:c r="D145" t="str">
        <x:v>Trigger and market confirmation</x:v>
      </x:c>
      <x:c r="E145" t="str">
        <x:v>Reuters Open Interest — Ron Bousso</x:v>
      </x:c>
      <x:c r="F145" t="str">
        <x:v>Expert analysis using Kpler and LSEG data</x:v>
      </x:c>
      <x:c r="G145" s="44" t="str">
        <x:v>https://www.reuters.com/commentary/reuters-open-interest/hormuz-shuttles-keep-oil-flowing-high-cost-2026-09-21/</x:v>
      </x:c>
      <x:c r="H145" s="44" t="str">
        <x:v>Gulf ship-to-ship crude transfers rose to about 2.5 million bpd in September from 1.4 million in August, while Gulf-to-China VLCC freight exceeded $30 per barrel.</x:v>
      </x:c>
      <x:c r="I145" s="44" t="str">
        <x:v>Confirms freight variable and mechanism</x:v>
      </x:c>
      <x:c r="J145" s="44" t="n">
        <x:v>4</x:v>
      </x:c>
      <x:c r="K145" s="44" t="str">
        <x:v>This is analysis rather than a primary record. The underlying Kpler and LSEG observations are independently observable, while route normalization could reverse the capacity squeeze.</x:v>
      </x:c>
    </x:row>
    <x:row r="146">
      <x:c r="A146" t="str">
        <x:v>EV-2026-141</x:v>
      </x:c>
      <x:c r="B146" t="str">
        <x:v>EEI-2026-011</x:v>
      </x:c>
      <x:c r="C146" s="21" t="n">
        <x:v>46286.35158564815</x:v>
      </x:c>
      <x:c r="D146" t="str">
        <x:v>Independent market confirmation</x:v>
      </x:c>
      <x:c r="E146" t="str">
        <x:v>The Wall Street Journal</x:v>
      </x:c>
      <x:c r="F146" t="str">
        <x:v>High quality independent reporting</x:v>
      </x:c>
      <x:c r="G146" s="44" t="str">
        <x:v>https://www.wsj.com/logistics-report/tanker-shortage-sends-oil-shipping-rates-soaring-d526cdb7</x:v>
      </x:c>
      <x:c r="H146" s="44" t="str">
        <x:v>The cost of hiring a Gulf-loading supertanker exceeded $1 million per day, or about $26 per barrel, as shuttle operations and longer routes tightened vessel availability.</x:v>
      </x:c>
      <x:c r="I146" s="44" t="str">
        <x:v>Confirms record freight and tanker scarcity</x:v>
      </x:c>
      <x:c r="J146" s="44" t="n">
        <x:v>5</x:v>
      </x:c>
      <x:c r="K146" s="44" t="str">
        <x:v>Freight is already at an extreme, so the observation confirms the economics but also raises reversal and headline-chasing risk.</x:v>
      </x:c>
    </x:row>
    <x:row r="147">
      <x:c r="A147" t="str">
        <x:v>EV-2026-142</x:v>
      </x:c>
      <x:c r="B147" t="str">
        <x:v>EEI-2026-011</x:v>
      </x:c>
      <x:c r="C147" s="21" t="n">
        <x:v>46286.35158564815</x:v>
      </x:c>
      <x:c r="D147" t="str">
        <x:v>Corporate industry confirmation</x:v>
      </x:c>
      <x:c r="E147" t="str">
        <x:v>Reuters reporting a Trafigura statement</x:v>
      </x:c>
      <x:c r="F147" t="str">
        <x:v>High quality reporting of company statement</x:v>
      </x:c>
      <x:c r="G147" s="44" t="str">
        <x:v>https://www.reuters.com/business/energy/trafigura-launches-volare-tanker-arm-plans-oslo-listing-2026-09-21/</x:v>
      </x:c>
      <x:c r="H147" s="44" t="str">
        <x:v>Trafigura launched Volare Shipping with six operating VLCCs and eight newbuilds and plans a $500 million private placement before an expected Oslo listing around October 5.</x:v>
      </x:c>
      <x:c r="I147" s="44" t="str">
        <x:v>Confirms industry capital response</x:v>
      </x:c>
      <x:c r="J147" s="44" t="n">
        <x:v>5</x:v>
      </x:c>
      <x:c r="K147" s="44" t="str">
        <x:v>The newbuild program supports near-term earnings capacity but becomes a medium-term oversupply risk. The listing remains conditional on the placement and exchange approval.</x:v>
      </x:c>
    </x:row>
    <x:row r="148">
      <x:c r="A148" t="str">
        <x:v>EV-2026-143</x:v>
      </x:c>
      <x:c r="B148"/>
      <x:c r="C148" s="21" t="n">
        <x:v>46286.35158564815</x:v>
      </x:c>
      <x:c r="D148" t="str">
        <x:v>Rejected Motley Fool trigger</x:v>
      </x:c>
      <x:c r="E148" t="str">
        <x:v>The Motley Fool — Motley Fool Staff</x:v>
      </x:c>
      <x:c r="F148" t="str">
        <x:v>Idea generator only</x:v>
      </x:c>
      <x:c r="G148" s="44" t="str">
        <x:v>https://www.fool.com/investing/2026/09/20/bloom-energys-time-to-power-moat/</x:v>
      </x:c>
      <x:c r="H148" s="44" t="str">
        <x:v>Free editorial podcast published September 20 at 3:06 p.m. ET discussed power-generation bottlenecks as a benefit for Bloom Energy and Enphase. The accessible page did not disclose an individual author position or identify an official paid-service recommendation.</x:v>
      </x:c>
      <x:c r="I148" s="44" t="str">
        <x:v>Rejected as a repeated and already-priced catalyst</x:v>
      </x:c>
      <x:c r="J148" s="44" t="n">
        <x:v>3</x:v>
      </x:c>
      <x:c r="K148" s="44" t="str">
        <x:v>Tickers BE and ENPH. Claimed variable: distributed power revenue and backlog over years through faster time-to-power. Existing primary results support Bloom's growth, but this article added no new dated catalyst. BE traded near $265 with a market value near $86 billion and a triple-digit earnings multiple in early September 21 pricing, leaving unfavorable entry risk.</x:v>
      </x:c>
    </x:row>
    <x:row r="149">
      <x:c r="A149" t="str">
        <x:v>EV-2026-144</x:v>
      </x:c>
      <x:c r="B149" t="str">
        <x:v>EEI-2026-003</x:v>
      </x:c>
      <x:c r="C149" s="21" t="n">
        <x:v>46286.35158564815</x:v>
      </x:c>
      <x:c r="D149" t="str">
        <x:v>Election policy observation</x:v>
      </x:c>
      <x:c r="E149" t="str">
        <x:v>Associated Press</x:v>
      </x:c>
      <x:c r="F149" t="str">
        <x:v>High quality reporting</x:v>
      </x:c>
      <x:c r="G149" s="44" t="str">
        <x:v>https://apnews.com/article/5af8003c075bcecdc0b31d389c1be1b1</x:v>
      </x:c>
      <x:c r="H149" s="44" t="str">
        <x:v>Nevada's 3rd District campaign is using the enacted federal tip-income tax provision as a local policy issue, while tourism weakness and debate over Medicaid and SNAP cuts remain competing economic concerns.</x:v>
      </x:c>
      <x:c r="I149" s="44" t="str">
        <x:v>Factual policy-to-campaign link; no control conclusion</x:v>
      </x:c>
      <x:c r="J149" s="44"/>
      <x:c r="K149" s="44" t="str">
        <x:v>This single-district report does not establish House or Senate control and does not change the thesis stage or Entry Window. It is recorded separately from energy evidence.</x:v>
      </x:c>
    </x:row>
    <x:row r="150">
      <x:c r="A150" t="str">
        <x:v>EV-2026-145</x:v>
      </x:c>
      <x:c r="B150" t="str">
        <x:v>EEI-2026-003</x:v>
      </x:c>
      <x:c r="C150" s="53" t="n">
        <x:v>46286.4643402778</x:v>
      </x:c>
      <x:c r="D150" t="str">
        <x:v>Intraday market confirmation</x:v>
      </x:c>
      <x:c r="E150" t="str">
        <x:v>Reuters and delayed ETF market data</x:v>
      </x:c>
      <x:c r="F150" t="str">
        <x:v>High quality reporting and quoted market data</x:v>
      </x:c>
      <x:c r="G150" s="44" t="str">
        <x:v>https://www.reuters.com/business/wall-st-futures-rise-ai-stocks-gain-oil-prices-slide-2026-09-21/</x:v>
      </x:c>
      <x:c r="H150" s="44" t="str">
        <x:v>Reuters reported positive exchange breadth, oil down more than 3% and the 10-year yield below 5%, but AI-linked stocks led the indexes. Delayed quotes showed SPY +0.98% versus RSP -0.05%; XLI, XLB and XLF also lagged, while XBI outperformed and IWM rose less than SPY.</x:v>
      </x:c>
      <x:c r="I150" s="44" t="str">
        <x:v>Mixed participation; weakens core breadth confirmation</x:v>
      </x:c>
      <x:c r="J150" s="44" t="n">
        <x:v>5</x:v>
      </x:c>
      <x:c r="K150" s="44" t="str">
        <x:v>The favorable macro shift did not translate into equal-weight or cyclical leadership. XBI is the only listed candidate that outperformed SPY during the check; one intraday reading is insufficient for escalation.</x:v>
      </x:c>
    </x:row>
    <x:row r="151">
      <x:c r="A151" t="str">
        <x:v>EV-2026-146</x:v>
      </x:c>
      <x:c r="B151" t="str">
        <x:v>EEI-2026-003</x:v>
      </x:c>
      <x:c r="C151" s="53" t="n">
        <x:v>46286.4643402778</x:v>
      </x:c>
      <x:c r="D151" t="str">
        <x:v>Campaign trigger update</x:v>
      </x:c>
      <x:c r="E151" t="str">
        <x:v>Reuters</x:v>
      </x:c>
      <x:c r="F151" t="str">
        <x:v>High quality factual reporting</x:v>
      </x:c>
      <x:c r="G151" s="44" t="str">
        <x:v>https://www.reuters.com/legal/government/trumps-favorite-2026-campaign-target-is-biden-nearly-900-mentions-counting-2026-09-21/</x:v>
      </x:c>
      <x:c r="H151" s="44" t="str">
        <x:v>Reuters reported that current campaign messaging remains heavily focused on the economy, affordability, immigration and foreign policy with six weeks remaining before the midterm elections.</x:v>
      </x:c>
      <x:c r="I151" s="44" t="str">
        <x:v>Confirms campaign intensity; no chamber-control conclusion</x:v>
      </x:c>
      <x:c r="J151" s="44"/>
      <x:c r="K151" s="44" t="str">
        <x:v>The reporting does not independently establish House or Senate control, a legislative outcome or a direct investable sector catalyst.</x:v>
      </x:c>
    </x:row>
    <x:row r="152">
      <x:c r="A152" t="str">
        <x:v>EV-2026-147</x:v>
      </x:c>
      <x:c r="B152" t="str">
        <x:v>EEI-2026-003</x:v>
      </x:c>
      <x:c r="C152" s="53" t="n">
        <x:v>46286.4643402778</x:v>
      </x:c>
      <x:c r="D152" t="str">
        <x:v>Trade and technology-policy modifier</x:v>
      </x:c>
      <x:c r="E152" t="str">
        <x:v>Reuters</x:v>
      </x:c>
      <x:c r="F152" t="str">
        <x:v>High quality factual reporting</x:v>
      </x:c>
      <x:c r="G152" s="44" t="str">
        <x:v>https://www.reuters.com/world/asia-pacific/us-china-meet-again-ai-safety-two-months-shenzhen-bessent-says-2026-09-21/</x:v>
      </x:c>
      <x:c r="H152" s="44" t="str">
        <x:v>U.S. and Chinese officials agreed to establish an AI-safety dialogue and incident line. They discussed the trade truce but did not announce an extension beyond its November 10 expiration.</x:v>
      </x:c>
      <x:c r="I152" s="44" t="str">
        <x:v>Mixed sector modifier; no election trigger</x:v>
      </x:c>
      <x:c r="J152" s="44"/>
      <x:c r="K152" s="44" t="str">
        <x:v>The dialogue may reduce one technology-policy uncertainty, while the unresolved tariff deadline remains relevant to industrial, materials and technology supply chains. It does not establish a congressional outcome.</x:v>
      </x:c>
    </x:row>
    <x:row r="153">
      <x:c r="A153" t="str">
        <x:v>EV-2026-148</x:v>
      </x:c>
      <x:c r="B153" t="str">
        <x:v>EEI-2026-001</x:v>
      </x:c>
      <x:c r="C153" s="21" t="n">
        <x:v>46286.68511574074</x:v>
      </x:c>
      <x:c r="D153" t="str">
        <x:v>Post-horizon paper-trade outcome</x:v>
      </x:c>
      <x:c r="E153" t="str">
        <x:v>S&amp;P Global Market Intelligence via StockAnalysis</x:v>
      </x:c>
      <x:c r="F153" t="str">
        <x:v>Daily closing market data</x:v>
      </x:c>
      <x:c r="G153" s="44" t="str">
        <x:v>https://stockanalysis.com/etf/bno/history/</x:v>
      </x:c>
      <x:c r="H153" s="44" t="str">
        <x:v>BNO closed September 21 at $58.85 versus the $57.21 September 8 opening entry; the $1,000 paper position was worth $1,028.67, up $28.67 or 2.87%.</x:v>
      </x:c>
      <x:c r="I153" s="44" t="str">
        <x:v>Direct expression remains positive; edge materially reduced</x:v>
      </x:c>
      <x:c r="J153" s="44" t="n">
        <x:v>5</x:v>
      </x:c>
      <x:c r="K153" s="44" t="str">
        <x:v>Fractional shares: 17.47946163. Continued tracking after the September 18 evaluation; the completed thesis outcome is not reopened. Hypothetical paper trade only.</x:v>
      </x:c>
    </x:row>
    <x:row r="154">
      <x:c r="A154" t="str">
        <x:v>EV-2026-149</x:v>
      </x:c>
      <x:c r="B154" t="str">
        <x:v>EEI-2026-001</x:v>
      </x:c>
      <x:c r="C154" s="21" t="n">
        <x:v>46286.68511574074</x:v>
      </x:c>
      <x:c r="D154" t="str">
        <x:v>Post-horizon paper-trade outcome</x:v>
      </x:c>
      <x:c r="E154" t="str">
        <x:v>S&amp;P Global Market Intelligence via StockAnalysis</x:v>
      </x:c>
      <x:c r="F154" t="str">
        <x:v>Daily closing market data</x:v>
      </x:c>
      <x:c r="G154" s="44" t="str">
        <x:v>https://stockanalysis.com/etf/uso/history/</x:v>
      </x:c>
      <x:c r="H154" s="44" t="str">
        <x:v>USO closed September 21 at $148.17 versus the $144.60 September 8 opening entry; the $1,000 paper position was worth $1,024.69, up $24.69 or 2.47%.</x:v>
      </x:c>
      <x:c r="I154" s="44" t="str">
        <x:v>Direct expression remains positive; edge materially reduced</x:v>
      </x:c>
      <x:c r="J154" s="44" t="n">
        <x:v>5</x:v>
      </x:c>
      <x:c r="K154" s="44" t="str">
        <x:v>Fractional shares: 6.91562932. Continued tracking after the September 18 evaluation; the completed thesis outcome is not reopened. Hypothetical paper trade only.</x:v>
      </x:c>
    </x:row>
    <x:row r="155">
      <x:c r="A155" t="str">
        <x:v>EV-2026-150</x:v>
      </x:c>
      <x:c r="B155" t="str">
        <x:v>EEI-2026-001</x:v>
      </x:c>
      <x:c r="C155" s="21" t="n">
        <x:v>46286.68511574074</x:v>
      </x:c>
      <x:c r="D155" t="str">
        <x:v>Post-horizon paper-trade outcome</x:v>
      </x:c>
      <x:c r="E155" t="str">
        <x:v>S&amp;P Global Market Intelligence via StockAnalysis</x:v>
      </x:c>
      <x:c r="F155" t="str">
        <x:v>Daily closing market data</x:v>
      </x:c>
      <x:c r="G155" s="44" t="str">
        <x:v>https://stockanalysis.com/etf/xop/history/</x:v>
      </x:c>
      <x:c r="H155" s="44" t="str">
        <x:v>XOP closed September 21 at $184.72 versus the $193.84 September 8 opening entry; the $1,000 paper position was worth $952.95, down $47.05 or 4.70%.</x:v>
      </x:c>
      <x:c r="I155" s="44" t="str">
        <x:v>Further invalidates indirect producer-equity expression</x:v>
      </x:c>
      <x:c r="J155" s="44" t="n">
        <x:v>5</x:v>
      </x:c>
      <x:c r="K155" s="44" t="str">
        <x:v>Fractional shares: 5.15889393. XOP's widening loss while BNO and USO remain positive reinforces the methodology's clean-expression rule. Hypothetical paper trade only.</x:v>
      </x:c>
    </x:row>
    <x:row r="156">
      <x:c r="A156" t="str">
        <x:v>EV-2026-151</x:v>
      </x:c>
      <x:c r="B156" t="str">
        <x:v>EEI-2026-001</x:v>
      </x:c>
      <x:c r="C156" s="21" t="n">
        <x:v>46286.68511574074</x:v>
      </x:c>
      <x:c r="D156" t="str">
        <x:v>Post-horizon contradiction</x:v>
      </x:c>
      <x:c r="E156" t="str">
        <x:v>Reuters</x:v>
      </x:c>
      <x:c r="F156" t="str">
        <x:v>High quality reporting with shipping data</x:v>
      </x:c>
      <x:c r="G156" s="44" t="str">
        <x:v>https://www.reuters.com/business/energy/saudi-arabia-ramps-up-gulf-oil-exports-after-pipeline-attack-shipping-data-shows-2026-09-21/</x:v>
      </x:c>
      <x:c r="H156" s="44" t="str">
        <x:v>Saudi Gulf crude loadings averaged about 3.7 million bpd from September 12, up from 2.9 million bpd earlier in the month. Satellite data also indicated Saudi flows through Hormuz averaged 2.9 million bpd over the prior six days versus 700,000 bpd in August.</x:v>
      </x:c>
      <x:c r="I156" s="44" t="str">
        <x:v>Weakens the near-term scarcity premium</x:v>
      </x:c>
      <x:c r="J156" s="44" t="n">
        <x:v>5</x:v>
      </x:c>
      <x:c r="K156" s="44" t="str">
        <x:v>The increased loadings and partial recovery helped push Brent below $100 on September 21. This is the clearest current invalidating development, although it does not mean regional logistics have normalized.</x:v>
      </x:c>
    </x:row>
    <x:row r="157">
      <x:c r="A157" t="str">
        <x:v>EV-2026-152</x:v>
      </x:c>
      <x:c r="B157" t="str">
        <x:v>EEI-2026-001</x:v>
      </x:c>
      <x:c r="C157" s="21" t="n">
        <x:v>46286.68511574074</x:v>
      </x:c>
      <x:c r="D157" t="str">
        <x:v>Post-horizon mixed outcome evidence</x:v>
      </x:c>
      <x:c r="E157" t="str">
        <x:v>Reuters Open Interest citing Kpler and LSEG</x:v>
      </x:c>
      <x:c r="F157" t="str">
        <x:v>Expert analysis using market and shipping data</x:v>
      </x:c>
      <x:c r="G157" s="44" t="str">
        <x:v>https://www.reuters.com/commentary/reuters-open-interest/hormuz-shuttles-keep-oil-flowing-high-cost-2026-09-21/</x:v>
      </x:c>
      <x:c r="H157" s="44" t="str">
        <x:v>Hormuz exports reached about 6.5 million bpd in September and ship-to-ship transfers reached about 2.5 million bpd, limiting the acute supply loss, while Gulf-to-China VLCC freight exceeded $30 per barrel.</x:v>
      </x:c>
      <x:c r="I157" s="44" t="str">
        <x:v>Supply adaptation weakens price shock; high costs confirm continuing friction</x:v>
      </x:c>
      <x:c r="J157" s="44" t="n">
        <x:v>4</x:v>
      </x:c>
      <x:c r="K157" s="44" t="str">
        <x:v>The market is adapting rather than remaining paralyzed. The workaround reduces the shortage predicted by the original thesis but preserves unusually high transport costs and system fragility.</x:v>
      </x:c>
    </x:row>
    <x:row r="158">
      <x:c r="A158" t="str">
        <x:v>EV-2026-153</x:v>
      </x:c>
      <x:c r="B158" t="str">
        <x:v>EEI-2026-009</x:v>
      </x:c>
      <x:c r="C158" s="21" t="n">
        <x:v>46287.50418981481</x:v>
      </x:c>
      <x:c r="D158" t="str">
        <x:v>Contradictory supply and policy update</x:v>
      </x:c>
      <x:c r="E158" t="str">
        <x:v>Reuters</x:v>
      </x:c>
      <x:c r="F158" t="str">
        <x:v>High quality reporting</x:v>
      </x:c>
      <x:c r="G158" s="44" t="str">
        <x:v>https://www.reuters.com/business/energy/oil-rises-slightly-ahead-potential-us-iran-talks-2026-09-22/</x:v>
      </x:c>
      <x:c r="H158" s="44" t="str">
        <x:v>Saudi Arabia restarted the East-West Pipeline at a low rate and Iran signaled Hormuz could reopen within seven days if U.S. pressure eases. Brent November fell 2% to $98.33 and WTI November fell 2.65% to $89.92.</x:v>
      </x:c>
      <x:c r="I158" s="44" t="str">
        <x:v>Weakens scarcity duration and entry edge</x:v>
      </x:c>
      <x:c r="J158" s="44" t="n">
        <x:v>5</x:v>
      </x:c>
      <x:c r="K158" s="44" t="str">
        <x:v>Full pipeline restoration could take weeks, and Reuters reported that the refined-product shortage remains acute. The evidence weakens crude-feedstock stress but does not yet normalize diesel inventories or exports.</x:v>
      </x:c>
    </x:row>
    <x:row r="159">
      <x:c r="A159" t="str">
        <x:v>EV-2026-154</x:v>
      </x:c>
      <x:c r="B159" t="str">
        <x:v>EEI-2026-009</x:v>
      </x:c>
      <x:c r="C159" s="21" t="n">
        <x:v>46287.50418981481</x:v>
      </x:c>
      <x:c r="D159" t="str">
        <x:v>Persistent refined-product confirmation</x:v>
      </x:c>
      <x:c r="E159" t="str">
        <x:v>Reuters</x:v>
      </x:c>
      <x:c r="F159" t="str">
        <x:v>High quality reporting</x:v>
      </x:c>
      <x:c r="G159" s="44" t="str">
        <x:v>https://www.reuters.com/business/energy/oil-rises-slightly-ahead-potential-us-iran-talks-2026-09-22/</x:v>
      </x:c>
      <x:c r="H159" s="44" t="str">
        <x:v>Despite easing crude, Reuters reported record diesel prices in Europe and the United States and said further oil downside may be limited until refined-product flows increase.</x:v>
      </x:c>
      <x:c r="I159" s="44" t="str">
        <x:v>Supports separate diesel thesis</x:v>
      </x:c>
      <x:c r="J159" s="44" t="n">
        <x:v>5</x:v>
      </x:c>
      <x:c r="K159" s="44" t="str">
        <x:v>The observation is contemporaneous reporting rather than a new inventory release. Pipeline restoration, substitution, demand destruction and higher refinery runs can still reduce cracks.</x:v>
      </x:c>
    </x:row>
    <x:row r="160">
      <x:c r="A160" t="str">
        <x:v>EV-2026-155</x:v>
      </x:c>
      <x:c r="B160" t="str">
        <x:v>EEI-2026-011</x:v>
      </x:c>
      <x:c r="C160" s="21" t="n">
        <x:v>46287.50418981481</x:v>
      </x:c>
      <x:c r="D160" t="str">
        <x:v>Global freight confirmation and route modifier</x:v>
      </x:c>
      <x:c r="E160" t="str">
        <x:v>Reuters / Signal Maritime</x:v>
      </x:c>
      <x:c r="F160" t="str">
        <x:v>High quality reporting using observable charter data</x:v>
      </x:c>
      <x:c r="G160" s="44" t="str">
        <x:v>https://www.reuters.com/business/energy/traders-push-discounts-venezuelan-oil-shipping-costs-soar-sources-say-2026-09-22/</x:v>
      </x:c>
      <x:c r="H160" s="44" t="str">
        <x:v>Aframax charter cost from Venezuela to the U.S. Gulf rose to about $3.5 million, or $5 per barrel, from $1.35 million at the start of 2026; tanker waits were at their highest since January.</x:v>
      </x:c>
      <x:c r="I160" s="44" t="str">
        <x:v>Confirms global freight variable</x:v>
      </x:c>
      <x:c r="J160" s="44" t="n">
        <x:v>5</x:v>
      </x:c>
      <x:c r="K160" s="44" t="str">
        <x:v>The Saudi pipeline restart may release Gulf shuttle capacity. Venezuelan congestion and Gulf VLCC scarcity are related through fleet availability but are not the same route or vessel class.</x:v>
      </x:c>
    </x:row>
    <x:row r="161">
      <x:c r="A161" t="str">
        <x:v>EV-2026-156</x:v>
      </x:c>
      <x:c r="B161" t="str">
        <x:v>EEI-2026-011</x:v>
      </x:c>
      <x:c r="C161" s="21" t="n">
        <x:v>46287.50418981481</x:v>
      </x:c>
      <x:c r="D161" t="str">
        <x:v>Market contradiction</x:v>
      </x:c>
      <x:c r="E161" t="str">
        <x:v>Delayed premarket quote data</x:v>
      </x:c>
      <x:c r="F161" t="str">
        <x:v>Market data</x:v>
      </x:c>
      <x:c r="G161" s="44" t="str">
        <x:v>https://www.reuters.com/business/energy/saudi-arabia-restarts-east-west-oil-pipeline-resume-exports-yanbu-sources-say-2026-09-22/</x:v>
      </x:c>
      <x:c r="H161" s="44" t="str">
        <x:v>Before the U.S. open, FRO was down about 3.13%, DHT down 3.50% and BOAT roughly flat as Saudi pipeline flows restarted.</x:v>
      </x:c>
      <x:c r="I161" s="44" t="str">
        <x:v>Weakens listed-equity entry</x:v>
      </x:c>
      <x:c r="J161" s="44" t="n">
        <x:v>4</x:v>
      </x:c>
      <x:c r="K161" s="44" t="str">
        <x:v>Premarket quotes can be thin and are not a completed-session signal. The economic freight variable remains elevated even as listed expressions price normalization risk.</x:v>
      </x:c>
    </x:row>
    <x:row r="162">
      <x:c r="A162" t="str">
        <x:v>EV-2026-157</x:v>
      </x:c>
      <x:c r="B162" t="str">
        <x:v>EEI-2026-002</x:v>
      </x:c>
      <x:c r="C162" s="21" t="n">
        <x:v>46287.50418981481</x:v>
      </x:c>
      <x:c r="D162" t="str">
        <x:v>Industrial gas-cost confirmation</x:v>
      </x:c>
      <x:c r="E162" t="str">
        <x:v>Reuters reporting an Ineos statement</x:v>
      </x:c>
      <x:c r="F162" t="str">
        <x:v>High quality reporting of company statement</x:v>
      </x:c>
      <x:c r="G162" s="44" t="str">
        <x:v>https://www.reuters.com/world/uk/ineos-mothball-three-chemical-plants-high-energy-costs-hit-production-2026-09-22/</x:v>
      </x:c>
      <x:c r="H162" s="44" t="str">
        <x:v>Ineos suspended three UK chemical plants employing almost 4,000 people, citing UK gas near $23.51/MMBtu versus $2.84 in the United States.</x:v>
      </x:c>
      <x:c r="I162" s="44" t="str">
        <x:v>Confirms regional gas-cost stress</x:v>
      </x:c>
      <x:c r="J162" s="44" t="n">
        <x:v>4</x:v>
      </x:c>
      <x:c r="K162" s="44" t="str">
        <x:v>The closures show industrial demand destruction as well as energy stress. They do not directly prove coal substitution and therefore do not change the coal thesis classification.</x:v>
      </x:c>
    </x:row>
    <x:row r="163">
      <x:c r="A163" t="str">
        <x:v>EV-2026-158</x:v>
      </x:c>
      <x:c r="B163"/>
      <x:c r="C163" s="21" t="n">
        <x:v>46287.50418981481</x:v>
      </x:c>
      <x:c r="D163" t="str">
        <x:v>Rejected government-award trigger</x:v>
      </x:c>
      <x:c r="E163" t="str">
        <x:v>U.S. Army / Reuters</x:v>
      </x:c>
      <x:c r="F163" t="str">
        <x:v>Primary government announcement plus independent reporting</x:v>
      </x:c>
      <x:c r="G163" s="44" t="str">
        <x:v>https://www.army.mil/article/295521/u_s_army_announces_1_2_billion_contract_for_precision_strike_missile_increment_2_production</x:v>
      </x:c>
      <x:c r="H163" s="44" t="str">
        <x:v>Lockheed Martin Missiles and Fire Control, parent Lockheed Martin, received a U.S. Army PrSM Increment 2 IDIQ contract with a potential ceiling of $1.2 billion after successful fiscal-2026 flight tests. The public announcement did not identify the award number, initial obligation, competition status, NAICS/PSC or period of performance.</x:v>
      </x:c>
      <x:c r="I163" s="44" t="str">
        <x:v>Rejected as non-material to parent and already signaled capacity trend</x:v>
      </x:c>
      <x:c r="J163" s="44" t="n">
        <x:v>5</x:v>
      </x:c>
      <x:c r="K163" s="44" t="str">
        <x:v>Action type: new IDIQ. Potential value: $1.2 billion; current value and obligated amount not disclosed. Announcement is official, but the ceiling is about 1.6% of Lockheed Martin annual revenue and follows an earlier multi-year production expansion, limiting surprise and materiality.</x:v>
      </x:c>
    </x:row>
    <x:row r="164">
      <x:c r="A164" t="str">
        <x:v>EV-2026-159</x:v>
      </x:c>
      <x:c r="B164"/>
      <x:c r="C164" s="21" t="n">
        <x:v>46287.50418981481</x:v>
      </x:c>
      <x:c r="D164" t="str">
        <x:v>Rejected government-funding trigger</x:v>
      </x:c>
      <x:c r="E164" t="str">
        <x:v>U.S. Department of Energy / Reuters</x:v>
      </x:c>
      <x:c r="F164" t="str">
        <x:v>Primary selection notice plus independent reporting</x:v>
      </x:c>
      <x:c r="G164" s="44" t="str">
        <x:v>https://www.energy.gov/hgeo/geothermal/articles/21-projects-selected-advance-egs-field-tests-and-exploration-drilling</x:v>
      </x:c>
      <x:c r="H164" s="44" t="str">
        <x:v>DOE selected 21 geothermal field-test and exploration projects for up to $99 million in first-budget-period funding. Recipients include Fervo, Quaise, Zanskar, XGS and Invenergy. Selection begins award negotiations and is not a funding commitment.</x:v>
      </x:c>
      <x:c r="I164" s="44" t="str">
        <x:v>Rejected pending awards and company-level materiality</x:v>
      </x:c>
      <x:c r="J164" s="44" t="n">
        <x:v>5</x:v>
      </x:c>
      <x:c r="K164" s="44" t="str">
        <x:v>This is a portfolio of conditional selections, not final obligations. Individual award identifiers, negotiated values and public-company materiality are unavailable; Fervo is the only named listed recipient in Reuters reporting and its two-project share was not disclosed.</x:v>
      </x:c>
    </x:row>
    <x:row r="165">
      <x:c r="A165" t="str">
        <x:v>EV-2026-160</x:v>
      </x:c>
      <x:c r="B165"/>
      <x:c r="C165" s="21" t="n">
        <x:v>46287.50418981481</x:v>
      </x:c>
      <x:c r="D165" t="str">
        <x:v>Rejected Motley Fool trigger</x:v>
      </x:c>
      <x:c r="E165" t="str">
        <x:v>The Motley Fool — Jeremy Bowman</x:v>
      </x:c>
      <x:c r="F165" t="str">
        <x:v>Idea generator only</x:v>
      </x:c>
      <x:c r="G165" s="44" t="str">
        <x:v>https://www.fool.com/investing/2026/09/22/meta-stock-is-still-too-cheap/</x:v>
      </x:c>
      <x:c r="H165" s="44" t="str">
        <x:v>Free editorial at 12:30 a.m. ET argued META remains cheap after Muse became the top App Store download and forecast faster revenue growth into 2027. The author owns META and Motley Fool recommends it.</x:v>
      </x:c>
      <x:c r="I165" s="44" t="str">
        <x:v>Rejected as headline-chasing after repricing</x:v>
      </x:c>
      <x:c r="J165" s="44" t="n">
        <x:v>3</x:v>
      </x:c>
      <x:c r="K165" s="44" t="str">
        <x:v>Ticker META; variable: consumer-AI adoption and monetization over quarters. Reuters confirmed early download momentum but the stock rose 11.3% Monday. Meta has not disclosed attributable Muse revenue, while Q2 free cash flow was pressured by capex and legal costs. No favorable entry structure was established.</x:v>
      </x:c>
    </x:row>
    <x:row r="166">
      <x:c r="A166" t="str">
        <x:v>EV-2026-161</x:v>
      </x:c>
      <x:c r="B166"/>
      <x:c r="C166" s="21" t="n">
        <x:v>46287.50418981481</x:v>
      </x:c>
      <x:c r="D166" t="str">
        <x:v>Rejected Motley Fool trigger</x:v>
      </x:c>
      <x:c r="E166" t="str">
        <x:v>The Motley Fool — Keithen Drury</x:v>
      </x:c>
      <x:c r="F166" t="str">
        <x:v>Idea generator only</x:v>
      </x:c>
      <x:c r="G166" s="44" t="str">
        <x:v>https://www.fool.com/investing/2026/09/22/ionq-just-raised-2026-revenue-guidance-this-quantu/</x:v>
      </x:c>
      <x:c r="H166" s="44" t="str">
        <x:v>Free editorial at 1:00 a.m. ET called IONQ a buy after the SkyWater acquisition raised 2026 revenue guidance. The author owns IONQ and Motley Fool recommends it.</x:v>
      </x:c>
      <x:c r="I166" s="44" t="str">
        <x:v>Rejected as stale acquisition catalyst with valuation risk</x:v>
      </x:c>
      <x:c r="J166" s="44" t="n">
        <x:v>3</x:v>
      </x:c>
      <x:c r="K166" s="44" t="str">
        <x:v>Ticker IONQ; variable: quantum revenue and vertical-integration economics over years. SkyWater closed July 31, so the catalyst is not new. IONQ remains loss-making and was valued near $14.9 billion at $40.51, leaving substantial commercialization, integration and dilution risk.</x:v>
      </x:c>
    </x:row>
    <x:row r="167">
      <x:c r="A167" t="str">
        <x:v>EV-2026-162</x:v>
      </x:c>
      <x:c r="B167"/>
      <x:c r="C167" s="21" t="n">
        <x:v>46287.50418981481</x:v>
      </x:c>
      <x:c r="D167" t="str">
        <x:v>Rejected Motley Fool trigger</x:v>
      </x:c>
      <x:c r="E167" t="str">
        <x:v>The Motley Fool — Rick Orford</x:v>
      </x:c>
      <x:c r="F167" t="str">
        <x:v>Idea generator only</x:v>
      </x:c>
      <x:c r="G167" s="44" t="str">
        <x:v>https://www.fool.com/investing/2026/09/22/prediction-ast-spacemobile-will-be-the-best-perfor/</x:v>
      </x:c>
      <x:c r="H167" s="44" t="str">
        <x:v>Free editorial at 6:10 a.m. ET predicted ASTS would lead space stocks in 2027, citing a 45-60 satellite target, planned AT&amp;T and Verizon beta service and Rakuten/Japan support. The author disclosed no position; Motley Fool recommends ASTS.</x:v>
      </x:c>
      <x:c r="I167" s="44" t="str">
        <x:v>Rejected pending commercial proof and entry discipline</x:v>
      </x:c>
      <x:c r="J167" s="44" t="n">
        <x:v>3</x:v>
      </x:c>
      <x:c r="K167" s="44" t="str">
        <x:v>Ticker ASTS; variable: deployed satellites, service activation and revenue over 2027. The stock was up about 5.7% at $61.89 with an $18.5 billion market value and negative earnings. Execution, funding and dilution risk remain high, and the article did not add a new primary milestone.</x:v>
      </x:c>
    </x:row>
    <x:row r="168">
      <x:c r="A168" t="str">
        <x:v>EV-2026-163</x:v>
      </x:c>
      <x:c r="B168"/>
      <x:c r="C168" s="21" t="n">
        <x:v>46287.50418981481</x:v>
      </x:c>
      <x:c r="D168" t="str">
        <x:v>Rejected Motley Fool trigger</x:v>
      </x:c>
      <x:c r="E168" t="str">
        <x:v>The Motley Fool — Keith Speights</x:v>
      </x:c>
      <x:c r="F168" t="str">
        <x:v>Idea generator only</x:v>
      </x:c>
      <x:c r="G168" s="44" t="str">
        <x:v>https://www.fool.com/investing/2026/09/22/biontech-stock-recently-got-downgraded-but-is-wall/</x:v>
      </x:c>
      <x:c r="H168" s="44" t="str">
        <x:v>Free editorial at 4:44 a.m. ET argued BNTX oncology optionality is underappreciated and highlighted three expected data readouts before year-end. The author disclosed no position; Motley Fool recommends BioNTech.</x:v>
      </x:c>
      <x:c r="I168" s="44" t="str">
        <x:v>Rejected until clinical readouts create primary evidence</x:v>
      </x:c>
      <x:c r="J168" s="44" t="n">
        <x:v>3</x:v>
      </x:c>
      <x:c r="K168" s="44" t="str">
        <x:v>Ticker BNTX; variable: late-stage oncology success and future revenue over years. Trial timing is relevant, but no new result was published. Binary clinical risk and the absence of current oncology cash flows keep this a watch item rather than a distinct thesis.</x:v>
      </x:c>
    </x:row>
    <x:row r="169">
      <x:c r="A169" t="str">
        <x:v>EV-2026-164</x:v>
      </x:c>
      <x:c r="B169" t="str">
        <x:v>EEI-2026-003</x:v>
      </x:c>
      <x:c r="C169" s="21" t="n">
        <x:v>46287.50418981481</x:v>
      </x:c>
      <x:c r="D169" t="str">
        <x:v>Neutral market and policy check</x:v>
      </x:c>
      <x:c r="E169" t="str">
        <x:v>Reuters</x:v>
      </x:c>
      <x:c r="F169" t="str">
        <x:v>High quality reporting</x:v>
      </x:c>
      <x:c r="G169" s="44" t="str">
        <x:v>https://www.reuters.com/business/wall-st-futures-pause-after-ai-rally-focus-mideast-tensions-2026-09-22/</x:v>
      </x:c>
      <x:c r="H169" s="44" t="str">
        <x:v>U.S. futures were nearly flat after an AI-led Nasdaq record; Brent eased and the 10-year Treasury yield was near 4.9%. No factual congressional-control development was established in this scan.</x:v>
      </x:c>
      <x:c r="I169" s="44" t="str">
        <x:v>No election-thesis confirmation</x:v>
      </x:c>
      <x:c r="J169" s="44" t="n">
        <x:v>5</x:v>
      </x:c>
      <x:c r="K169" s="44" t="str">
        <x:v>This is a market and policy observation only. It does not predict or assign a probability to House or Senate control. Narrow AI leadership remains the principal breadth contradiction.</x:v>
      </x:c>
    </x:row>
    <x:row r="170">
      <x:c r="A170" t="str">
        <x:v>EV-2026-165</x:v>
      </x:c>
      <x:c r="B170" t="str">
        <x:v>EEI-2026-003</x:v>
      </x:c>
      <x:c r="C170" s="53" t="n">
        <x:v>46287.64480324074</x:v>
      </x:c>
      <x:c r="D170" t="str">
        <x:v>Intraday breadth and candidate follow-through</x:v>
      </x:c>
      <x:c r="E170" t="str">
        <x:v>Reuters and delayed ETF market data</x:v>
      </x:c>
      <x:c r="F170" t="str">
        <x:v>High quality reporting and quoted market data</x:v>
      </x:c>
      <x:c r="G170" s="44" t="str">
        <x:v>https://www.reuters.com/business/wall-st-futures-pause-after-ai-rally-focus-mideast-tensions-2026-09-22/</x:v>
      </x:c>
      <x:c r="H170" s="44" t="str">
        <x:v>Advancers led 1.62-to-1 on the NYSE and 2.02-to-1 on Nasdaq. Delayed quotes showed SPY +0.02%, RSP -0.02%, IWM +0.40%, XLI -0.14%, XLB +0.93%, XLV +0.83%, XBI +2.34%, XLF -2.24% and CPER +0.79%.</x:v>
      </x:c>
      <x:c r="I170" s="44" t="str">
        <x:v>Improves candidate participation; equal-weight confirmation still absent</x:v>
      </x:c>
      <x:c r="J170" s="44" t="n">
        <x:v>5</x:v>
      </x:c>
      <x:c r="K170" s="44" t="str">
        <x:v>Health care, biotech, materials and small caps participated, but RSP did not outperform SPY and financials fell sharply. Reuters attributed index leadership mainly to large technology stocks; new lows also exceeded new highs.</x:v>
      </x:c>
    </x:row>
    <x:row r="171">
      <x:c r="A171" t="str">
        <x:v>EV-2026-166</x:v>
      </x:c>
      <x:c r="B171" t="str">
        <x:v>EEI-2026-003</x:v>
      </x:c>
      <x:c r="C171" s="53" t="n">
        <x:v>46287.64480324074</x:v>
      </x:c>
      <x:c r="D171" t="str">
        <x:v>Macro and volatility modifier</x:v>
      </x:c>
      <x:c r="E171" t="str">
        <x:v>Reuters and Barron's market reporting</x:v>
      </x:c>
      <x:c r="F171" t="str">
        <x:v>High quality reporting with observable market data</x:v>
      </x:c>
      <x:c r="G171" s="44" t="str">
        <x:v>https://www.reuters.com/world/asia-pacific/yen-squeezed-hawkish-turn-grips-central-banks-2026-09-22/</x:v>
      </x:c>
      <x:c r="H171" s="44" t="str">
        <x:v>Brent fell below $100 after Iran proposed conditional Hormuz reopening, VIX fell near 14.8 and the 10-year yield remained below 5%. Markets nevertheless priced about a 53% chance of another October Federal Reserve increase.</x:v>
      </x:c>
      <x:c r="I171" s="44" t="str">
        <x:v>Reduces immediate oil-volatility headwind; rate risk remains</x:v>
      </x:c>
      <x:c r="J171" s="44" t="n">
        <x:v>4</x:v>
      </x:c>
      <x:c r="K171" s="44" t="str">
        <x:v>The improvement depends on conditional diplomatic developments and has not removed underlying inflation risk. A further rate increase could still restrain equal-weight, small-cap and cyclical participation.</x:v>
      </x:c>
    </x:row>
    <x:row r="172">
      <x:c r="A172" t="str">
        <x:v>EV-2026-167</x:v>
      </x:c>
      <x:c r="B172" t="str">
        <x:v>EEI-2026-003</x:v>
      </x:c>
      <x:c r="C172" s="53" t="n">
        <x:v>46287.64480324074</x:v>
      </x:c>
      <x:c r="D172" t="str">
        <x:v>Election trigger check</x:v>
      </x:c>
      <x:c r="E172" t="str">
        <x:v>Reuters and Cook Political Report public pages</x:v>
      </x:c>
      <x:c r="F172" t="str">
        <x:v>High quality factual reporting</x:v>
      </x:c>
      <x:c r="G172" s="44" t="str">
        <x:v>https://www.reuters.com/world/us/elections/</x:v>
      </x:c>
      <x:c r="H172" s="44" t="str">
        <x:v>Current reporting added polling, campaign-policy statements and a court decision affecting a congressional map. Cook's public chamber-ratings summary showed no newer chamber-wide update during the check.</x:v>
      </x:c>
      <x:c r="I172" s="44" t="str">
        <x:v>No independently confirmed congressional-control trigger</x:v>
      </x:c>
      <x:c r="J172" s="44"/>
      <x:c r="K172" s="44" t="str">
        <x:v>These are factual campaign and legal developments. They do not establish House or Senate control, a legislative outcome or a direct investable sector catalyst.</x:v>
      </x:c>
    </x:row>
    <x:row r="173">
      <x:c r="A173" t="str">
        <x:v>EV-2026-168</x:v>
      </x:c>
      <x:c r="B173" t="str">
        <x:v>EEI-2026-001</x:v>
      </x:c>
      <x:c r="C173" s="21" t="n">
        <x:v>46287.84653935185</x:v>
      </x:c>
      <x:c r="D173" t="str">
        <x:v>Contradictory</x:v>
      </x:c>
      <x:c r="E173" t="str">
        <x:v>Reuters</x:v>
      </x:c>
      <x:c r="F173" t="str">
        <x:v>High quality reporting</x:v>
      </x:c>
      <x:c r="G173" s="44" t="str">
        <x:v>https://www.reuters.com/business/energy/saudi-arabia-restarts-east-west-oil-pipeline-resume-exports-yanbu-sources-say-2026-09-22/</x:v>
      </x:c>
      <x:c r="H173" s="44" t="str">
        <x:v>Saudi Arabia restarted the East-West Pipeline at a low pumping rate and prepared to resume Yanbu exports. Sources said a return toward 4 million bpd would take days and full restoration could take six to eight weeks. Iran also said Hormuz could reopen within seven days if U.S. pressure eased.</x:v>
      </x:c>
      <x:c r="I173" s="44" t="str">
        <x:v>Weakens the remaining scarcity premium</x:v>
      </x:c>
      <x:c r="J173" s="44" t="n">
        <x:v>4</x:v>
      </x:c>
      <x:c r="K173" s="44" t="str">
        <x:v>The disruption is not fully resolved, but the physical bypass restart and a possible diplomatic off-ramp directly counter the conditions that produced the paper trade peak.</x:v>
      </x:c>
    </x:row>
    <x:row r="174">
      <x:c r="A174" t="str">
        <x:v>EV-2026-169</x:v>
      </x:c>
      <x:c r="B174" t="str">
        <x:v>EEI-2026-001</x:v>
      </x:c>
      <x:c r="C174" s="21" t="n">
        <x:v>46287.84653935185</x:v>
      </x:c>
      <x:c r="D174" t="str">
        <x:v>Paper-trade outcome</x:v>
      </x:c>
      <x:c r="E174" t="str">
        <x:v>StockAnalysis market data</x:v>
      </x:c>
      <x:c r="F174" t="str">
        <x:v>Quoted market data</x:v>
      </x:c>
      <x:c r="G174" s="44" t="str">
        <x:v>https://stockanalysis.com/etf/bno/history/</x:v>
      </x:c>
      <x:c r="H174" s="44" t="str">
        <x:v>BNO closed at $57.90 on September 22 versus the $57.21 September 8 opening entry, leaving a 1.21% paper gain.</x:v>
      </x:c>
      <x:c r="I174" s="44" t="str">
        <x:v>Marginally strengthens direct expression</x:v>
      </x:c>
      <x:c r="J174" s="44" t="n">
        <x:v>4</x:v>
      </x:c>
      <x:c r="K174" s="44" t="str">
        <x:v>The Brent-linked fund remains above entry, but it has surrendered most of its peak gain as effective supply conditions improved.</x:v>
      </x:c>
    </x:row>
    <x:row r="175">
      <x:c r="A175" t="str">
        <x:v>EV-2026-170</x:v>
      </x:c>
      <x:c r="B175" t="str">
        <x:v>EEI-2026-001</x:v>
      </x:c>
      <x:c r="C175" s="21" t="n">
        <x:v>46287.84653935185</x:v>
      </x:c>
      <x:c r="D175" t="str">
        <x:v>Paper-trade outcome</x:v>
      </x:c>
      <x:c r="E175" t="str">
        <x:v>StockAnalysis market data</x:v>
      </x:c>
      <x:c r="F175" t="str">
        <x:v>Quoted market data</x:v>
      </x:c>
      <x:c r="G175" s="44" t="str">
        <x:v>https://stockanalysis.com/etf/uso/history/</x:v>
      </x:c>
      <x:c r="H175" s="44" t="str">
        <x:v>USO closed at $144.08 on September 22 versus the $144.60 September 8 opening entry, a 0.36% paper loss.</x:v>
      </x:c>
      <x:c r="I175" s="44" t="str">
        <x:v>Weakens direct expression after horizon</x:v>
      </x:c>
      <x:c r="J175" s="44" t="n">
        <x:v>4</x:v>
      </x:c>
      <x:c r="K175" s="44" t="str">
        <x:v>The direct WTI-linked expression fell slightly below entry after being strongly profitable during the formal evaluation window.</x:v>
      </x:c>
    </x:row>
    <x:row r="176">
      <x:c r="A176" t="str">
        <x:v>EV-2026-171</x:v>
      </x:c>
      <x:c r="B176" t="str">
        <x:v>EEI-2026-001</x:v>
      </x:c>
      <x:c r="C176" s="21" t="n">
        <x:v>46287.84653935185</x:v>
      </x:c>
      <x:c r="D176" t="str">
        <x:v>Paper-trade outcome</x:v>
      </x:c>
      <x:c r="E176" t="str">
        <x:v>StockAnalysis market data</x:v>
      </x:c>
      <x:c r="F176" t="str">
        <x:v>Quoted market data</x:v>
      </x:c>
      <x:c r="G176" s="44" t="str">
        <x:v>https://stockanalysis.com/etf/xop/history/</x:v>
      </x:c>
      <x:c r="H176" s="44" t="str">
        <x:v>XOP closed at $181.61 on September 22 versus the $193.84 September 8 opening entry, a 6.31% paper loss.</x:v>
      </x:c>
      <x:c r="I176" s="44" t="str">
        <x:v>Weakens indirect expression</x:v>
      </x:c>
      <x:c r="J176" s="44" t="n">
        <x:v>4</x:v>
      </x:c>
      <x:c r="K176" s="44" t="str">
        <x:v>The producer-equity fund underperformed the direct crude funds and remains the clearest expression failure in the paper portfolio.</x:v>
      </x:c>
    </x:row>
    <x:row r="177">
      <x:c r="A177" t="str">
        <x:v>EV-2026-172</x:v>
      </x:c>
      <x:c r="B177" t="str">
        <x:v>EEI-2026-009</x:v>
      </x:c>
      <x:c r="C177" s="21" t="n">
        <x:v>46288.49553240741</x:v>
      </x:c>
      <x:c r="D177" t="str">
        <x:v>Policy trigger and physical confirmation</x:v>
      </x:c>
      <x:c r="E177" t="str">
        <x:v>Reuters</x:v>
      </x:c>
      <x:c r="F177" t="str">
        <x:v>High-quality reporting of public statements and observable product markets</x:v>
      </x:c>
      <x:c r="G177" s="44" t="str">
        <x:v>https://www.reuters.com/world/us/trump-says-he-backs-idea-ban-diesel-exports-2026-09-22/</x:v>
      </x:c>
      <x:c r="H177" s="44" t="str">
        <x:v>The U.S. president backed examining a diesel-export ban as the European low-sulphur gasoil premium to Brent reached a record near $95 per barrel. Several officials described full or partial curbs as under review.</x:v>
      </x:c>
      <x:c r="I177" s="44" t="str">
        <x:v>Strengthens scarcity and policy-shock mechanism</x:v>
      </x:c>
      <x:c r="J177" s="44" t="n">
        <x:v>4</x:v>
      </x:c>
      <x:c r="K177" s="44" t="str">
        <x:v>No restriction had been implemented. Energy officials warned that curbs could reduce U.S. refinery runs, raise coastal prices and invite retaliation, so a record crack does not map cleanly to refiner earnings.</x:v>
      </x:c>
    </x:row>
    <x:row r="178">
      <x:c r="A178" t="str">
        <x:v>EV-2026-173</x:v>
      </x:c>
      <x:c r="B178" t="str">
        <x:v>EEI-2026-009</x:v>
      </x:c>
      <x:c r="C178" s="21" t="n">
        <x:v>46288.49553240741</x:v>
      </x:c>
      <x:c r="D178" t="str">
        <x:v>Market confirmation and normalization modifier</x:v>
      </x:c>
      <x:c r="E178" t="str">
        <x:v>Reuters and delayed market data</x:v>
      </x:c>
      <x:c r="F178" t="str">
        <x:v>High-quality reporting with observable commodity and ETF/equity prices</x:v>
      </x:c>
      <x:c r="G178" s="44" t="str">
        <x:v>https://www.reuters.com/business/energy/oil-falls-increased-gulf-supply-hopes-us-iran-talks-2026-09-23/</x:v>
      </x:c>
      <x:c r="H178" s="44" t="str">
        <x:v>Brent traded near $99.62 and WTI near $90.08 after testing two-week lows. CRAK, VLO, MPC and PSX were lower while European gasoil cracks were at a record. Saudi bypass flows, Iraqi exports and diplomacy increased supply-normalization expectations.</x:v>
      </x:c>
      <x:c r="I178" s="44" t="str">
        <x:v>Confirms product scarcity but weakens entry quality</x:v>
      </x:c>
      <x:c r="J178" s="44" t="n">
        <x:v>4</x:v>
      </x:c>
      <x:c r="K178" s="44" t="str">
        <x:v>The divergence between record product cracks and falling refining expressions signals policy, feedstock and already-priced risk. Current structure supports WAIT rather than a chase.</x:v>
      </x:c>
    </x:row>
    <x:row r="179">
      <x:c r="A179" t="str">
        <x:v>EV-2026-174</x:v>
      </x:c>
      <x:c r="B179" t="str">
        <x:v>EEI-2026-011</x:v>
      </x:c>
      <x:c r="C179" s="21" t="n">
        <x:v>46288.49553240741</x:v>
      </x:c>
      <x:c r="D179" t="str">
        <x:v>Physical freight confirmation</x:v>
      </x:c>
      <x:c r="E179" t="str">
        <x:v>Reuters</x:v>
      </x:c>
      <x:c r="F179" t="str">
        <x:v>High-quality reporting of official statements and shipping costs</x:v>
      </x:c>
      <x:c r="G179" s="44" t="str">
        <x:v>https://www.reuters.com/business/energy/saudi-arabia-denies-buying-oil-tankers-after-iraq-blames-it-higher-shipping-2026-09-22/</x:v>
      </x:c>
      <x:c r="H179" s="44" t="str">
        <x:v>Iraqi officials said shipping costs rose from about $26 to $37 per barrel. Saudi Arabia rejected Iraq's claim that it bought 25 tankers but attributed exceptional shipping costs to the regional war and Hormuz disruption.</x:v>
      </x:c>
      <x:c r="I179" s="44" t="str">
        <x:v>Supports tanker-scarcity variable</x:v>
      </x:c>
      <x:c r="J179" s="44" t="n">
        <x:v>4</x:v>
      </x:c>
      <x:c r="K179" s="44" t="str">
        <x:v>The tanker-purchase allegation was denied and the reported cost comparison was not a complete route-by-route freight series. Pipeline restoration and route normalization could release capacity quickly.</x:v>
      </x:c>
    </x:row>
    <x:row r="180">
      <x:c r="A180" t="str">
        <x:v>EV-2026-175</x:v>
      </x:c>
      <x:c r="B180" t="str">
        <x:v>EEI-2026-011</x:v>
      </x:c>
      <x:c r="C180" s="21" t="n">
        <x:v>46288.49553240741</x:v>
      </x:c>
      <x:c r="D180" t="str">
        <x:v>Diplomatic contradiction</x:v>
      </x:c>
      <x:c r="E180" t="str">
        <x:v>Reuters</x:v>
      </x:c>
      <x:c r="F180" t="str">
        <x:v>High-quality diplomatic reporting</x:v>
      </x:c>
      <x:c r="G180" s="44" t="str">
        <x:v>https://www.reuters.com/world/france-mulls-new-un-security-council-resolution-hormuz-diplomats-say-2026-09-22/</x:v>
      </x:c>
      <x:c r="H180" s="44" t="str">
        <x:v>France said it was drafting with the United States a possible U.N. Security Council resolution for an international mission intended to restore commercial movement through Hormuz.</x:v>
      </x:c>
      <x:c r="I180" s="44" t="str">
        <x:v>Raises normalization risk</x:v>
      </x:c>
      <x:c r="J180" s="44" t="n">
        <x:v>4</x:v>
      </x:c>
      <x:c r="K180" s="44" t="str">
        <x:v>The proposal had no implementation timetable, and earlier efforts did not secure China and Russia. It is a modifier rather than evidence that traffic has normalized.</x:v>
      </x:c>
    </x:row>
    <x:row r="181">
      <x:c r="A181" t="str">
        <x:v>EV-2026-176</x:v>
      </x:c>
      <x:c r="B181" t="str">
        <x:v>EEI-2026-003</x:v>
      </x:c>
      <x:c r="C181" s="21" t="n">
        <x:v>46288.49553240741</x:v>
      </x:c>
      <x:c r="D181" t="str">
        <x:v>Neutral election and policy check</x:v>
      </x:c>
      <x:c r="E181" t="str">
        <x:v>Reuters</x:v>
      </x:c>
      <x:c r="F181" t="str">
        <x:v>High-quality factual reporting</x:v>
      </x:c>
      <x:c r="G181" s="44" t="str">
        <x:v>https://www.reuters.com/world/us/trump-says-he-backs-idea-ban-diesel-exports-2026-09-22/</x:v>
      </x:c>
      <x:c r="H181" s="44" t="str">
        <x:v>High fuel prices prompted several candidates in competitive races to call for diesel-export restrictions. No independently confirmed House or Senate control development was established.</x:v>
      </x:c>
      <x:c r="I181" s="44" t="str">
        <x:v>Adds affordability policy issue; no control conclusion</x:v>
      </x:c>
      <x:c r="J181" s="44"/>
      <x:c r="K181" s="44" t="str">
        <x:v>Candidate statements and a policy proposal do not establish chamber control, enacted legislation or a direct investable outcome.</x:v>
      </x:c>
    </x:row>
    <x:row r="182">
      <x:c r="A182" t="str">
        <x:v>EV-2026-177</x:v>
      </x:c>
      <x:c r="B182" t="str">
        <x:v>EEI-2026-003</x:v>
      </x:c>
      <x:c r="C182" s="21" t="n">
        <x:v>46288.49553240741</x:v>
      </x:c>
      <x:c r="D182" t="str">
        <x:v>Mixed market-breadth check</x:v>
      </x:c>
      <x:c r="E182" t="str">
        <x:v>Reuters and delayed ETF market data</x:v>
      </x:c>
      <x:c r="F182" t="str">
        <x:v>High-quality reporting and quoted market data</x:v>
      </x:c>
      <x:c r="G182" s="44" t="str">
        <x:v>https://www.reuters.com/world/china/wall-st-futures-steady-with-focus-mideast-talks-us-china-summit-2026-09-23/</x:v>
      </x:c>
      <x:c r="H182" s="44" t="str">
        <x:v>SPY was roughly flat, while RSP +0.05%, IWM +0.54%, XLV +0.52% and XBI +2.31%; XLF fell 2.02%. Reuters said AI demand continued to support Nasdaq leadership.</x:v>
      </x:c>
      <x:c r="I182" s="44" t="str">
        <x:v>Limited breadth improvement; incomplete confirmation</x:v>
      </x:c>
      <x:c r="J182" s="44" t="n">
        <x:v>4</x:v>
      </x:c>
      <x:c r="K182" s="44" t="str">
        <x:v>Small-cap and health-care participation improved, but financial weakness and continuing mega-cap technology leadership leave the market signal mixed.</x:v>
      </x:c>
    </x:row>
    <x:row r="183">
      <x:c r="A183" t="str">
        <x:v>EV-2026-178</x:v>
      </x:c>
      <x:c r="B183"/>
      <x:c r="C183" s="21" t="n">
        <x:v>46288.49553240741</x:v>
      </x:c>
      <x:c r="D183" t="str">
        <x:v>Rejected Motley Fool trigger</x:v>
      </x:c>
      <x:c r="E183" t="str">
        <x:v>The Motley Fool — Joe Tenebruso</x:v>
      </x:c>
      <x:c r="F183" t="str">
        <x:v>Idea generator only; free editorial content</x:v>
      </x:c>
      <x:c r="G183" s="44" t="str">
        <x:v>https://www.fool.com/investing/2026/09/23/why-viking-therapeutics-stock-skyrocketed-on-tues/</x:v>
      </x:c>
      <x:c r="H183" s="44" t="str">
        <x:v>Free editorial published September 23 at 12:04 a.m. ET highlighted VK2735 maintenance-study data. The author disclosed no position; Motley Fool recommends Viking and owns/recommends competing obesity-drug companies.</x:v>
      </x:c>
      <x:c r="I183" s="44" t="str">
        <x:v>Rejected as a distinct thesis after primary verification</x:v>
      </x:c>
      <x:c r="J183" s="44" t="n">
        <x:v>3</x:v>
      </x:c>
      <x:c r="K183" s="44" t="str">
        <x:v>Ticker VKTX. Primary company data showed 90%-97% maintenance of prior weight loss for monthly or every-other-week dosing, but the study was exploratory, Phase 3 remains underway, the company has no product revenue, six-month net loss was $286.3 million, cash declined to $502 million and the stock rose about 35.6% to near its 52-week high. Economic variable: clinical success and future obesity-drug revenue over years. Binary trial, dilution, competition and already-priced risks keep the Entry Window at WAIT; no new thesis created.</x:v>
      </x:c>
    </x:row>
    <x:row r="184">
      <x:c r="A184" t="str">
        <x:v>EV-2026-179</x:v>
      </x:c>
      <x:c r="B184"/>
      <x:c r="C184" s="21" t="n">
        <x:v>46288.49553240741</x:v>
      </x:c>
      <x:c r="D184" t="str">
        <x:v>Rejected Motley Fool trigger</x:v>
      </x:c>
      <x:c r="E184" t="str">
        <x:v>The Motley Fool — Adria Cimino</x:v>
      </x:c>
      <x:c r="F184" t="str">
        <x:v>Idea generator only; free editorial content</x:v>
      </x:c>
      <x:c r="G184" s="44" t="str">
        <x:v>https://www.fool.com/investing/2026/09/23/should-you-buy-micron-before-sept-30/</x:v>
      </x:c>
      <x:c r="H184" s="44" t="str">
        <x:v>Free editorial published September 23 at 3:50 a.m. ET argued for Micron ahead of its September 30 earnings report, citing AI-memory demand and 16 customer agreements. The author disclosed no position; Motley Fool owns and recommends Micron.</x:v>
      </x:c>
      <x:c r="I184" s="44" t="str">
        <x:v>Rejected as a repeated and already-priced catalyst</x:v>
      </x:c>
      <x:c r="J184" s="44" t="n">
        <x:v>3</x:v>
      </x:c>
      <x:c r="K184" s="44" t="str">
        <x:v>Ticker MU. Economic variable: high-bandwidth-memory demand, revenue and margins over quarters. The earnings date and AI-memory demand are known, the shares have risen sharply, and no new primary catalyst or favorable pre-event structure was established. Event, cyclicality and valuation risks dominate; no distinct thesis created.</x:v>
      </x:c>
    </x:row>
    <x:row r="185">
      <x:c r="A185" t="str">
        <x:v>EV-2026-180</x:v>
      </x:c>
      <x:c r="B185"/>
      <x:c r="C185" s="21" t="n">
        <x:v>46288.49553240741</x:v>
      </x:c>
      <x:c r="D185" t="str">
        <x:v>Rejected Motley Fool trigger</x:v>
      </x:c>
      <x:c r="E185" t="str">
        <x:v>The Motley Fool — Trevor Jennewine</x:v>
      </x:c>
      <x:c r="F185" t="str">
        <x:v>Idea generator only; free editorial content</x:v>
      </x:c>
      <x:c r="G185" s="44" t="str">
        <x:v>https://www.fool.com/investing/2026/09/23/sandisk-stock-up-market-indicator-predicted-2027/</x:v>
      </x:c>
      <x:c r="H185" s="44" t="str">
        <x:v>Free editorial published September 23 at 5:07 a.m. ET discussed Sandisk after a roughly 695% year-to-date rise and acknowledged that a cyclical NAND shortage drove a 372% quarterly revenue increase. The author disclosed positions in other technology companies, not Sandisk.</x:v>
      </x:c>
      <x:c r="I185" s="44" t="str">
        <x:v>Rejected as headline-chasing and cyclical extrapolation</x:v>
      </x:c>
      <x:c r="J185" s="44" t="n">
        <x:v>3</x:v>
      </x:c>
      <x:c r="K185" s="44" t="str">
        <x:v>Ticker SNDK. Economic variable: NAND pricing, revenue and earnings over quarters. The article itself noted Sandisk lacks a clear durable advantage and that the shortage can reverse. A large repricing, high valuation and cyclical normalization risk make the entry unattractive; no distinct thesis created.</x:v>
      </x:c>
    </x:row>
    <x:row r="186">
      <x:c r="A186" t="str">
        <x:v>EV-2026-181</x:v>
      </x:c>
      <x:c r="B186"/>
      <x:c r="C186" s="21" t="n">
        <x:v>46288.49553240741</x:v>
      </x:c>
      <x:c r="D186" t="str">
        <x:v>Rejected Motley Fool trigger</x:v>
      </x:c>
      <x:c r="E186" t="str">
        <x:v>The Motley Fool — Chris Neiger</x:v>
      </x:c>
      <x:c r="F186" t="str">
        <x:v>Idea generator only; free editorial content</x:v>
      </x:c>
      <x:c r="G186" s="44" t="str">
        <x:v>https://www.fool.com/investing/2026/09/23/nvidias-demand-is-outpacing-its-70-growth-forecast/</x:v>
      </x:c>
      <x:c r="H186" s="44" t="str">
        <x:v>Free editorial published September 23 at 4:10 a.m. ET repeated management commentary that demand could exceed the fiscal-2028 growth outlook. The author disclosed an Apple position; Motley Fool owns and recommends Nvidia.</x:v>
      </x:c>
      <x:c r="I186" s="44" t="str">
        <x:v>Rejected as known demand commentary without a new catalyst</x:v>
      </x:c>
      <x:c r="J186" s="44" t="n">
        <x:v>3</x:v>
      </x:c>
      <x:c r="K186" s="44" t="str">
        <x:v>Ticker NVDA. Economic variable: AI-compute demand, supply and revenue growth over quarters. The demand thesis is well known, the company is valued near $5.5 trillion and the shares are near their 52-week high. Supply execution, valuation and already-priced risk dominate; no distinct thesis created.</x:v>
      </x:c>
    </x:row>
    <x:row r="187">
      <x:c r="A187" t="str">
        <x:v>EV-2026-182</x:v>
      </x:c>
      <x:c r="B187"/>
      <x:c r="C187" s="21" t="n">
        <x:v>46288.49553240741</x:v>
      </x:c>
      <x:c r="D187" t="str">
        <x:v>Rejected government-award trigger</x:v>
      </x:c>
      <x:c r="E187" t="str">
        <x:v>U.S. Department of War</x:v>
      </x:c>
      <x:c r="F187" t="str">
        <x:v>Primary government contract announcement</x:v>
      </x:c>
      <x:c r="G187" s="44" t="str">
        <x:v>https://www.war.gov/News/Contracts/Contract/Article/4608792/contracts-for-sept-22-2026/</x:v>
      </x:c>
      <x:c r="H187" s="44" t="str">
        <x:v>The September 22 contract announcement reported a $400 million firm-fixed-price indefinite-delivery/indefinite-quantity award to privately held Trideum Corp. The accessible announcement did not establish a listed parent, exact award identifier, initial obligation, NAICS/PSC, period of performance or competition status.</x:v>
      </x:c>
      <x:c r="I187" s="44" t="str">
        <x:v>Rejected pending complete award detail and investable mapping</x:v>
      </x:c>
      <x:c r="J187" s="44" t="n">
        <x:v>5</x:v>
      </x:c>
      <x:c r="K187" s="44" t="str">
        <x:v>Recipient: Trideum Corp; public parent mapping: none established; action: reported new IDIQ; potential ceiling: $400 million; current and obligated value: not established. Without a listed expression, complete USAspending detail or company-revenue materiality, the award does not support a new thesis.</x:v>
      </x:c>
    </x:row>
    <x:row r="188">
      <x:c r="A188" t="str">
        <x:v>EV-2026-183</x:v>
      </x:c>
      <x:c r="B188"/>
      <x:c r="C188" s="21" t="n">
        <x:v>46288.49553240741</x:v>
      </x:c>
      <x:c r="D188" t="str">
        <x:v>Rejected proposed-spending trigger</x:v>
      </x:c>
      <x:c r="E188" t="str">
        <x:v>Reuters</x:v>
      </x:c>
      <x:c r="F188" t="str">
        <x:v>High-quality reporting of an agency funding request</x:v>
      </x:c>
      <x:c r="G188" s="44" t="str">
        <x:v>https://www.reuters.com/business/media-telecom/us-wants-another-30-billion-aviation-system-upgrades-2026-09-22/</x:v>
      </x:c>
      <x:c r="H188" s="44" t="str">
        <x:v>The U.S. transportation secretary requested an additional $30 billion from Congress for aviation-system upgrades. The request was a proposal rather than enacted appropriations or an obligated contract award.</x:v>
      </x:c>
      <x:c r="I188" s="44" t="str">
        <x:v>Rejected before recipient and award formation</x:v>
      </x:c>
      <x:c r="J188" s="44" t="n">
        <x:v>4</x:v>
      </x:c>
      <x:c r="K188" s="44" t="str">
        <x:v>No recipient, award identifier, action type, obligated amount, competition status or period of performance exists at the proposal stage. Monitor only if Congress appropriates funds and agencies issue material awards.</x:v>
      </x:c>
    </x:row>
    <x:row r="189">
      <x:c r="A189" t="str">
        <x:v>EV-2026-184</x:v>
      </x:c>
      <x:c r="B189" t="str">
        <x:v>EEI-2026-003</x:v>
      </x:c>
      <x:c r="C189" s="53" t="n">
        <x:v>46288.634351851855</x:v>
      </x:c>
      <x:c r="D189" t="str">
        <x:v>Intraday reversal and candidate confirmation</x:v>
      </x:c>
      <x:c r="E189" t="str">
        <x:v>Current ETF market data and Reuters</x:v>
      </x:c>
      <x:c r="F189" t="str">
        <x:v>Quoted market data with high-quality reporting context</x:v>
      </x:c>
      <x:c r="G189" s="44" t="str">
        <x:v>https://www.reuters.com/world/china/wall-st-futures-steady-with-focus-mideast-talks-us-china-summit-2026-09-23/</x:v>
      </x:c>
      <x:c r="H189" s="44" t="str">
        <x:v>Around 11:02 a.m. ET, SPY was down 0.42%, RSP 0.31%, IWM 1.32%, XLI was up 0.22%, XLB was down 0.20%, XLV 0.34%, XBI 3.52%, XLF was up 0.04% and CPER was down 2.10%.</x:v>
      </x:c>
      <x:c r="I189" s="44" t="str">
        <x:v>Weakens breadth and prior health-care follow-through</x:v>
      </x:c>
      <x:c r="J189" s="44" t="n">
        <x:v>5</x:v>
      </x:c>
      <x:c r="K189" s="44" t="str">
        <x:v>RSP fell slightly less than SPY and XLI held positive, but the sharp XBI and IWM reversals removed the morning's main confirmation. Copper and broad materials also failed to confirm.</x:v>
      </x:c>
    </x:row>
    <x:row r="190">
      <x:c r="A190" t="str">
        <x:v>EV-2026-185</x:v>
      </x:c>
      <x:c r="B190" t="str">
        <x:v>EEI-2026-003</x:v>
      </x:c>
      <x:c r="C190" s="53" t="n">
        <x:v>46288.634351851855</x:v>
      </x:c>
      <x:c r="D190" t="str">
        <x:v>Rates and oil modifier</x:v>
      </x:c>
      <x:c r="E190" t="str">
        <x:v>Reuters and live U.S. Treasury market data</x:v>
      </x:c>
      <x:c r="F190" t="str">
        <x:v>High-quality reporting and quoted market data</x:v>
      </x:c>
      <x:c r="G190" s="44" t="str">
        <x:v>https://www.reuters.com/business/energy/oil-falls-increased-gulf-supply-hopes-us-iran-talks-2026-09-23/</x:v>
      </x:c>
      <x:c r="H190" s="44" t="str">
        <x:v>Reuters reported Brent near $99.62 and WTI near $90.08 as supply-normalization expectations improved. A live 10-year Treasury quote nevertheless rose to roughly 5.07% around 10:50 a.m. ET.</x:v>
      </x:c>
      <x:c r="I190" s="44" t="str">
        <x:v>Oil headwind eased, but rate contradiction strengthened</x:v>
      </x:c>
      <x:c r="J190" s="44" t="n">
        <x:v>4</x:v>
      </x:c>
      <x:c r="K190" s="44" t="str">
        <x:v>The return above 5% shows that lower oil alone is not enough to deliver the lower-rate, broad-participation mechanism. Rate-sensitive small caps and biotech weakened at the same time.</x:v>
      </x:c>
    </x:row>
    <x:row r="191">
      <x:c r="A191" t="str">
        <x:v>EV-2026-186</x:v>
      </x:c>
      <x:c r="B191" t="str">
        <x:v>EEI-2026-001</x:v>
      </x:c>
      <x:c r="C191" s="56" t="n">
        <x:v>46288.833333333336</x:v>
      </x:c>
      <x:c r="D191" t="str">
        <x:v>Paper-trade outcome</x:v>
      </x:c>
      <x:c r="E191" t="str">
        <x:v>S&amp;P Global Market Intelligence via StockAnalysis</x:v>
      </x:c>
      <x:c r="F191" t="str">
        <x:v>Daily closing market data</x:v>
      </x:c>
      <x:c r="G191" s="44" t="str">
        <x:v>https://stockanalysis.com/etf/bno/history/</x:v>
      </x:c>
      <x:c r="H191" s="44" t="str">
        <x:v>BNO closed September 23 at $60.36 versus the $57.21 September 8 opening entry. The $1,000 paper position was worth $1,055.06, up $55.06 or 5.51%; BNO rose 4.23% for the session.</x:v>
      </x:c>
      <x:c r="I191" s="44" t="str">
        <x:v>Supports the cleanest direct expression</x:v>
      </x:c>
      <x:c r="J191" s="44" t="n">
        <x:v>5</x:v>
      </x:c>
      <x:c r="K191" s="44" t="str">
        <x:v>BNO recovered most of the prior day's decline and remains the strongest of the three paper positions. This post-horizon observation does not change the completed September 18 outcome score.</x:v>
      </x:c>
    </x:row>
    <x:row r="192">
      <x:c r="A192" t="str">
        <x:v>EV-2026-187</x:v>
      </x:c>
      <x:c r="B192" t="str">
        <x:v>EEI-2026-001</x:v>
      </x:c>
      <x:c r="C192" s="56" t="n">
        <x:v>46288.833333333336</x:v>
      </x:c>
      <x:c r="D192" t="str">
        <x:v>Paper-trade outcome</x:v>
      </x:c>
      <x:c r="E192" t="str">
        <x:v>S&amp;P Global Market Intelligence via StockAnalysis</x:v>
      </x:c>
      <x:c r="F192" t="str">
        <x:v>Daily closing market data</x:v>
      </x:c>
      <x:c r="G192" s="44" t="str">
        <x:v>https://stockanalysis.com/etf/uso/history/</x:v>
      </x:c>
      <x:c r="H192" s="44" t="str">
        <x:v>USO closed September 23 at $148.89 versus the $144.60 September 8 opening entry. The $1,000 paper position was worth $1,029.67, up $29.67 or 2.97%; USO rose 3.34% for the session.</x:v>
      </x:c>
      <x:c r="I192" s="44" t="str">
        <x:v>Supports direct crude expression</x:v>
      </x:c>
      <x:c r="J192" s="44" t="n">
        <x:v>5</x:v>
      </x:c>
      <x:c r="K192" s="44" t="str">
        <x:v>USO returned above its paper-entry price and continued to outperform XOP. This is a continued-tracking result after the formal evaluation horizon.</x:v>
      </x:c>
    </x:row>
    <x:row r="193">
      <x:c r="A193" t="str">
        <x:v>EV-2026-188</x:v>
      </x:c>
      <x:c r="B193" t="str">
        <x:v>EEI-2026-001</x:v>
      </x:c>
      <x:c r="C193" s="56" t="n">
        <x:v>46288.833333333336</x:v>
      </x:c>
      <x:c r="D193" t="str">
        <x:v>Paper-trade outcome</x:v>
      </x:c>
      <x:c r="E193" t="str">
        <x:v>S&amp;P Global Market Intelligence via StockAnalysis</x:v>
      </x:c>
      <x:c r="F193" t="str">
        <x:v>Daily closing market data</x:v>
      </x:c>
      <x:c r="G193" s="44" t="str">
        <x:v>https://stockanalysis.com/etf/xop/history/</x:v>
      </x:c>
      <x:c r="H193" s="44" t="str">
        <x:v>XOP closed September 23 at $183.04 versus the $193.84 September 8 opening entry. The $1,000 paper position was worth $944.28, down $55.72 or 5.57%; XOP rose only 0.79% for the session.</x:v>
      </x:c>
      <x:c r="I193" s="44" t="str">
        <x:v>Continues to weaken the indirect equity expression</x:v>
      </x:c>
      <x:c r="J193" s="44" t="n">
        <x:v>5</x:v>
      </x:c>
      <x:c r="K193" s="44" t="str">
        <x:v>The producer-equity fund remains the expression failure and materially lags both direct crude funds, reinforcing the methodology's clean-expression rule.</x:v>
      </x:c>
    </x:row>
    <x:row r="194">
      <x:c r="A194" t="str">
        <x:v>EV-2026-189</x:v>
      </x:c>
      <x:c r="B194" t="str">
        <x:v>EEI-2026-001</x:v>
      </x:c>
      <x:c r="C194" s="56" t="n">
        <x:v>46288.833333333336</x:v>
      </x:c>
      <x:c r="D194" t="str">
        <x:v>Post-horizon outcome and modifier</x:v>
      </x:c>
      <x:c r="E194" t="str">
        <x:v>Reuters and S&amp;P Global Market Intelligence via StockAnalysis</x:v>
      </x:c>
      <x:c r="F194" t="str">
        <x:v>High-quality reporting and daily closing market data</x:v>
      </x:c>
      <x:c r="G194" s="44" t="str">
        <x:v>https://www.reuters.com/business/energy/oil-falls-increased-gulf-supply-hopes-us-iran-talks-2026-09-23/</x:v>
      </x:c>
      <x:c r="H194" s="44" t="str">
        <x:v>Reuters reported Brent near $99.62 and WTI near $90.08 earlier on September 23 as Gulf supply and diplomacy raised normalization expectations. The direct crude funds later closed sharply higher, with BNO up 4.23% and USO up 3.34% for the session.</x:v>
      </x:c>
      <x:c r="I194" s="44" t="str">
        <x:v>Mixed; physical normalization remains the invalidation path while headline sensitivity persists</x:v>
      </x:c>
      <x:c r="J194" s="44" t="n">
        <x:v>4</x:v>
      </x:c>
      <x:c r="K194" s="44" t="str">
        <x:v>The original thesis succeeded during its formal horizon, but the extended hold remains volatile. Saudi bypass restoration and any durable Hormuz reopening weaken the scarcity premium; renewed disruption can restore it quickly. The portfolio closed at $3,029.01, up $29.01 or 0.97% from inception.</x:v>
      </x:c>
    </x:row>
    <x:row r="195">
      <x:c r="A195" t="str">
        <x:v>EV-2026-190</x:v>
      </x:c>
      <x:c r="B195" t="str">
        <x:v>EEI-2026-009</x:v>
      </x:c>
      <x:c r="C195" s="21" t="n">
        <x:v>46289.51803240741</x:v>
      </x:c>
      <x:c r="D195" t="str">
        <x:v>Physical confirmation and government response</x:v>
      </x:c>
      <x:c r="E195" t="str">
        <x:v>Reuters</x:v>
      </x:c>
      <x:c r="F195" t="str">
        <x:v>High-quality reporting of official statements and physical logistics</x:v>
      </x:c>
      <x:c r="G195" s="44" t="str">
        <x:v>https://www.reuters.com/business/energy/serbia-release-reserve-diesel-due-global-shortage-energy-minister-says-2026-09-24/</x:v>
      </x:c>
      <x:c r="H195" s="44" t="str">
        <x:v>Serbia said it would release about 5,000 metric tons of diesel from state reserves because of the global shortage. August Danube fuel imports fell to roughly 25%-30% of planned volume as low water restricted barge loading to about 30%-40% of normal capacity.</x:v>
      </x:c>
      <x:c r="I195" s="44" t="str">
        <x:v>Strengthens scarcity and materiality</x:v>
      </x:c>
      <x:c r="J195" s="44" t="n">
        <x:v>4</x:v>
      </x:c>
      <x:c r="K195" s="44" t="str">
        <x:v>A small national reserve release is not globally decisive, but it is a concrete government response to physical diesel scarcity and impaired regional logistics.</x:v>
      </x:c>
    </x:row>
    <x:row r="196">
      <x:c r="A196" t="str">
        <x:v>EV-2026-191</x:v>
      </x:c>
      <x:c r="B196" t="str">
        <x:v>EEI-2026-009</x:v>
      </x:c>
      <x:c r="C196" s="21" t="n">
        <x:v>46289.51803240741</x:v>
      </x:c>
      <x:c r="D196" t="str">
        <x:v>Market confirmation and policy contradiction</x:v>
      </x:c>
      <x:c r="E196" t="str">
        <x:v>Reuters</x:v>
      </x:c>
      <x:c r="F196" t="str">
        <x:v>High-quality reporting with observable commodity and inventory data</x:v>
      </x:c>
      <x:c r="G196" s="44" t="str">
        <x:v>https://www.reuters.com/business/energy/oil-prices-edge-lower-iran-says-it-is-open-diplomacy-end-war-2026-09-24/</x:v>
      </x:c>
      <x:c r="H196" s="44" t="str">
        <x:v>Brent rose about 2.36% to $105.51 and WTI 1.89% to $93.90; European diesel futures remained near all-time highs and U.S. distillate stocks fell 428,000 barrels to 107.4 million. The White House denied preparing a 90-day diesel-export ban.</x:v>
      </x:c>
      <x:c r="I196" s="44" t="str">
        <x:v>Confirms physical tightness; reduces immediate policy shock</x:v>
      </x:c>
      <x:c r="J196" s="44" t="n">
        <x:v>4</x:v>
      </x:c>
      <x:c r="K196" s="44" t="str">
        <x:v>Commodity confirmation is strong, but the export-ban reversal, higher U.S. crude inventories and diplomatic options increase headline risk and leave the Entry Window at WAIT.</x:v>
      </x:c>
    </x:row>
    <x:row r="197">
      <x:c r="A197" t="str">
        <x:v>EV-2026-192</x:v>
      </x:c>
      <x:c r="B197" t="str">
        <x:v>EEI-2026-003</x:v>
      </x:c>
      <x:c r="C197" s="21" t="n">
        <x:v>46289.51803240741</x:v>
      </x:c>
      <x:c r="D197" t="str">
        <x:v>Election-outlook confirmation</x:v>
      </x:c>
      <x:c r="E197" t="str">
        <x:v>Reuters / Ipsos</x:v>
      </x:c>
      <x:c r="F197" t="str">
        <x:v>High-quality reporting of a national poll</x:v>
      </x:c>
      <x:c r="G197" s="44" t="str">
        <x:v>https://www.reuters.com/world/us/trump-approval-falls-career-low-32-high-costs-bite-reutersipsos-poll-finds-2026-09-21/</x:v>
      </x:c>
      <x:c r="H197" s="44" t="str">
        <x:v>Registered voters preferred Democratic congressional candidates 43% to 35%, the largest Democratic lead in Reuters/Ipsos polling during 2026. Presidential approval was 32%, and only 17% approved of handling the cost of living.</x:v>
      </x:c>
      <x:c r="I197" s="44" t="str">
        <x:v>Strengthens political-shift probability; no chamber-control conclusion</x:v>
      </x:c>
      <x:c r="J197" s="44" t="n">
        <x:v>4</x:v>
      </x:c>
      <x:c r="K197" s="44" t="str">
        <x:v>The national poll does not resolve individual House districts or Senate races. No new U.S. cash-market session was available to confirm the investment mechanism.</x:v>
      </x:c>
    </x:row>
    <x:row r="198">
      <x:c r="A198" t="str">
        <x:v>EV-2026-193</x:v>
      </x:c>
      <x:c r="B198"/>
      <x:c r="C198" s="21" t="n">
        <x:v>46289.51803240741</x:v>
      </x:c>
      <x:c r="D198" t="str">
        <x:v>Rejected Motley Fool trigger</x:v>
      </x:c>
      <x:c r="E198" t="str">
        <x:v>The Motley Fool — Jack Delaney</x:v>
      </x:c>
      <x:c r="F198" t="str">
        <x:v>Idea generator only; free editorial content</x:v>
      </x:c>
      <x:c r="G198" s="44" t="str">
        <x:v>https://www.fool.com/investing/2026/09/24/easiest-way-invest-in-anthropic-ipo-amazon/</x:v>
      </x:c>
      <x:c r="H198" s="44" t="str">
        <x:v>Free editorial published September 24 at 5:18 a.m. ET proposed Amazon as an indirect way to invest in a possible Anthropic IPO. The author disclosed no Amazon position; Motley Fool recommends Amazon.</x:v>
      </x:c>
      <x:c r="I198" s="44" t="str">
        <x:v>Rejected as speculative and immaterial to the proposed expression</x:v>
      </x:c>
      <x:c r="J198" s="44" t="n">
        <x:v>3</x:v>
      </x:c>
      <x:c r="K198" s="44" t="str">
        <x:v>Ticker AMZN. The possible November IPO was press speculation, while the AWS commitment was previously known. No primary IPO filing, disclosed valuation, new Amazon economics or favorable entry structure was established. Not an official paid-service recommendation; no distinct thesis created.</x:v>
      </x:c>
    </x:row>
    <x:row r="199">
      <x:c r="A199" t="str">
        <x:v>EV-2026-194</x:v>
      </x:c>
      <x:c r="B199"/>
      <x:c r="C199" s="21" t="n">
        <x:v>46289.51803240741</x:v>
      </x:c>
      <x:c r="D199" t="str">
        <x:v>Rejected Motley Fool trigger</x:v>
      </x:c>
      <x:c r="E199" t="str">
        <x:v>The Motley Fool — Keithen Drury</x:v>
      </x:c>
      <x:c r="F199" t="str">
        <x:v>Idea generator only; free editorial content</x:v>
      </x:c>
      <x:c r="G199" s="44" t="str">
        <x:v>https://www.fool.com/investing/2026/09/24/spacex-and-nvidia-just-deepened-their-compute-alli/</x:v>
      </x:c>
      <x:c r="H199" s="44" t="str">
        <x:v>Free editorial published September 24 at 5:15 a.m. ET highlighted SpaceX use of Nvidia Vera compute. The author disclosed an Nvidia position; Motley Fool owns and recommends Nvidia.</x:v>
      </x:c>
      <x:c r="I199" s="44" t="str">
        <x:v>Rejected after primary corroboration and materiality test</x:v>
      </x:c>
      <x:c r="J199" s="44" t="n">
        <x:v>3</x:v>
      </x:c>
      <x:c r="K199" s="44" t="str">
        <x:v>Ticker NVDA. Nvidia publicly corroborated the deployment, but no order value or financial materiality was disclosed relative to Nvidia's scale. AI demand is well known and the price structure offers no non-chasing entry. Not an official paid-service recommendation; no distinct thesis created.</x:v>
      </x:c>
    </x:row>
    <x:row r="200">
      <x:c r="A200" t="str">
        <x:v>EV-2026-195</x:v>
      </x:c>
      <x:c r="B200"/>
      <x:c r="C200" s="21" t="n">
        <x:v>46289.51803240741</x:v>
      </x:c>
      <x:c r="D200" t="str">
        <x:v>Rejected Motley Fool trigger</x:v>
      </x:c>
      <x:c r="E200" t="str">
        <x:v>The Motley Fool — Keith Speights</x:v>
      </x:c>
      <x:c r="F200" t="str">
        <x:v>Idea generator only; free editorial content</x:v>
      </x:c>
      <x:c r="G200" s="44" t="str">
        <x:v>https://www.fool.com/investing/2026/09/24/intuitive-surgical-stock-has-plunged-29-this-year/</x:v>
      </x:c>
      <x:c r="H200" s="44" t="str">
        <x:v>Free editorial published September 24 argued that Intuitive Surgical was attractive after a 29% decline. The writer disclosed an Intuitive Surgical position; Motley Fool owns and recommends the shares and disclosed options positions.</x:v>
      </x:c>
      <x:c r="I200" s="44" t="str">
        <x:v>Rejected as valuation opinion without a new catalyst</x:v>
      </x:c>
      <x:c r="J200" s="44" t="n">
        <x:v>3</x:v>
      </x:c>
      <x:c r="K200" s="44" t="str">
        <x:v>Ticker ISRG. Primary Q2 materials showed revenue up 19%, da Vinci procedure growth of 15%, installed-base growth of 12% and non-GAAP gross margin near 70%, but growth decelerated and valuation remains demanding. Next earnings are the cleaner checkpoint. Not an official paid-service recommendation; no distinct thesis created.</x:v>
      </x:c>
    </x:row>
    <x:row r="201">
      <x:c r="A201" t="str">
        <x:v>EV-2026-196</x:v>
      </x:c>
      <x:c r="B201"/>
      <x:c r="C201" s="21" t="n">
        <x:v>46289.51803240741</x:v>
      </x:c>
      <x:c r="D201" t="str">
        <x:v>Rejected government-award trigger</x:v>
      </x:c>
      <x:c r="E201" t="str">
        <x:v>U.S. Army</x:v>
      </x:c>
      <x:c r="F201" t="str">
        <x:v>Primary government contract announcement</x:v>
      </x:c>
      <x:c r="G201" s="44" t="str">
        <x:v>https://www.army.mil/article/295461/u_s_army_awards_contract_to_modernize_ammunition_management</x:v>
      </x:c>
      <x:c r="H201" s="44" t="str">
        <x:v>The Army announced a $48.094 million firm-fixed-price delivery order to Palantir for ammunition-management modernization after a competitive three-phase evaluation. The underlying announcement was dated September 17 rather than a new September 24 award.</x:v>
      </x:c>
      <x:c r="I201" s="44" t="str">
        <x:v>Rejected as stale and immaterial</x:v>
      </x:c>
      <x:c r="J201" s="44" t="n">
        <x:v>5</x:v>
      </x:c>
      <x:c r="K201" s="44" t="str">
        <x:v>Recipient and parent: Palantir Technologies; action: delivery order; reported value: $48.094 million; competition: three-phase competitive process. Award identifier, initial obligation, NAICS/PSC and complete period of performance were not established in the accessible record. The value is not material to Palantir at company scale and the market had time to expect it.</x:v>
      </x:c>
    </x:row>
    <x:row r="202">
      <x:c r="A202" t="str">
        <x:v>EV-2026-197</x:v>
      </x:c>
      <x:c r="B202" t="str">
        <x:v>EEI-2026-009</x:v>
      </x:c>
      <x:c r="C202" s="21" t="n">
        <x:v>46289.51803240741</x:v>
      </x:c>
      <x:c r="D202" t="str">
        <x:v>Long-run supply modifier</x:v>
      </x:c>
      <x:c r="E202" t="str">
        <x:v>Reuters</x:v>
      </x:c>
      <x:c r="F202" t="str">
        <x:v>High-quality reporting of company and government statements</x:v>
      </x:c>
      <x:c r="G202" s="44" t="str">
        <x:v>https://www.reuters.com/business/energy/russia-starts-exports-arctic-vostok-oil-project-boost-long-term-production-2026-09-24/</x:v>
      </x:c>
      <x:c r="H202" s="44" t="str">
        <x:v>Russia began exports from the Vostok Oil project at about 150,000 barrels per day and expects roughly 600,000 barrels per day in the second half of 2027 and 1 million by 2030.</x:v>
      </x:c>
      <x:c r="I202" s="44" t="str">
        <x:v>Long-run crude-supply contradiction; limited immediate diesel effect</x:v>
      </x:c>
      <x:c r="J202" s="44" t="n">
        <x:v>4</x:v>
      </x:c>
      <x:c r="K202" s="44" t="str">
        <x:v>The project can add crude supply over years, but current volume is small relative to the diesel shortage and does not directly restore refinery capacity, product exports or impaired logistics.</x:v>
      </x:c>
    </x:row>
    <x:row r="203">
      <x:c r="A203" t="str">
        <x:v>EV-2026-198</x:v>
      </x:c>
      <x:c r="B203" t="str">
        <x:v>EEI-2026-003</x:v>
      </x:c>
      <x:c r="C203" s="21" t="n">
        <x:v>46289.65069444444</x:v>
      </x:c>
      <x:c r="D203" t="str">
        <x:v>Intraday breadth and sector check</x:v>
      </x:c>
      <x:c r="E203" t="str">
        <x:v>Current ETF market data</x:v>
      </x:c>
      <x:c r="F203" t="str">
        <x:v>Quoted market data</x:v>
      </x:c>
      <x:c r="G203" s="44" t="str">
        <x:v>https://www.reuters.com/lseg/</x:v>
      </x:c>
      <x:c r="H203" s="44" t="str">
        <x:v>At approximately 11:24 a.m. ET, SPY was -0.46% and RSP -0.50%; IWM -0.83%, XLI -0.91%, XLB -1.03%, XBI -1.04%, CPER -0.30% and XLF -0.36%. XLV +0.85% was the only positive candidate.</x:v>
      </x:c>
      <x:c r="I203" s="44" t="str">
        <x:v>Weakens breadth and cyclical confirmation</x:v>
      </x:c>
      <x:c r="J203" s="44" t="n">
        <x:v>5</x:v>
      </x:c>
      <x:c r="K203" s="44" t="str">
        <x:v>Defensive XLV strength does not confirm broad uncertainty relief, while biotech and small caps declined.</x:v>
      </x:c>
    </x:row>
    <x:row r="204">
      <x:c r="A204" t="str">
        <x:v>EV-2026-199</x:v>
      </x:c>
      <x:c r="B204" t="str">
        <x:v>EEI-2026-003</x:v>
      </x:c>
      <x:c r="C204" s="21" t="n">
        <x:v>46289.65069444444</x:v>
      </x:c>
      <x:c r="D204" t="str">
        <x:v>Rates, oil and inflation modifier</x:v>
      </x:c>
      <x:c r="E204" t="str">
        <x:v>Reuters</x:v>
      </x:c>
      <x:c r="F204" t="str">
        <x:v>High-quality reporting</x:v>
      </x:c>
      <x:c r="G204" s="44" t="str">
        <x:v>https://www.reuters.com/business/energy/oil-prices-edge-lower-iran-says-it-is-open-diplomacy-end-war-2026-09-24/</x:v>
      </x:c>
      <x:c r="H204" s="44" t="str">
        <x:v>Reuters reported Brent near $105.51 and WTI near $93.90 on September 24. Reuters' Morning Bid also noted U.S. Treasury yields above 5% amid strong data, energy costs and expectations for additional tightening.</x:v>
      </x:c>
      <x:c r="I204" s="44" t="str">
        <x:v>Strengthens the inflation-to-rates headwind</x:v>
      </x:c>
      <x:c r="J204" s="44" t="n">
        <x:v>4</x:v>
      </x:c>
      <x:c r="K204" s="44" t="str">
        <x:v>Diplomatic signals and the denial of an export ban offer possible oil relief; earnings estimates remain supportive.</x:v>
      </x:c>
    </x:row>
    <x:row r="205">
      <x:c r="A205" t="str">
        <x:v>EV-2026-200</x:v>
      </x:c>
      <x:c r="B205" t="str">
        <x:v>EEI-2026-001</x:v>
      </x:c>
      <x:c r="C205" s="21" t="n">
        <x:v>46289.833333333336</x:v>
      </x:c>
      <x:c r="D205" t="str">
        <x:v>Paper-trade outcome</x:v>
      </x:c>
      <x:c r="E205" t="str">
        <x:v>S&amp;P Global Market Intelligence via StockAnalysis</x:v>
      </x:c>
      <x:c r="F205" t="str">
        <x:v>Daily closing market data</x:v>
      </x:c>
      <x:c r="G205" s="44" t="str">
        <x:v>https://stockanalysis.com/etf/bno/history/</x:v>
      </x:c>
      <x:c r="H205" s="44" t="str">
        <x:v>BNO closed September 24 at $61.56 versus the $57.21 September 8 opening entry. The $1,000 paper position was worth $1,076.04, up $76.04 or 7.60%; BNO rose 1.99% for the session.</x:v>
      </x:c>
      <x:c r="I205" s="44" t="str">
        <x:v>Supports the cleanest direct expression</x:v>
      </x:c>
      <x:c r="J205" s="44" t="n">
        <x:v>5</x:v>
      </x:c>
      <x:c r="K205" s="44" t="str">
        <x:v>BNO remains the strongest of the three positions. This is continued tracking after the formal September 18 horizon and does not change the completed outcome score.</x:v>
      </x:c>
    </x:row>
    <x:row r="206">
      <x:c r="A206" t="str">
        <x:v>EV-2026-201</x:v>
      </x:c>
      <x:c r="B206" t="str">
        <x:v>EEI-2026-001</x:v>
      </x:c>
      <x:c r="C206" s="21" t="n">
        <x:v>46289.833333333336</x:v>
      </x:c>
      <x:c r="D206" t="str">
        <x:v>Paper-trade outcome</x:v>
      </x:c>
      <x:c r="E206" t="str">
        <x:v>S&amp;P Global Market Intelligence via StockAnalysis</x:v>
      </x:c>
      <x:c r="F206" t="str">
        <x:v>Daily closing market data</x:v>
      </x:c>
      <x:c r="G206" s="44" t="str">
        <x:v>https://stockanalysis.com/etf/uso/history/</x:v>
      </x:c>
      <x:c r="H206" s="44" t="str">
        <x:v>USO closed September 24 at $153.25 versus the $144.60 September 8 opening entry. The $1,000 paper position was worth $1,059.82, up $59.82 or 5.98%; USO rose 2.97% for the session.</x:v>
      </x:c>
      <x:c r="I206" s="44" t="str">
        <x:v>Supports direct crude expression</x:v>
      </x:c>
      <x:c r="J206" s="44" t="n">
        <x:v>5</x:v>
      </x:c>
      <x:c r="K206" s="44" t="str">
        <x:v>USO remains profitable and continues to outperform XOP. This is a post-horizon observation.</x:v>
      </x:c>
    </x:row>
    <x:row r="207">
      <x:c r="A207" t="str">
        <x:v>EV-2026-202</x:v>
      </x:c>
      <x:c r="B207" t="str">
        <x:v>EEI-2026-001</x:v>
      </x:c>
      <x:c r="C207" s="21" t="n">
        <x:v>46289.833333333336</x:v>
      </x:c>
      <x:c r="D207" t="str">
        <x:v>Paper-trade outcome</x:v>
      </x:c>
      <x:c r="E207" t="str">
        <x:v>S&amp;P Global Market Intelligence via StockAnalysis</x:v>
      </x:c>
      <x:c r="F207" t="str">
        <x:v>Daily closing market data</x:v>
      </x:c>
      <x:c r="G207" s="44" t="str">
        <x:v>https://stockanalysis.com/etf/xop/history/</x:v>
      </x:c>
      <x:c r="H207" s="44" t="str">
        <x:v>XOP closed September 24 at $184.31 versus the $193.84 September 8 opening entry. The $1,000 paper position was worth $950.84, down $49.16 or 4.92%; XOP rose 0.91% for the session.</x:v>
      </x:c>
      <x:c r="I207" s="44" t="str">
        <x:v>Continues to weaken the indirect equity expression</x:v>
      </x:c>
      <x:c r="J207" s="44" t="n">
        <x:v>5</x:v>
      </x:c>
      <x:c r="K207" s="44" t="str">
        <x:v>The producer-equity proxy remains below entry and materially trails both direct crude funds, reinforcing the clean-expression rule.</x:v>
      </x:c>
    </x:row>
    <x:row r="208">
      <x:c r="A208" t="str">
        <x:v>EV-2026-203</x:v>
      </x:c>
      <x:c r="B208" t="str">
        <x:v>EEI-2026-001</x:v>
      </x:c>
      <x:c r="C208" s="21" t="n">
        <x:v>46289.833333333336</x:v>
      </x:c>
      <x:c r="D208" t="str">
        <x:v>Diplomatic invalidation development</x:v>
      </x:c>
      <x:c r="E208" t="str">
        <x:v>Reuters</x:v>
      </x:c>
      <x:c r="F208" t="str">
        <x:v>High-quality reporting</x:v>
      </x:c>
      <x:c r="G208" s="44" t="str">
        <x:v>https://www.reuters.com/world/asia-pacific/us-iran-discuss-phased-deal-reopen-hormuz-end-us-blockade-sources-say-2026-09-24/</x:v>
      </x:c>
      <x:c r="H208" s="44" t="str">
        <x:v>U.S. and Iranian negotiators were exploring a phased arrangement under which Iran would reopen Hormuz and the United States would lift its economic blockade, but neither side wanted to give up leverage first and no agreement had been reached.</x:v>
      </x:c>
      <x:c r="I208" s="44" t="str">
        <x:v>Weakens extended-hold thesis; not yet an invalidation</x:v>
      </x:c>
      <x:c r="J208" s="44" t="n">
        <x:v>4</x:v>
      </x:c>
      <x:c r="K208" s="44" t="str">
        <x:v>A durable reopening would compress the scarcity premium. The paper portfolio nevertheless closed at $3,086.69, +$86.69 (+2.89%) from inception. The formal September 18 outcome remains unchanged.</x:v>
      </x:c>
    </x:row>
    <x:row r="209">
      <x:c r="A209" t="str">
        <x:v>EV-2026-204</x:v>
      </x:c>
      <x:c r="B209" t="str">
        <x:v>EEI-2026-001</x:v>
      </x:c>
      <x:c r="C209" s="21" t="n">
        <x:v>46289.833333333336</x:v>
      </x:c>
      <x:c r="D209" t="str">
        <x:v>Continuing disruption confirmation</x:v>
      </x:c>
      <x:c r="E209" t="str">
        <x:v>Reuters</x:v>
      </x:c>
      <x:c r="F209" t="str">
        <x:v>High-quality reporting of joint government statement</x:v>
      </x:c>
      <x:c r="G209" s="44" t="str">
        <x:v>https://www.reuters.com/world/middle-east/un-80-countries-demand-reopening-hormuz-condemn-iran-houthi-attacks-2026-09-24/</x:v>
      </x:c>
      <x:c r="H209" s="44" t="str">
        <x:v>A joint statement backed by about 80 countries called for the urgent reopening of Hormuz and condemned continuing disruption to international trade and energy security, while also warning that Houthi activity near Bab el-Mandeb increased shipping risk.</x:v>
      </x:c>
      <x:c r="I209" s="44" t="str">
        <x:v>Confirms disruption remains unresolved</x:v>
      </x:c>
      <x:c r="J209" s="44" t="n">
        <x:v>4</x:v>
      </x:c>
      <x:c r="K209" s="44" t="str">
        <x:v>The statement confirms the chokepoint problem is still live, but political pressure for reopening and active U.S.-Iran talks make the extended hold highly headline-sensitive.</x:v>
      </x:c>
    </x:row>
    <x:row r="210">
      <x:c r="A210" t="str">
        <x:v>EV-2026-205</x:v>
      </x:c>
      <x:c r="B210" t="str">
        <x:v>EEI-2026-003</x:v>
      </x:c>
      <x:c r="C210" s="21" t="n">
        <x:v>46290.66180555556</x:v>
      </x:c>
      <x:c r="D210" t="str">
        <x:v>Competitive-state election confirmation</x:v>
      </x:c>
      <x:c r="E210" t="str">
        <x:v>Reuters</x:v>
      </x:c>
      <x:c r="F210" t="str">
        <x:v>High-quality reporting of polls, campaign filings and party behavior</x:v>
      </x:c>
      <x:c r="G210" s="44" t="str">
        <x:v>https://www.reuters.com/world/us/rush-money-campaign-stops-show-republicans-feel-vulnerable-iowa-kansas-2026-09-25/</x:v>
      </x:c>
      <x:c r="H210" s="44" t="str">
        <x:v>Reuters reported unusual Republican campaign attention and spending in Iowa, Kansas and Nebraska. A September 22 Iowa poll put the Democratic Senate candidate ahead 50% to 42%; Kansas polling showed the Democratic challenger at 45% versus 43%, within the margin of error.</x:v>
      </x:c>
      <x:c r="I210" s="44" t="str">
        <x:v>Strengthens political-shift probability with state-level evidence</x:v>
      </x:c>
      <x:c r="J210" s="44" t="n">
        <x:v>5</x:v>
      </x:c>
      <x:c r="K210" s="44" t="str">
        <x:v>The races remain unsettled, polls have sampling error, and vulnerability in several states does not establish control of either chamber.</x:v>
      </x:c>
    </x:row>
    <x:row r="211">
      <x:c r="A211" t="str">
        <x:v>EV-2026-206</x:v>
      </x:c>
      <x:c r="B211" t="str">
        <x:v>EEI-2026-003</x:v>
      </x:c>
      <x:c r="C211" s="21" t="n">
        <x:v>46290.66180555556</x:v>
      </x:c>
      <x:c r="D211" t="str">
        <x:v>Market, rates and sector confirmation</x:v>
      </x:c>
      <x:c r="E211" t="str">
        <x:v>Current ETF market data and Reuters</x:v>
      </x:c>
      <x:c r="F211" t="str">
        <x:v>Quoted market data and high-quality reporting</x:v>
      </x:c>
      <x:c r="G211" s="44" t="str">
        <x:v>https://www.reuters.com/world/china/global-markets-global-markets-2026-09-24/</x:v>
      </x:c>
      <x:c r="H211" s="44" t="str">
        <x:v>At approximately 11:40 a.m. ET, SPY was +0.12%, RSP +0.05%, IWM -0.14%, XLI +0.37%, XLB -0.22%, XLV +0.04%, XBI -0.79%, XLF +0.04% and CPER -0.27%. Reuters reported the 10-year Treasury yield at 5.196% on September 24 and a 71% market-implied chance of an October rate increase.</x:v>
      </x:c>
      <x:c r="I211" s="44" t="str">
        <x:v>XLI improves selectively; broad confirmation remains absent</x:v>
      </x:c>
      <x:c r="J211" s="44" t="n">
        <x:v>5</x:v>
      </x:c>
      <x:c r="K211" s="44" t="str">
        <x:v>SPY and RSP were positive, and earnings estimates remain supportive, but small caps, biotech, materials and copper contradicted broad risk appetite.</x:v>
      </x:c>
    </x:row>
    <x:row r="212">
      <x:c r="A212" t="str">
        <x:v>EV-2026-207</x:v>
      </x:c>
      <x:c r="B212" t="str">
        <x:v>EEI-2026-001</x:v>
      </x:c>
      <x:c r="C212" s="56" t="n">
        <x:v>46290.833333333336</x:v>
      </x:c>
      <x:c r="D212" t="str">
        <x:v>Paper-trade outcome</x:v>
      </x:c>
      <x:c r="E212" t="str">
        <x:v>S&amp;P Global Market Intelligence via StockAnalysis</x:v>
      </x:c>
      <x:c r="F212" t="str">
        <x:v>Regular-session closing market data</x:v>
      </x:c>
      <x:c r="G212" s="44" t="str">
        <x:v>https://stockanalysis.com/etf/bno/</x:v>
      </x:c>
      <x:c r="H212" s="44" t="str">
        <x:v>BNO closed September 25 at $59.65 versus the $57.21 September 8 opening entry. The $1,000 paper position was worth $1,042.65, up $42.65 or 4.26%.</x:v>
      </x:c>
      <x:c r="I212" s="44" t="str">
        <x:v>Supports the cleanest direct expression, but with a shrinking gain</x:v>
      </x:c>
      <x:c r="J212" s="44" t="n">
        <x:v>5</x:v>
      </x:c>
      <x:c r="K212" s="44" t="str">
        <x:v>BNO remains the strongest position. This is continued tracking after the formal September 18 horizon and does not change the completed outcome score.</x:v>
      </x:c>
    </x:row>
    <x:row r="213">
      <x:c r="A213" t="str">
        <x:v>EV-2026-208</x:v>
      </x:c>
      <x:c r="B213" t="str">
        <x:v>EEI-2026-001</x:v>
      </x:c>
      <x:c r="C213" s="56" t="n">
        <x:v>46290.833333333336</x:v>
      </x:c>
      <x:c r="D213" t="str">
        <x:v>Paper-trade outcome</x:v>
      </x:c>
      <x:c r="E213" t="str">
        <x:v>S&amp;P Global Market Intelligence via StockAnalysis</x:v>
      </x:c>
      <x:c r="F213" t="str">
        <x:v>Regular-session closing market data</x:v>
      </x:c>
      <x:c r="G213" s="44" t="str">
        <x:v>https://stockanalysis.com/etf/uso/</x:v>
      </x:c>
      <x:c r="H213" s="44" t="str">
        <x:v>USO closed September 25 at $148.39 versus the $144.60 September 8 opening entry. The $1,000 paper position was worth $1,026.21, up $26.21 or 2.62%.</x:v>
      </x:c>
      <x:c r="I213" s="44" t="str">
        <x:v>Supports direct crude expression, but the extended-hold cushion has narrowed</x:v>
      </x:c>
      <x:c r="J213" s="44" t="n">
        <x:v>5</x:v>
      </x:c>
      <x:c r="K213" s="44" t="str">
        <x:v>USO remains above entry and continues to outperform XOP. This is a post-horizon observation.</x:v>
      </x:c>
    </x:row>
    <x:row r="214">
      <x:c r="A214" t="str">
        <x:v>EV-2026-209</x:v>
      </x:c>
      <x:c r="B214" t="str">
        <x:v>EEI-2026-001</x:v>
      </x:c>
      <x:c r="C214" s="56" t="n">
        <x:v>46290.833333333336</x:v>
      </x:c>
      <x:c r="D214" t="str">
        <x:v>Paper-trade outcome</x:v>
      </x:c>
      <x:c r="E214" t="str">
        <x:v>S&amp;P Global Market Intelligence via StockAnalysis</x:v>
      </x:c>
      <x:c r="F214" t="str">
        <x:v>Regular-session closing market data</x:v>
      </x:c>
      <x:c r="G214" s="44" t="str">
        <x:v>https://stockanalysis.com/etf/xop/</x:v>
      </x:c>
      <x:c r="H214" s="44" t="str">
        <x:v>XOP closed September 25 at $181.50 versus the $193.84 September 8 opening entry. The $1,000 paper position was worth $936.34, down $63.66 or 6.37%.</x:v>
      </x:c>
      <x:c r="I214" s="44" t="str">
        <x:v>Continues to weaken the indirect equity expression</x:v>
      </x:c>
      <x:c r="J214" s="44" t="n">
        <x:v>5</x:v>
      </x:c>
      <x:c r="K214" s="44" t="str">
        <x:v>The producer-equity proxy remains the expression failure and materially trails both direct crude funds, reinforcing the methodology's clean-expression rule.</x:v>
      </x:c>
    </x:row>
    <x:row r="215">
      <x:c r="A215" t="str">
        <x:v>EV-2026-210</x:v>
      </x:c>
      <x:c r="B215" t="str">
        <x:v>EEI-2026-001</x:v>
      </x:c>
      <x:c r="C215" s="56" t="n">
        <x:v>46290.833333333336</x:v>
      </x:c>
      <x:c r="D215" t="str">
        <x:v>Post-horizon reversal and diplomatic modifier</x:v>
      </x:c>
      <x:c r="E215" t="str">
        <x:v>Reuters and S&amp;P Global Market Intelligence via StockAnalysis</x:v>
      </x:c>
      <x:c r="F215" t="str">
        <x:v>High-quality reporting and regular-session closing market data</x:v>
      </x:c>
      <x:c r="G215" s="44" t="str">
        <x:v>https://www.reuters.com/world/asia-pacific/us-iran-discuss-phased-deal-reopen-hormuz-end-us-blockade-sources-say-2026-09-24/</x:v>
      </x:c>
      <x:c r="H215" s="44" t="str">
        <x:v>U.S. and Iranian negotiators were exploring a phased arrangement to reopen Hormuz and lift the U.S. economic blockade, although sequencing remained unresolved and no agreement had been reached. By the September 25 close, the three-position paper portfolio had fallen to $3,005.20, up only $5.20 or 0.17% from inception.</x:v>
      </x:c>
      <x:c r="I215" s="44" t="str">
        <x:v>Materially weakens the extended-hold thesis; not a retroactive change to the formal result</x:v>
      </x:c>
      <x:c r="J215" s="44" t="n">
        <x:v>4</x:v>
      </x:c>
      <x:c r="K215" s="44" t="str">
        <x:v>Diplomacy, increased Hormuz flows and partial Saudi bypass restoration are compressing the scarcity premium. The original thesis still succeeded during its formal horizon, while the extended hold is now essentially at breakeven.</x:v>
      </x:c>
    </x:row>
    <x:row r="216">
      <x:c r="A216" t="str">
        <x:v>EV-2026-211</x:v>
      </x:c>
      <x:c r="B216" t="str">
        <x:v>EEI-2026-001</x:v>
      </x:c>
      <x:c r="C216" s="56" t="n">
        <x:v>46290.833333333336</x:v>
      </x:c>
      <x:c r="D216" t="str">
        <x:v>Continuing infrastructure-risk confirmation</x:v>
      </x:c>
      <x:c r="E216" t="str">
        <x:v>Reuters</x:v>
      </x:c>
      <x:c r="F216" t="str">
        <x:v>High-quality reporting; attack claims not independently verified</x:v>
      </x:c>
      <x:c r="G216" s="44" t="str">
        <x:v>https://www.reuters.com/world/middle-east/houthis-say-they-attacked-riyadh-aramco-facilities-yanbu-2026-09-24/</x:v>
      </x:c>
      <x:c r="H216" s="44" t="str">
        <x:v>The Houthis claimed missile and drone attacks on Riyadh and Aramco facilities at Yanbu, while Saudi Arabia said it intercepted six ballistic missiles aimed at Taif and Yanbu. Damage to oil infrastructure was not confirmed.</x:v>
      </x:c>
      <x:c r="I216" s="44" t="str">
        <x:v>Confirms residual infrastructure risk, but not a verified new supply loss</x:v>
      </x:c>
      <x:c r="J216" s="44" t="n">
        <x:v>4</x:v>
      </x:c>
      <x:c r="K216" s="44" t="str">
        <x:v>The chokepoint and bypass network remain exposed to renewed disruption. Without confirmed damage, this is risk evidence rather than proof of a fresh supply shock.</x:v>
      </x:c>
    </x:row>
    <x:row r="217">
      <x:c r="A217" t="str">
        <x:v>EV-2026-212</x:v>
      </x:c>
      <x:c r="B217" t="str">
        <x:v>EEI-2026-003</x:v>
      </x:c>
      <x:c r="C217" s="21" t="n">
        <x:v>46291.50768518519</x:v>
      </x:c>
      <x:c r="D217" t="str">
        <x:v>Independent confirmation</x:v>
      </x:c>
      <x:c r="E217" t="str">
        <x:v>Cook Political Report</x:v>
      </x:c>
      <x:c r="F217" t="str">
        <x:v>Specialist nonpartisan analysis</x:v>
      </x:c>
      <x:c r="G217" s="44" t="str">
        <x:v>https://www.cookpolitical.com/</x:v>
      </x:c>
      <x:c r="H217" s="44" t="str">
        <x:v>On September 25 Cook shifted 15 House race ratings toward Democrats and said Republicans are on track to lose their House majority; on September 23 it described Senate control as a true toss-up.</x:v>
      </x:c>
      <x:c r="I217" s="44" t="str">
        <x:v>Strengthens</x:v>
      </x:c>
      <x:c r="J217" s="44" t="n">
        <x:v>4</x:v>
      </x:c>
      <x:c r="K217" s="44" t="str">
        <x:v>This is forecast evidence, not an election result. It independently reinforces the Reuters/Ipsos generic-ballot lead and previously logged state polling; House conviction rises more than Senate conviction.</x:v>
      </x:c>
    </x:row>
    <x:row r="218">
      <x:c r="A218" t="str">
        <x:v>EV-2026-213</x:v>
      </x:c>
      <x:c r="B218" t="str">
        <x:v>EEI-2026-003</x:v>
      </x:c>
      <x:c r="C218" s="21" t="n">
        <x:v>46291.50768518519</x:v>
      </x:c>
      <x:c r="D218" t="str">
        <x:v>Market confirmation</x:v>
      </x:c>
      <x:c r="E218" t="str">
        <x:v>Reuters via MarketScreener</x:v>
      </x:c>
      <x:c r="F218" t="str">
        <x:v>High quality reporting</x:v>
      </x:c>
      <x:c r="G218" s="44" t="str">
        <x:v>https://www.marketscreener.com/news/wall-street-climbs-as-investors-buy-ai-stocks-microsoft-rallies-ce785adfd18fff20</x:v>
      </x:c>
      <x:c r="H218" s="44" t="str">
        <x:v>At the September 25 close SPY rose 0.53%, RSP 0.40%, IWM 0.11%, XLI 0.94%, XLB 0.22%, XBI fell 0.67%, XLF rose 0.52% and CPER fell 0.02%.</x:v>
      </x:c>
      <x:c r="I218" s="44" t="str">
        <x:v>Mixed</x:v>
      </x:c>
      <x:c r="J218" s="44" t="n">
        <x:v>4</x:v>
      </x:c>
      <x:c r="K218" s="44" t="str">
        <x:v>Industrials led and seven of eleven sectors advanced, but equal-weight and small caps lagged SPY and biotech declined. This supports Strong rather than Actionable and keeps Entry Window at WAIT.</x:v>
      </x:c>
    </x:row>
    <x:row r="219">
      <x:c r="A219" t="str">
        <x:v>EV-2026-214</x:v>
      </x:c>
      <x:c r="B219" t="str">
        <x:v>EEI-2026-003</x:v>
      </x:c>
      <x:c r="C219" s="21" t="n">
        <x:v>46291.50768518519</x:v>
      </x:c>
      <x:c r="D219" t="str">
        <x:v>Trigger</x:v>
      </x:c>
      <x:c r="E219" t="str">
        <x:v>The Motley Fool / Ben Gran</x:v>
      </x:c>
      <x:c r="F219" t="str">
        <x:v>Public editorial trigger only</x:v>
      </x:c>
      <x:c r="G219" s="44" t="str">
        <x:v>https://www.fool.com/investing/2026/09/26/history-shows-this-midterm-election-result-could-b/</x:v>
      </x:c>
      <x:c r="H219" s="44" t="str">
        <x:v>A free September 26 article argued that a Democratic Congress under a Republican president could modestly alter near-term returns and cited a third-party forecast of Democratic control.</x:v>
      </x:c>
      <x:c r="I219" s="44" t="str">
        <x:v>Neutral trigger</x:v>
      </x:c>
      <x:c r="J219" s="44" t="n">
        <x:v>2</x:v>
      </x:c>
      <x:c r="K219" s="44" t="str">
        <x:v>Published 6:33 a.m. ET. Ben Gran disclosed no position; Motley Fool disclosed positions/recommendations in USB and VOO. Not an official paid-service recommendation. Promotional framing and the cited forecast were not treated as confirmation; Cook and Reuters/Ipsos supplied the independent evidence.</x:v>
      </x:c>
    </x:row>
    <x:row r="220">
      <x:c r="A220" t="str">
        <x:v>EV-2026-215</x:v>
      </x:c>
      <x:c r="B220" t="str"/>
      <x:c r="C220" s="21" t="n">
        <x:v>46291.50768518519</x:v>
      </x:c>
      <x:c r="D220" t="str">
        <x:v>Rejected trigger</x:v>
      </x:c>
      <x:c r="E220" t="str">
        <x:v>The Motley Fool / Alex Carchidi</x:v>
      </x:c>
      <x:c r="F220" t="str">
        <x:v>Public editorial trigger only</x:v>
      </x:c>
      <x:c r="G220" s="44" t="str">
        <x:v>https://www.fool.com/investing/2026/09/26/bitcoin-is-not-the-only-cryptocurrency-with-a-halv/</x:v>
      </x:c>
      <x:c r="H220" s="44" t="str">
        <x:v>The article presented Zcash protocol changes, privacy demand and a future halving as potential catalysts after a roughly 197% year-to-date rise.</x:v>
      </x:c>
      <x:c r="I220" s="44" t="str">
        <x:v>Rejected</x:v>
      </x:c>
      <x:c r="J220" s="44" t="n">
        <x:v>2</x:v>
      </x:c>
      <x:c r="K220" s="44" t="str">
        <x:v>Free editorial, not a verified paid-service recommendation. Rejected as a distinct thesis: extreme prior appreciation, speculative demand, weak valuation anchor, regulatory risk and no independently verified new material catalyst produced unfavorable already-priced and entry-risk conditions.</x:v>
      </x:c>
    </x:row>
    <x:row r="221">
      <x:c r="A221" t="str">
        <x:v>EV-2026-216</x:v>
      </x:c>
      <x:c r="B221" t="str"/>
      <x:c r="C221" s="21" t="n">
        <x:v>46291.50768518519</x:v>
      </x:c>
      <x:c r="D221" t="str">
        <x:v>Rejected trigger</x:v>
      </x:c>
      <x:c r="E221" t="str">
        <x:v>The Motley Fool / Jack Delaney</x:v>
      </x:c>
      <x:c r="F221" t="str">
        <x:v>Public editorial trigger only</x:v>
      </x:c>
      <x:c r="G221" s="44" t="str">
        <x:v>https://www.fool.com/investing/2026/09/26/2-ai-stocks-that-could-split-in-2027/</x:v>
      </x:c>
      <x:c r="H221" s="44" t="str">
        <x:v>The article speculated that Costco and Micron could split their shares in 2027.</x:v>
      </x:c>
      <x:c r="I221" s="44" t="str">
        <x:v>Rejected</x:v>
      </x:c>
      <x:c r="J221" s="44" t="n">
        <x:v>2</x:v>
      </x:c>
      <x:c r="K221" s="44" t="str">
        <x:v>Published 6:54 a.m. ET. The author disclosed no position; Motley Fool disclosed positions/recommendations in Costco and Micron. Free editorial. Neither company had announced the proposed split, and a split would not change intrinsic economics; Micron's AI-memory catalyst is already established rather than new.</x:v>
      </x:c>
    </x:row>
    <x:row r="222">
      <x:c r="A222" t="str">
        <x:v>EV-2026-217</x:v>
      </x:c>
      <x:c r="B222" t="str"/>
      <x:c r="C222" s="21" t="n">
        <x:v>46291.50768518519</x:v>
      </x:c>
      <x:c r="D222" t="str">
        <x:v>Rejected trigger</x:v>
      </x:c>
      <x:c r="E222" t="str">
        <x:v>The Motley Fool / Neil Patel</x:v>
      </x:c>
      <x:c r="F222" t="str">
        <x:v>Public editorial trigger only</x:v>
      </x:c>
      <x:c r="G222" s="44" t="str">
        <x:v>https://www.fool.com/investing/2026/09/26/how-much-will-procter-gamble-pay-in-dividends-over/</x:v>
      </x:c>
      <x:c r="H222" s="44" t="str">
        <x:v>The article projected Procter &amp; Gamble dividend payments over the next five years.</x:v>
      </x:c>
      <x:c r="I222" s="44" t="str">
        <x:v>Rejected</x:v>
      </x:c>
      <x:c r="J222" s="44" t="n">
        <x:v>2</x:v>
      </x:c>
      <x:c r="K222" s="44" t="str">
        <x:v>Published 6:25 a.m. ET. The author and Motley Fool disclosed no position. Free editorial. Generic dividend extrapolation did not identify a new material economic-variable catalyst, so no thesis was opened.</x:v>
      </x:c>
    </x:row>
    <x:row r="223">
      <x:c r="A223" t="str">
        <x:v>EV-2026-218</x:v>
      </x:c>
      <x:c r="B223" t="str"/>
      <x:c r="C223" s="21" t="n">
        <x:v>46291.50768518519</x:v>
      </x:c>
      <x:c r="D223" t="str">
        <x:v>Rejected trigger</x:v>
      </x:c>
      <x:c r="E223" t="str">
        <x:v>The Motley Fool / John Ballard</x:v>
      </x:c>
      <x:c r="F223" t="str">
        <x:v>Public editorial trigger only</x:v>
      </x:c>
      <x:c r="G223" s="44" t="str">
        <x:v>https://www.fool.com/investing/2026/09/26/2-ai-infrastructure-stocks-to-buy-now/</x:v>
      </x:c>
      <x:c r="H223" s="44" t="str">
        <x:v>The article highlighted IREN and Vertiv as AI-infrastructure beneficiaries.</x:v>
      </x:c>
      <x:c r="I223" s="44" t="str">
        <x:v>Rejected</x:v>
      </x:c>
      <x:c r="J223" s="44" t="n">
        <x:v>3</x:v>
      </x:c>
      <x:c r="K223" s="44" t="str">
        <x:v>Free editorial. Ballard disclosed owning IREN; Motley Fool disclosed Microsoft and Vertiv positions/recommendations. IREN's Horizon 1 Microsoft delivery and $9.7 billion contract were independently checked against its August 13 issuer release and SEC materials, while Vertiv's long-term growth targets were previously published. The catalysts were months old, execution and financing risks remain, and large prior price gains make the setup too priced-in for a new thesis.</x:v>
      </x:c>
    </x:row>
    <x:row r="224">
      <x:c r="A224" t="str">
        <x:v>EV-2026-219</x:v>
      </x:c>
      <x:c r="B224" t="str"/>
      <x:c r="C224" s="21" t="n">
        <x:v>46291.50768518519</x:v>
      </x:c>
      <x:c r="D224" t="str">
        <x:v>Rejected trigger</x:v>
      </x:c>
      <x:c r="E224" t="str">
        <x:v>The Motley Fool / John Ballard</x:v>
      </x:c>
      <x:c r="F224" t="str">
        <x:v>Public editorial trigger only</x:v>
      </x:c>
      <x:c r="G224" s="44" t="str">
        <x:v>https://www.fool.com/investing/2026/09/26/2-semiconductor-stocks-to-buy-and-hold-for-10-year/</x:v>
      </x:c>
      <x:c r="H224" s="44" t="str">
        <x:v>The article highlighted Marvell and ASML as long-term AI semiconductor beneficiaries.</x:v>
      </x:c>
      <x:c r="I224" s="44" t="str">
        <x:v>Rejected</x:v>
      </x:c>
      <x:c r="J224" s="44" t="n">
        <x:v>3</x:v>
      </x:c>
      <x:c r="K224" s="44" t="str">
        <x:v>Free editorial. The author disclosed no position; Motley Fool disclosed positions/recommendations in ASML, Marvell and Micron. Marvell's August results and ASML's July capacity outlook were older public catalysts, while elevated valuation and strong prior appreciation reduce unpriced edge. No new distinct thesis was opened.</x:v>
      </x:c>
    </x:row>
    <x:row r="225">
      <x:c r="A225" t="str">
        <x:v>EV-2026-220</x:v>
      </x:c>
      <x:c r="B225" t="str">
        <x:v>EEI-2026-005</x:v>
      </x:c>
      <x:c r="C225" s="21" t="n">
        <x:v>46292.51123842593</x:v>
      </x:c>
      <x:c r="D225" t="str">
        <x:v>Supporting</x:v>
      </x:c>
      <x:c r="E225" t="str">
        <x:v>Bristol Myers Squibb</x:v>
      </x:c>
      <x:c r="F225" t="str">
        <x:v>Primary company clinical data</x:v>
      </x:c>
      <x:c r="G225" s="44" t="str">
        <x:v>https://news.bms.com/news/corporate-financial/2026/Bristol-Myers-Squibb-Announces-First-Presentation-of-Results-for-ZENBEXUS-iberdomide-in-Combination-with-Daratumumab-from-Phase-3-EXCALIBER-RRMM-Trial-in-Relapsed-or-Refractory-Multiple-Myeloma/default.aspx</x:v>
      </x:c>
      <x:c r="H225" s="44" t="str">
        <x:v>In the September 25 detailed Phase 3 EXCALIBER-RRMM presentation, ZENBEXUS plus daratumumab and dexamethasone produced an MRD-negative complete response in 41.1% of evaluable patients versus 20.7% for DVd; overall response was 88.9% versus 76.1%, and complete response or better was 45.9% versus 24.9%.</x:v>
      </x:c>
      <x:c r="I225" s="44" t="str">
        <x:v>Strengthens clinical support; does not change stage</x:v>
      </x:c>
      <x:c r="J225" s="44" t="n">
        <x:v>5</x:v>
      </x:c>
      <x:c r="K225" s="44" t="str">
        <x:v>The detailed presentation reinforces an already known positive trial and the August accelerated approval. It does not establish the product revenue needed to offset the broader patent cliff.</x:v>
      </x:c>
    </x:row>
    <x:row r="226">
      <x:c r="A226" t="str">
        <x:v>EV-2026-221</x:v>
      </x:c>
      <x:c r="B226" t="str">
        <x:v>EEI-2026-005</x:v>
      </x:c>
      <x:c r="C226" s="21" t="n">
        <x:v>46292.51123842593</x:v>
      </x:c>
      <x:c r="D226" t="str">
        <x:v>Contradictory</x:v>
      </x:c>
      <x:c r="E226" t="str">
        <x:v>Bristol Myers Squibb</x:v>
      </x:c>
      <x:c r="F226" t="str">
        <x:v>Primary company clinical data</x:v>
      </x:c>
      <x:c r="G226" s="44" t="str">
        <x:v>https://news.bms.com/news/corporate-financial/2026/Bristol-Myers-Squibb-Announces-First-Presentation-of-Results-for-ZENBEXUS-iberdomide-in-Combination-with-Daratumab-from-Phase-3-EXCALIBER-RRMM-Trial-in-Relapsed-or-Refractory-Multiple-Myeloma/default.aspx</x:v>
      </x:c>
      <x:c r="H226" s="44" t="str">
        <x:v>The confirmatory progression-free-survival endpoint in the 800-patient cohort remains ongoing. Grade 3/4 neutropenia occurred in 84.3% of ZENBEXUS patients versus 11.3% for DVd, and Grade 3/4 infections occurred in 39.2% versus 21.6%.</x:v>
      </x:c>
      <x:c r="I226" s="44" t="str">
        <x:v>Limits commercial and full-approval certainty</x:v>
      </x:c>
      <x:c r="J226" s="44" t="n">
        <x:v>5</x:v>
      </x:c>
      <x:c r="K226" s="44" t="str">
        <x:v>The safety burden and unresolved PFS endpoint prevent promotion of EEI-2026-005 despite strong response-depth data.</x:v>
      </x:c>
    </x:row>
    <x:row r="227">
      <x:c r="A227" t="str">
        <x:v>EV-2026-222</x:v>
      </x:c>
      <x:c r="B227"/>
      <x:c r="C227" s="21" t="n">
        <x:v>46292.51123842593</x:v>
      </x:c>
      <x:c r="D227" t="str">
        <x:v>Rejected trigger</x:v>
      </x:c>
      <x:c r="E227" t="str">
        <x:v>The Motley Fool / Daniel Sparks</x:v>
      </x:c>
      <x:c r="F227" t="str">
        <x:v>Public editorial trigger only</x:v>
      </x:c>
      <x:c r="G227" s="44" t="str">
        <x:v>https://www.fool.com/investing/2026/09/27/broadcom-stock-is-back-where-it-ended-2025-but-its-earnings-are-about-43-higher-is-it-a-buy/</x:v>
      </x:c>
      <x:c r="H227" s="44" t="str">
        <x:v>The free September 27 article argued Broadcom was attractive after a 29% drawdown while adjusted trailing EPS was about 43% above fiscal 2025. It cited the September 2 company forecast for $115 billion of fiscal 2027 AI revenue and $230 billion in 2028.</x:v>
      </x:c>
      <x:c r="I227" s="44" t="str">
        <x:v>Rejected</x:v>
      </x:c>
      <x:c r="J227" s="44" t="n">
        <x:v>3</x:v>
      </x:c>
      <x:c r="K227" s="44" t="str">
        <x:v>Daniel Sparks and clients disclosed no Broadcom position; Motley Fool disclosed a Broadcom position and recommendation. Primary results support growth, but the catalyst was already public, the stock still traded near 36 times trailing adjusted earnings, the top five customers represented about 55% of revenue and financing backstops add risk. No distinct thesis was opened.</x:v>
      </x:c>
    </x:row>
    <x:row r="228">
      <x:c r="A228" t="str">
        <x:v>EV-2026-223</x:v>
      </x:c>
      <x:c r="B228"/>
      <x:c r="C228" s="21" t="n">
        <x:v>46292.51123842593</x:v>
      </x:c>
      <x:c r="D228" t="str">
        <x:v>Rejected trigger</x:v>
      </x:c>
      <x:c r="E228" t="str">
        <x:v>The Motley Fool / Keith Speights</x:v>
      </x:c>
      <x:c r="F228" t="str">
        <x:v>Public editorial trigger only</x:v>
      </x:c>
      <x:c r="G228" s="44" t="str">
        <x:v>https://www.fool.com/investing/2026/09/27/anthropic-and-openai-are-both-racing-to-ipo-ge-ver/</x:v>
      </x:c>
      <x:c r="H228" s="44" t="str">
        <x:v>The free September 27 article presented GE Vernova as an AI-power infrastructure beneficiary, citing 88% year-over-year Q2 order growth and more than $5 billion of first-half data-center electrification orders.</x:v>
      </x:c>
      <x:c r="I228" s="44" t="str">
        <x:v>Rejected</x:v>
      </x:c>
      <x:c r="J228" s="44" t="n">
        <x:v>3</x:v>
      </x:c>
      <x:c r="K228" s="44" t="str">
        <x:v>Keith Speights disclosed no position; Motley Fool disclosed a GE Vernova position and recommendation. The cited quarterly results were already public, the stock was up about 45% in 2026 and traded near 38 times forward earnings. No independently verified new material catalyst or favorable entry justified a distinct thesis.</x:v>
      </x:c>
    </x:row>
    <x:row r="229">
      <x:c r="A229" t="str">
        <x:v>EV-2026-224</x:v>
      </x:c>
      <x:c r="B229"/>
      <x:c r="C229" s="21" t="n">
        <x:v>46292.51123842593</x:v>
      </x:c>
      <x:c r="D229" t="str">
        <x:v>Rejected trigger</x:v>
      </x:c>
      <x:c r="E229" t="str">
        <x:v>The Motley Fool / Reuben Gregg Brewer</x:v>
      </x:c>
      <x:c r="F229" t="str">
        <x:v>Public editorial trigger only</x:v>
      </x:c>
      <x:c r="G229" s="44" t="str">
        <x:v>https://www.fool.com/investing/2026/09/27/blue-owl-stock-yields-about-9-after-falling-45-fro/</x:v>
      </x:c>
      <x:c r="H229" s="44" t="str">
        <x:v>The free September 27 article examined Blue Owl after a roughly 45% share decline and a yield near 9.8%. It noted the $0.23 quarterly dividend exceeded Q2 distributable earnings of $0.22 per share.</x:v>
      </x:c>
      <x:c r="I229" s="44" t="str">
        <x:v>Rejected</x:v>
      </x:c>
      <x:c r="J229" s="44" t="n">
        <x:v>3</x:v>
      </x:c>
      <x:c r="K229" s="44" t="str">
        <x:v>The author and Motley Fool disclosed no Blue Owl position. SEC materials confirm the fixed dividend policy, while Reuters reported $4.7 billion of Q2 withdrawal requests across two flagship private-credit funds and continued 5% limits. Dividend coverage and redemption risk remain unresolved, so the high yield is not a qualifying positive catalyst and no thesis was opened.</x:v>
      </x:c>
    </x:row>
    <x:row r="230">
      <x:c r="A230" t="str">
        <x:v>EV-2026-225</x:v>
      </x:c>
      <x:c r="B230" t="str">
        <x:v>EEI-2026-009</x:v>
      </x:c>
      <x:c r="C230" s="21" t="n">
        <x:v>46293.498344907406</x:v>
      </x:c>
      <x:c r="D230" t="str">
        <x:v>Market confirmation</x:v>
      </x:c>
      <x:c r="E230" t="str">
        <x:v>Reuters</x:v>
      </x:c>
      <x:c r="F230" t="str">
        <x:v>High-quality reporting and market data</x:v>
      </x:c>
      <x:c r="G230" s="44" t="str">
        <x:v>https://www.reuters.com/business/energy/oil-rebounds-after-trump-rejects-iran-peace-deal-2026-09-27/</x:v>
      </x:c>
      <x:c r="H230" s="44" t="str">
        <x:v>Brent rose 3.82% to $108.30 and WTI rose 3.81% to $95.93 after the United States rejected Iran's peace proposal; an independent economist said the market remained in deficit despite improving Hormuz flows.</x:v>
      </x:c>
      <x:c r="I230" s="44" t="str">
        <x:v>Strengthens scarcity; weakens entry</x:v>
      </x:c>
      <x:c r="J230" s="44" t="n">
        <x:v>5</x:v>
      </x:c>
      <x:c r="K230" s="44" t="str">
        <x:v>Middle East exports also rebounded to 12.8 million barrels per day, the highest since the war began. The two-sided evidence supports Actionable / WAIT rather than a confidence or entry upgrade.</x:v>
      </x:c>
    </x:row>
    <x:row r="231">
      <x:c r="A231" t="str">
        <x:v>EV-2026-226</x:v>
      </x:c>
      <x:c r="B231" t="str">
        <x:v>EEI-2026-011</x:v>
      </x:c>
      <x:c r="C231" s="21" t="n">
        <x:v>46293.498344907406</x:v>
      </x:c>
      <x:c r="D231" t="str">
        <x:v>Normalization modifier</x:v>
      </x:c>
      <x:c r="E231" t="str">
        <x:v>Reuters</x:v>
      </x:c>
      <x:c r="F231" t="str">
        <x:v>High-quality reporting and shipping context</x:v>
      </x:c>
      <x:c r="G231" s="44" t="str">
        <x:v>https://www.reuters.com/business/energy/oil-rebounds-after-trump-rejects-iran-peace-deal-2026-09-27/</x:v>
      </x:c>
      <x:c r="H231" s="44" t="str">
        <x:v>Preliminary Kpler data showed Middle East crude exports at 12.8 million barrels per day in September, the highest since the war began, as Saudi Arabia and the UAE raised shipments.</x:v>
      </x:c>
      <x:c r="I231" s="44" t="str">
        <x:v>Mixed</x:v>
      </x:c>
      <x:c r="J231" s="44" t="n">
        <x:v>5</x:v>
      </x:c>
      <x:c r="K231" s="44" t="str">
        <x:v>Higher volumes can consume vessel-days, but improving Hormuz flows and continued talks reduce disruption risk. No fresh verified VLCC-rate evidence changed the Strong / WAIT classification.</x:v>
      </x:c>
    </x:row>
    <x:row r="232">
      <x:c r="A232" t="str">
        <x:v>EV-2026-227</x:v>
      </x:c>
      <x:c r="B232" t="str"/>
      <x:c r="C232" s="21" t="n">
        <x:v>46293.498344907406</x:v>
      </x:c>
      <x:c r="D232" t="str">
        <x:v>Rejected trigger</x:v>
      </x:c>
      <x:c r="E232" t="str">
        <x:v>The Motley Fool / Adria Cimino</x:v>
      </x:c>
      <x:c r="F232" t="str">
        <x:v>Public editorial trigger only</x:v>
      </x:c>
      <x:c r="G232" s="44" t="str">
        <x:v>https://www.fool.com/investing/2026/09/28/eli-lilly-just-announced-game-changing-news/</x:v>
      </x:c>
      <x:c r="H232" s="44" t="str">
        <x:v>The free September 28 article cited roughly 700,000 new Medicare GLP-1 users, Lilly capturing about seven of ten prescriptions, and Foundayo taking about 30% of new oral starts as a multi-year obesity-market catalyst.</x:v>
      </x:c>
      <x:c r="I232" s="44" t="str">
        <x:v>Rejected</x:v>
      </x:c>
      <x:c r="J232" s="44" t="n">
        <x:v>3</x:v>
      </x:c>
      <x:c r="K232" s="44" t="str">
        <x:v>Published 4:03 a.m. ET. The author disclosed no position; Motley Fool disclosed positions and recommendations in LLY and NVO. Reuters and Lilly results confirm demand, but the catalyst was already public, LLY already reflected leadership expectations, and no new unpriced event justified a distinct thesis.</x:v>
      </x:c>
    </x:row>
    <x:row r="233">
      <x:c r="A233" t="str">
        <x:v>EV-2026-228</x:v>
      </x:c>
      <x:c r="B233" t="str"/>
      <x:c r="C233" s="21" t="n">
        <x:v>46293.498344907406</x:v>
      </x:c>
      <x:c r="D233" t="str">
        <x:v>Rejected trigger</x:v>
      </x:c>
      <x:c r="E233" t="str">
        <x:v>The Motley Fool / James Halley</x:v>
      </x:c>
      <x:c r="F233" t="str">
        <x:v>Public editorial trigger only</x:v>
      </x:c>
      <x:c r="G233" s="44" t="str">
        <x:v>https://www.fool.com/investing/2026/09/28/i-keep-adding-to-this-pipeline-stock-heres-why-the/</x:v>
      </x:c>
      <x:c r="H233" s="44" t="str">
        <x:v>The free September 28 article presented WMB's covered dividend, take-or-pay pipeline cash flows, data-center power demand and project backlog as a long-term growth catalyst.</x:v>
      </x:c>
      <x:c r="I233" s="44" t="str">
        <x:v>Rejected</x:v>
      </x:c>
      <x:c r="J233" s="44" t="n">
        <x:v>3</x:v>
      </x:c>
      <x:c r="K233" s="44" t="str">
        <x:v>Published 2:00 a.m. ET. The author disclosed owning WMB. The operating facts came from already public quarterly and project information; shares were up more than 15% in 2026 and valuation exceeded 28 times forward earnings, leaving no new unpriced catalyst or favorable entry.</x:v>
      </x:c>
    </x:row>
    <x:row r="234">
      <x:c r="A234" t="str">
        <x:v>EV-2026-229</x:v>
      </x:c>
      <x:c r="B234" t="str"/>
      <x:c r="C234" s="21" t="n">
        <x:v>46293.498344907406</x:v>
      </x:c>
      <x:c r="D234" t="str">
        <x:v>Rejected trigger</x:v>
      </x:c>
      <x:c r="E234" t="str">
        <x:v>The Motley Fool / Neil Patel</x:v>
      </x:c>
      <x:c r="F234" t="str">
        <x:v>Public editorial trigger only</x:v>
      </x:c>
      <x:c r="G234" s="44" t="str">
        <x:v>https://www.fool.com/investing/2026/09/28/financial-stock-great-business-bad-investment-how/</x:v>
      </x:c>
      <x:c r="H234" s="44" t="str">
        <x:v>The free September 28 article argued that AXP's 2026 decline and sub-19 price-to-earnings ratio created a better entry while revenue, profit, premium-card demand and credit quality remained solid.</x:v>
      </x:c>
      <x:c r="I234" s="44" t="str">
        <x:v>Rejected</x:v>
      </x:c>
      <x:c r="J234" s="44" t="n">
        <x:v>3</x:v>
      </x:c>
      <x:c r="K234" s="44" t="str">
        <x:v>Published 2:45 a.m. ET. American Express is an advertising partner; the author disclosed no position and Motley Fool disclosed an AXP position and recommendation. Primary Q2 results support the business, but the article supplied valuation framing rather than a new material catalyst.</x:v>
      </x:c>
    </x:row>
    <x:row r="235">
      <x:c r="A235" t="str">
        <x:v>EV-2026-230</x:v>
      </x:c>
      <x:c r="B235" t="str"/>
      <x:c r="C235" s="21" t="n">
        <x:v>46293.498344907406</x:v>
      </x:c>
      <x:c r="D235" t="str">
        <x:v>Rejected trigger</x:v>
      </x:c>
      <x:c r="E235" t="str">
        <x:v>The Motley Fool / Chris Neiger</x:v>
      </x:c>
      <x:c r="F235" t="str">
        <x:v>Public editorial trigger only</x:v>
      </x:c>
      <x:c r="G235" s="44" t="str">
        <x:v>https://www.fool.com/investing/2026/09/28/oracle-vs-salesforce-which-enterprise-ai-stock-has/</x:v>
      </x:c>
      <x:c r="H235" s="44" t="str">
        <x:v>The free September 28 comparison favored enterprise-AI exposure after Oracle reported 121% cloud-infrastructure growth and Salesforce advanced agentic AI products.</x:v>
      </x:c>
      <x:c r="I235" s="44" t="str">
        <x:v>Rejected</x:v>
      </x:c>
      <x:c r="J235" s="44" t="n">
        <x:v>3</x:v>
      </x:c>
      <x:c r="K235" s="44" t="str">
        <x:v>The author disclosed no position; Motley Fool disclosed positions and recommendations in ORCL and CRM. Oracle's growth, $28.5 billion quarterly capital spending, negative free cash flow and project risk were already public, while the comparison identified no new material catalyst.</x:v>
      </x:c>
    </x:row>
    <x:row r="236">
      <x:c r="A236" t="str">
        <x:v>EV-2026-231</x:v>
      </x:c>
      <x:c r="B236" t="str"/>
      <x:c r="C236" s="21" t="n">
        <x:v>46293.498344907406</x:v>
      </x:c>
      <x:c r="D236" t="str">
        <x:v>Rejected trigger</x:v>
      </x:c>
      <x:c r="E236" t="str">
        <x:v>The Motley Fool / Keithen Drury</x:v>
      </x:c>
      <x:c r="F236" t="str">
        <x:v>Public editorial trigger only</x:v>
      </x:c>
      <x:c r="G236" s="44" t="str">
        <x:v>https://www.fool.com/investing/2026/09/28/better-ai-stock-spacex-or-nvidia/</x:v>
      </x:c>
      <x:c r="H236" s="44" t="str">
        <x:v>The free September 28 article preferred NVDA to SPCX based on stronger profitability, scale and SpaceX's stated Nvidia exclusivity.</x:v>
      </x:c>
      <x:c r="I236" s="44" t="str">
        <x:v>Rejected</x:v>
      </x:c>
      <x:c r="J236" s="44" t="n">
        <x:v>3</x:v>
      </x:c>
      <x:c r="K236" s="44" t="str">
        <x:v>Published 5:39 a.m. ET. The analysis reused already public quarterly results and partnership statements. NVDA traded near its 52-week high and both companies carried very large valuations; no new catalyst or entry edge justified a distinct thesis.</x:v>
      </x:c>
    </x:row>
    <x:row r="237">
      <x:c r="A237" t="str">
        <x:v>EV-2026-232</x:v>
      </x:c>
      <x:c r="B237" t="str"/>
      <x:c r="C237" s="21" t="n">
        <x:v>46293.498344907406</x:v>
      </x:c>
      <x:c r="D237" t="str">
        <x:v>Rejected trigger</x:v>
      </x:c>
      <x:c r="E237" t="str">
        <x:v>The Motley Fool / Daniel Sparks</x:v>
      </x:c>
      <x:c r="F237" t="str">
        <x:v>Public editorial trigger only</x:v>
      </x:c>
      <x:c r="G237" s="44" t="str">
        <x:v>https://www.fool.com/investing/2026/09/28/prediction-netflix-stock-gets-back-to-usd100-before-2030/</x:v>
      </x:c>
      <x:c r="H237" s="44" t="str">
        <x:v>The free September 28 article projected NFLX could reach $100 before 2030 if revenue grows about 11% annually, margins expand and buybacks continue.</x:v>
      </x:c>
      <x:c r="I237" s="44" t="str">
        <x:v>Rejected</x:v>
      </x:c>
      <x:c r="J237" s="44" t="n">
        <x:v>2</x:v>
      </x:c>
      <x:c r="K237" s="44" t="str">
        <x:v>Published 4:37 a.m. ET. The case rests on extrapolating management guidance and assumed 2029 margins rather than a newly verified catalyst. Advertising, pricing, competition and growth-deceleration risks remain, so no thesis was opened.</x:v>
      </x:c>
    </x:row>
    <x:row r="238">
      <x:c r="A238" t="str">
        <x:v>EV-2026-233</x:v>
      </x:c>
      <x:c r="B238" t="str">
        <x:v>EEI-2026-009</x:v>
      </x:c>
      <x:c r="C238" s="21" t="n">
        <x:v>46293.498344907406</x:v>
      </x:c>
      <x:c r="D238" t="str">
        <x:v>Neutral trigger</x:v>
      </x:c>
      <x:c r="E238" t="str">
        <x:v>The Motley Fool / Sean Williams</x:v>
      </x:c>
      <x:c r="F238" t="str">
        <x:v>Public editorial trigger only</x:v>
      </x:c>
      <x:c r="G238" s="44" t="str">
        <x:v>https://www.fool.com/investing/2026/09/28/donald-trump-float-idea-partial-or-full-ban-diesel-exports-unintended-consequences-catastrophic/</x:v>
      </x:c>
      <x:c r="H238" s="44" t="str">
        <x:v>The free September 28 article argued that restricting U.S. diesel exports could lower domestic prices temporarily while worsening global scarcity and rerouting costs.</x:v>
      </x:c>
      <x:c r="I238" s="44" t="str">
        <x:v>No independent thesis change</x:v>
      </x:c>
      <x:c r="J238" s="44" t="n">
        <x:v>2</x:v>
      </x:c>
      <x:c r="K238" s="44" t="str">
        <x:v>Published 4:06 a.m. ET. The author disclosed no position; Motley Fool disclosed a Chevron position and recommendation. The article repeated an already logged policy risk and was not used as confirmation; Reuters supplied the independent energy evidence.</x:v>
      </x:c>
    </x:row>
    <x:row r="239">
      <x:c r="A239" t="str">
        <x:v>EV-2026-234</x:v>
      </x:c>
      <x:c r="B239" t="str">
        <x:v>EEI-2026-003</x:v>
      </x:c>
      <x:c r="C239" s="53" t="n">
        <x:v>46293.62850694445</x:v>
      </x:c>
      <x:c r="D239" t="str">
        <x:v>Supporting</x:v>
      </x:c>
      <x:c r="E239" t="str">
        <x:v>Reuters</x:v>
      </x:c>
      <x:c r="F239" t="str">
        <x:v>High-quality reporting and campaign-finance review</x:v>
      </x:c>
      <x:c r="G239" s="44" t="str">
        <x:v>https://www.reuters.com/legal/government/republicans-pour-money-into-dozens-us-house-races-previously-considered-safe-2026-09-27/</x:v>
      </x:c>
      <x:c r="H239" s="44" t="str">
        <x:v>Major Republican groups began spending in at least 39 additional House races after internal polling showed risk in districts previously considered safe; leaders warned campaigns not to assume victory even where Trump won by double digits.</x:v>
      </x:c>
      <x:c r="I239" s="44" t="str">
        <x:v>Strengthens House-shift evidence</x:v>
      </x:c>
      <x:c r="J239" s="44" t="n">
        <x:v>5</x:v>
      </x:c>
      <x:c r="K239" s="44" t="str">
        <x:v>Campaign allocation is an independent behavioral signal that supports Cook's district-rating changes, but the Republican funding advantage and unresolved voting outcome prevent an Actionable classification.</x:v>
      </x:c>
    </x:row>
    <x:row r="240">
      <x:c r="A240" t="str">
        <x:v>EV-2026-235</x:v>
      </x:c>
      <x:c r="B240" t="str">
        <x:v>EEI-2026-003</x:v>
      </x:c>
      <x:c r="C240" s="53" t="n">
        <x:v>46293.62850694445</x:v>
      </x:c>
      <x:c r="D240" t="str">
        <x:v>Market confirmation</x:v>
      </x:c>
      <x:c r="E240" t="str">
        <x:v>Reuters and current fund market data</x:v>
      </x:c>
      <x:c r="F240" t="str">
        <x:v>High-quality reporting and live market data</x:v>
      </x:c>
      <x:c r="G240" s="44" t="str">
        <x:v>https://www.reuters.com/world/china/global-markets-global-markets-2026-09-28/</x:v>
      </x:c>
      <x:c r="H240" s="44" t="str">
        <x:v>Brent rose about 4% to $108.50, the 10-year Treasury yield reached about 5.22%, and markets implied a 68% chance of another Fed hike in October. Near 10:53 a.m. ET, SPY, RSP, IWM, XLI, XLB, XLF and CPER were all lower; only XLV and XBI were slightly positive, while VIXY rose.</x:v>
      </x:c>
      <x:c r="I240" s="44" t="str">
        <x:v>Contradicts broad risk participation</x:v>
      </x:c>
      <x:c r="J240" s="44" t="n">
        <x:v>5</x:v>
      </x:c>
      <x:c r="K240" s="44" t="str">
        <x:v>Equal weight modestly outperformed SPY, but negative absolute breadth among the tracked candidates, weaker cyclicals and higher volatility exposure do not confirm the expected broad uncertainty-relief mechanism.</x:v>
      </x:c>
    </x:row>
    <x:row r="241">
      <x:c r="A241" t="str">
        <x:v>EV-2026-236</x:v>
      </x:c>
      <x:c r="B241" t="str">
        <x:v>EEI-2026-003</x:v>
      </x:c>
      <x:c r="C241" s="53" t="n">
        <x:v>46293.62850694445</x:v>
      </x:c>
      <x:c r="D241" t="str">
        <x:v>Policy modifier</x:v>
      </x:c>
      <x:c r="E241" t="str">
        <x:v>Reuters</x:v>
      </x:c>
      <x:c r="F241" t="str">
        <x:v>High-quality reporting</x:v>
      </x:c>
      <x:c r="G241" s="44" t="str">
        <x:v>https://www.reuters.com/legal/government/democrats-probe-lucrative-trump-family-business-deals-if-they-win-midterms-2026-09-28/</x:v>
      </x:c>
      <x:c r="H241" s="44" t="str">
        <x:v>Democratic lawmakers and staff described plans to use subpoena power and expanded investigative staff if the party controls either chamber, with inquiries potentially beginning in February.</x:v>
      </x:c>
      <x:c r="I241" s="44" t="str">
        <x:v>Clarifies oversight mechanism; no direct sector signal</x:v>
      </x:c>
      <x:c r="J241" s="44" t="n">
        <x:v>4</x:v>
      </x:c>
      <x:c r="K241" s="44" t="str">
        <x:v>This defines a plausible policy consequence of a chamber shift, but it is conditional on control and maps more directly to oversight and legal risk than to the broad equity, industrial, materials, health-care, financial or small-cap candidates.</x:v>
      </x:c>
    </x:row>
    <x:row r="242">
      <x:c r="A242" t="str">
        <x:v>EV-2026-237</x:v>
      </x:c>
      <x:c r="B242" t="str">
        <x:v>EEI-2026-001</x:v>
      </x:c>
      <x:c r="C242" s="56" t="n">
        <x:v>46293.833333333336</x:v>
      </x:c>
      <x:c r="D242" t="str">
        <x:v>Paper-trade outcome</x:v>
      </x:c>
      <x:c r="E242" t="str">
        <x:v>S&amp;P Global Market Intelligence via StockAnalysis</x:v>
      </x:c>
      <x:c r="F242" t="str">
        <x:v>Regular-session closing market data</x:v>
      </x:c>
      <x:c r="G242" s="44" t="str">
        <x:v>https://stockanalysis.com/etf/bno/</x:v>
      </x:c>
      <x:c r="H242" s="44" t="str">
        <x:v>BNO closed September 28 at $60.33 versus the $57.21 September 8 opening entry. The $1,000 paper position was worth $1,054.54, up $54.54 or 5.45%; BNO gained 1.14% for the session.</x:v>
      </x:c>
      <x:c r="I242" s="44" t="str">
        <x:v>Supports the cleanest direct expression</x:v>
      </x:c>
      <x:c r="J242" s="44" t="n">
        <x:v>5</x:v>
      </x:c>
      <x:c r="K242" s="44" t="str">
        <x:v>BNO remains the strongest of the three positions. This is continued tracking after the formal September 18 horizon and does not change the completed outcome score.</x:v>
      </x:c>
    </x:row>
    <x:row r="243">
      <x:c r="A243" t="str">
        <x:v>EV-2026-238</x:v>
      </x:c>
      <x:c r="B243" t="str">
        <x:v>EEI-2026-001</x:v>
      </x:c>
      <x:c r="C243" s="56" t="n">
        <x:v>46293.833333333336</x:v>
      </x:c>
      <x:c r="D243" t="str">
        <x:v>Paper-trade outcome</x:v>
      </x:c>
      <x:c r="E243" t="str">
        <x:v>S&amp;P Global Market Intelligence via StockAnalysis</x:v>
      </x:c>
      <x:c r="F243" t="str">
        <x:v>Regular-session closing market data</x:v>
      </x:c>
      <x:c r="G243" s="44" t="str">
        <x:v>https://stockanalysis.com/etf/uso/</x:v>
      </x:c>
      <x:c r="H243" s="44" t="str">
        <x:v>USO closed September 28 at $150.01 versus the $144.60 September 8 opening entry. The $1,000 paper position was worth $1,037.41, up $37.41 or 3.74%; USO gained 1.13% for the session.</x:v>
      </x:c>
      <x:c r="I243" s="44" t="str">
        <x:v>Supports direct crude expression</x:v>
      </x:c>
      <x:c r="J243" s="44" t="n">
        <x:v>5</x:v>
      </x:c>
      <x:c r="K243" s="44" t="str">
        <x:v>USO remains above entry and continues to outperform XOP. This is a post-horizon observation.</x:v>
      </x:c>
    </x:row>
    <x:row r="244">
      <x:c r="A244" t="str">
        <x:v>EV-2026-239</x:v>
      </x:c>
      <x:c r="B244" t="str">
        <x:v>EEI-2026-001</x:v>
      </x:c>
      <x:c r="C244" s="56" t="n">
        <x:v>46293.833333333336</x:v>
      </x:c>
      <x:c r="D244" t="str">
        <x:v>Paper-trade outcome</x:v>
      </x:c>
      <x:c r="E244" t="str">
        <x:v>S&amp;P Global Market Intelligence via StockAnalysis</x:v>
      </x:c>
      <x:c r="F244" t="str">
        <x:v>Regular-session closing market data</x:v>
      </x:c>
      <x:c r="G244" s="44" t="str">
        <x:v>https://stockanalysis.com/etf/xop/</x:v>
      </x:c>
      <x:c r="H244" s="44" t="str">
        <x:v>XOP closed September 28 at $180.14 versus the $193.84 September 8 opening entry. The $1,000 paper position was worth $929.32, down $70.68 or 7.07%; XOP fell 0.75% for the session.</x:v>
      </x:c>
      <x:c r="I244" s="44" t="str">
        <x:v>Continues to weaken the indirect equity expression</x:v>
      </x:c>
      <x:c r="J244" s="44" t="n">
        <x:v>5</x:v>
      </x:c>
      <x:c r="K244" s="44" t="str">
        <x:v>The producer-equity proxy remains the expression failure and materially trails both direct crude funds, reinforcing the methodology's clean-expression rule.</x:v>
      </x:c>
    </x:row>
    <x:row r="245">
      <x:c r="A245" t="str">
        <x:v>EV-2026-240</x:v>
      </x:c>
      <x:c r="B245" t="str">
        <x:v>EEI-2026-001</x:v>
      </x:c>
      <x:c r="C245" s="56" t="n">
        <x:v>46293.833333333336</x:v>
      </x:c>
      <x:c r="D245" t="str">
        <x:v>Post-horizon scarcity confirmation</x:v>
      </x:c>
      <x:c r="E245" t="str">
        <x:v>Reuters</x:v>
      </x:c>
      <x:c r="F245" t="str">
        <x:v>High-quality reporting and market data</x:v>
      </x:c>
      <x:c r="G245" s="44" t="str">
        <x:v>https://www.reuters.com/business/energy/oil-rebounds-after-trump-rejects-iran-peace-deal-2026-09-27/</x:v>
      </x:c>
      <x:c r="H245" s="44" t="str">
        <x:v>Oil rebounded after President Trump rejected Iran's proposal to end the conflict and reopen Hormuz. The diplomatic setback kept Middle East supply risk elevated and lifted the direct crude paper positions at the September 28 close.</x:v>
      </x:c>
      <x:c r="I245" s="44" t="str">
        <x:v>Confirms residual scarcity risk and headline sensitivity</x:v>
      </x:c>
      <x:c r="J245" s="44" t="n">
        <x:v>5</x:v>
      </x:c>
      <x:c r="K245" s="44" t="str">
        <x:v>BNO and USO rose while XOP fell. The three-position portfolio closed at $3,021.27, up $21.27 or 0.71% from inception. The formal September 18 result remains unchanged.</x:v>
      </x:c>
    </x:row>
    <x:row r="246">
      <x:c r="A246" t="str">
        <x:v>EV-2026-241</x:v>
      </x:c>
      <x:c r="B246" t="str">
        <x:v>EEI-2026-001</x:v>
      </x:c>
      <x:c r="C246" s="56" t="n">
        <x:v>46293.833333333336</x:v>
      </x:c>
      <x:c r="D246" t="str">
        <x:v>Post-horizon normalization modifier</x:v>
      </x:c>
      <x:c r="E246" t="str">
        <x:v>Reuters</x:v>
      </x:c>
      <x:c r="F246" t="str">
        <x:v>High-quality reporting based on preliminary Kpler data</x:v>
      </x:c>
      <x:c r="G246" s="44" t="str">
        <x:v>https://www.reuters.com/business/energy/oil-rebounds-after-trump-rejects-iran-peace-deal-2026-09-27/</x:v>
      </x:c>
      <x:c r="H246" s="44" t="str">
        <x:v>Preliminary Kpler data showed crude exports from key Middle East producers at 12.8 million barrels per day in September, the highest level since the war began, as Saudi Arabia and the UAE increased shipments. Further Qatar-mediated talks were also expected.</x:v>
      </x:c>
      <x:c r="I246" s="44" t="str">
        <x:v>Offsets the scarcity signal and limits extended-hold upside</x:v>
      </x:c>
      <x:c r="J246" s="44" t="n">
        <x:v>5</x:v>
      </x:c>
      <x:c r="K246" s="44" t="str">
        <x:v>The market is adapting even though Hormuz risk persists. Higher export volumes and continuing diplomacy remain the main path toward further compression of the scarcity premium.</x:v>
      </x:c>
    </x:row>
    <x:row r="247">
      <x:c r="A247" t="str">
        <x:v>EV-2026-242</x:v>
      </x:c>
      <x:c r="B247" t="str">
        <x:v>EEI-2026-002</x:v>
      </x:c>
      <x:c r="C247" s="21" t="n">
        <x:v>46294.50347222222</x:v>
      </x:c>
      <x:c r="D247" t="str">
        <x:v>Contradictory</x:v>
      </x:c>
      <x:c r="E247" t="str">
        <x:v>Reuters via Business Recorder</x:v>
      </x:c>
      <x:c r="F247" t="str">
        <x:v>High quality reporting</x:v>
      </x:c>
      <x:c r="G247" s="44" t="str">
        <x:v>https://www.brecorder.com/news/40441719/qatar-linked-lng-traffic-thru-hormuz-picks-up</x:v>
      </x:c>
      <x:c r="H247" s="44" t="str">
        <x:v>Visible Qatar-linked LNG tanker transits resumed in September after none were observed in August; GasLog Skagen emerged outside Hormuz with a Ras Laffan cargo.</x:v>
      </x:c>
      <x:c r="I247" s="44" t="str">
        <x:v>Weakens</x:v>
      </x:c>
      <x:c r="J247" s="44" t="n">
        <x:v>4</x:v>
      </x:c>
      <x:c r="K247" s="44" t="str">
        <x:v>Partial route normalization; force majeure and damaged-train constraints remain.</x:v>
      </x:c>
    </x:row>
    <x:row r="248">
      <x:c r="A248" t="str">
        <x:v>EV-2026-243</x:v>
      </x:c>
      <x:c r="B248" t="str">
        <x:v>EEI-2026-009</x:v>
      </x:c>
      <x:c r="C248" s="21" t="n">
        <x:v>46294.50347222222</x:v>
      </x:c>
      <x:c r="D248" t="str">
        <x:v>Neutral</x:v>
      </x:c>
      <x:c r="E248" t="str">
        <x:v>Reuters</x:v>
      </x:c>
      <x:c r="F248" t="str">
        <x:v>High quality reporting</x:v>
      </x:c>
      <x:c r="G248" s="44" t="str">
        <x:v>https://www.reuters.com/business/energy/oil-prices-rise-second-session-continued-middle-east-supply-concern-2026-09-29/</x:v>
      </x:c>
      <x:c r="H248" s="44" t="str">
        <x:v>The U.S. considered broader sales of red-dyed diesel as an alternative to an export ban; Gulf crude exports reached 12.8 million bpd while costly workarounds persisted.</x:v>
      </x:c>
      <x:c r="I248" s="44" t="str">
        <x:v>Mixed</x:v>
      </x:c>
      <x:c r="J248" s="44" t="n">
        <x:v>4</x:v>
      </x:c>
      <x:c r="K248" s="44" t="str">
        <x:v>Reduces immediate export-ban risk without resolving global diesel scarcity.</x:v>
      </x:c>
    </x:row>
    <x:row r="249">
      <x:c r="A249" t="str">
        <x:v>EV-2026-244</x:v>
      </x:c>
      <x:c r="B249" t="str">
        <x:v>EEI-2026-011</x:v>
      </x:c>
      <x:c r="C249" s="21" t="n">
        <x:v>46294.50347222222</x:v>
      </x:c>
      <x:c r="D249" t="str">
        <x:v>Supporting and contradictory</x:v>
      </x:c>
      <x:c r="E249" t="str">
        <x:v>Reuters</x:v>
      </x:c>
      <x:c r="F249" t="str">
        <x:v>High quality reporting</x:v>
      </x:c>
      <x:c r="G249" s="44" t="str">
        <x:v>https://www.reuters.com/business/energy/oil-prices-rise-second-session-continued-middle-east-supply-concern-2026-09-29/</x:v>
      </x:c>
      <x:c r="H249" s="44" t="str">
        <x:v>Higher Gulf exports still relied on inefficient ship-to-ship transfers, but aggregate exports recovered and mediation continued.</x:v>
      </x:c>
      <x:c r="I249" s="44" t="str">
        <x:v>Mixed</x:v>
      </x:c>
      <x:c r="J249" s="44" t="n">
        <x:v>4</x:v>
      </x:c>
      <x:c r="K249" s="44" t="str">
        <x:v>Supports vessel-day use while increasing normalization risk.</x:v>
      </x:c>
    </x:row>
    <x:row r="250">
      <x:c r="A250" t="str">
        <x:v>EV-2026-245</x:v>
      </x:c>
      <x:c r="B250" t="str">
        <x:v>EEI-2026-003</x:v>
      </x:c>
      <x:c r="C250" s="21" t="n">
        <x:v>46294.50347222222</x:v>
      </x:c>
      <x:c r="D250" t="str">
        <x:v>Supporting</x:v>
      </x:c>
      <x:c r="E250" t="str">
        <x:v>Associated Press</x:v>
      </x:c>
      <x:c r="F250" t="str">
        <x:v>High quality reporting</x:v>
      </x:c>
      <x:c r="G250" s="44" t="str">
        <x:v>https://apnews.com/article/196b287c170f2e8e6386908b441339d2</x:v>
      </x:c>
      <x:c r="H250" s="44" t="str">
        <x:v>Republicans shifted Senate resources toward defending Texas and Ohio as their Georgia and North Carolina prospects weakened.</x:v>
      </x:c>
      <x:c r="I250" s="44" t="str">
        <x:v>Strengthens</x:v>
      </x:c>
      <x:c r="J250" s="44" t="n">
        <x:v>4</x:v>
      </x:c>
      <x:c r="K250" s="44" t="str">
        <x:v>Campaign allocation is independent behavior evidence, not an election result.</x:v>
      </x:c>
    </x:row>
    <x:row r="251">
      <x:c r="A251" t="str">
        <x:v>EV-2026-246</x:v>
      </x:c>
      <x:c r="B251" t="str">
        <x:v>EEI-2026-003</x:v>
      </x:c>
      <x:c r="C251" s="21" t="n">
        <x:v>46294.50347222222</x:v>
      </x:c>
      <x:c r="D251" t="str">
        <x:v>Contradictory and market confirmation</x:v>
      </x:c>
      <x:c r="E251" t="str">
        <x:v>Reuters</x:v>
      </x:c>
      <x:c r="F251" t="str">
        <x:v>High quality reporting</x:v>
      </x:c>
      <x:c r="G251" s="44" t="str">
        <x:v>https://www.reuters.com/world/china/global-markets-global-markets-2026-09-29/</x:v>
      </x:c>
      <x:c r="H251" s="44" t="str">
        <x:v>The U.S. 10-year yield was near 5.27%, oil remained elevated and global equities faced rate pressure.</x:v>
      </x:c>
      <x:c r="I251" s="44" t="str">
        <x:v>Weakens entry</x:v>
      </x:c>
      <x:c r="J251" s="44" t="n">
        <x:v>4</x:v>
      </x:c>
      <x:c r="K251" s="44" t="str">
        <x:v>High yields and oil remain adverse to broadening and small-cap confirmation.</x:v>
      </x:c>
    </x:row>
    <x:row r="252">
      <x:c r="A252" t="str">
        <x:v>EV-2026-247</x:v>
      </x:c>
      <x:c r="B252"/>
      <x:c r="C252" s="21" t="n">
        <x:v>46294.50347222222</x:v>
      </x:c>
      <x:c r="D252" t="str">
        <x:v>Rejected Motley Fool trigger</x:v>
      </x:c>
      <x:c r="E252" t="str">
        <x:v>The Motley Fool — Stefon Walters</x:v>
      </x:c>
      <x:c r="F252" t="str">
        <x:v>Idea generator only</x:v>
      </x:c>
      <x:c r="G252" s="44" t="str">
        <x:v>https://www.fool.com/investing/2026/09/25/the-magnificent-seven-stocks-heres-the-1-im-buying/</x:v>
      </x:c>
      <x:c r="H252" s="44" t="str">
        <x:v>A free September 25 editorial called Alphabet the best Magnificent Seven value, citing 82% Google Cloud growth and roughly $514 billion of cloud backlog.</x:v>
      </x:c>
      <x:c r="I252" s="44" t="str">
        <x:v>Rejected</x:v>
      </x:c>
      <x:c r="J252" s="44" t="n">
        <x:v>2</x:v>
      </x:c>
      <x:c r="K252" s="44" t="str">
        <x:v>Ticker GOOGL; long-term AI/cloud thesis. The author disclosed positions in Apple, Microsoft and TSM, not Alphabet; Motley Fool disclosed an Alphabet position and recommendation. SEC and company records confirm the growth, but Q2 also produced negative $5.9 billion free cash flow and $195-$205 billion 2026 capex guidance. The catalyst was two months old, not a new paid-service recommendation, and did not justify a distinct thesis or entry.</x:v>
      </x:c>
    </x:row>
    <x:row r="253">
      <x:c r="A253" t="str">
        <x:v>EV-2026-248</x:v>
      </x:c>
      <x:c r="B253" t="str">
        <x:v>EEI-2026-012</x:v>
      </x:c>
      <x:c r="C253" s="21" t="n">
        <x:v>46294.50347222222</x:v>
      </x:c>
      <x:c r="D253" t="str">
        <x:v>Primary confirmation</x:v>
      </x:c>
      <x:c r="E253" t="str">
        <x:v>U.S. Department of War / Air Force</x:v>
      </x:c>
      <x:c r="F253" t="str">
        <x:v>Primary government</x:v>
      </x:c>
      <x:c r="G253" s="44" t="str">
        <x:v>https://www.war.gov/News/Contracts/Contract/Article/4613098/contracts-for-sept-28-2026/</x:v>
      </x:c>
      <x:c r="H253" s="44" t="str">
        <x:v>New award FA8556-26-C-B001 is a sole-source, not-to-exceed $20,699,334,581 multiyear AMRAAM contract through June 30, 2033; $85,715 of FY2026 weapons funds and $154,266,225 of FMS funds were obligated at award.</x:v>
      </x:c>
      <x:c r="I253" s="44" t="str">
        <x:v>Strengthens</x:v>
      </x:c>
      <x:c r="J253" s="44" t="n">
        <x:v>5</x:v>
      </x:c>
      <x:c r="K253" s="44" t="str">
        <x:v>Recipient Raytheon Co.; parent RTX Corp.; Air Force Life Cycle Management Center. New contract action, not a routine modification. Fixed-price incentive firm and firm-fixed-price undefinitized. FMS includes 16 named allies. NAICS/PSC and USAspending current/potential fields were not yet indexed at scan time and are left unresolved rather than inferred.</x:v>
      </x:c>
    </x:row>
    <x:row r="254">
      <x:c r="A254" t="str">
        <x:v>EV-2026-249</x:v>
      </x:c>
      <x:c r="B254" t="str">
        <x:v>EEI-2026-012</x:v>
      </x:c>
      <x:c r="C254" s="21" t="n">
        <x:v>46294.50347222222</x:v>
      </x:c>
      <x:c r="D254" t="str">
        <x:v>Primary confirmation</x:v>
      </x:c>
      <x:c r="E254" t="str">
        <x:v>RTX / Raytheon</x:v>
      </x:c>
      <x:c r="F254" t="str">
        <x:v>Primary company</x:v>
      </x:c>
      <x:c r="G254" s="44" t="str">
        <x:v>https://www.rtx.com/news/news-center/2026/09/28/rtxs-raytheon-awarded-20-7-billion-multi-year-contract-for-amraam-under-landmar</x:v>
      </x:c>
      <x:c r="H254" s="44" t="str">
        <x:v>RTX confirmed the five-year contract plus two option years and said production nearly doubled in 2025, with a goal of at least 1,900 AMRAAM missiles annually.</x:v>
      </x:c>
      <x:c r="I254" s="44" t="str">
        <x:v>Strengthens</x:v>
      </x:c>
      <x:c r="J254" s="44" t="n">
        <x:v>5</x:v>
      </x:c>
      <x:c r="K254" s="44" t="str">
        <x:v>Issuer announcement; confirm economics through obligations and filings rather than promotional language.</x:v>
      </x:c>
    </x:row>
    <x:row r="255">
      <x:c r="A255" t="str">
        <x:v>EV-2026-250</x:v>
      </x:c>
      <x:c r="B255" t="str">
        <x:v>EEI-2026-012</x:v>
      </x:c>
      <x:c r="C255" s="21" t="n">
        <x:v>46294.50347222222</x:v>
      </x:c>
      <x:c r="D255" t="str">
        <x:v>Independent confirmation</x:v>
      </x:c>
      <x:c r="E255" t="str">
        <x:v>Reuters</x:v>
      </x:c>
      <x:c r="F255" t="str">
        <x:v>High quality reporting</x:v>
      </x:c>
      <x:c r="G255" s="44" t="str">
        <x:v>https://www.reuters.com/business/aerospace-defense/pentagon-awards-rtxs-raytheon-207-billion-contract-for-amraam-missiles-amid-2026-09-28/</x:v>
      </x:c>
      <x:c r="H255" s="44" t="str">
        <x:v>Reuters confirmed the provisional multiyear award and reported that full-scale investment depends on Congressional appropriations.</x:v>
      </x:c>
      <x:c r="I255" s="44" t="str">
        <x:v>Strengthens with modifier</x:v>
      </x:c>
      <x:c r="J255" s="44" t="n">
        <x:v>4</x:v>
      </x:c>
      <x:c r="K255" s="44" t="str">
        <x:v>Independent confirmation and strongest funding contradiction. RTX 2025 sales exceeded $88 billion, making the ceiling about 23.5% of one year of company sales, but only about $154.35 million was initially obligated and revenue recognition spans years.</x:v>
      </x:c>
    </x:row>
    <x:row r="256">
      <x:c r="A256" t="str">
        <x:v>EV-2026-251</x:v>
      </x:c>
      <x:c r="B256" t="str">
        <x:v>EEI-2026-012</x:v>
      </x:c>
      <x:c r="C256" s="21" t="n">
        <x:v>46294.50347222222</x:v>
      </x:c>
      <x:c r="D256" t="str">
        <x:v>Market confirmation</x:v>
      </x:c>
      <x:c r="E256" t="str">
        <x:v>Wall Street Journal</x:v>
      </x:c>
      <x:c r="F256" t="str">
        <x:v>High quality reporting</x:v>
      </x:c>
      <x:c r="G256" s="44" t="str">
        <x:v>https://www.wsj.com/business/raytheon-gets-20-7-billion-contract-to-accelerate-amraam-missile-production-25f96d73</x:v>
      </x:c>
      <x:c r="H256" s="44" t="str">
        <x:v>RTX shares rose about 1.3% to $190 after hours following the award announcement.</x:v>
      </x:c>
      <x:c r="I256" s="44" t="str">
        <x:v>Modest confirmation</x:v>
      </x:c>
      <x:c r="J256" s="44" t="n">
        <x:v>4</x:v>
      </x:c>
      <x:c r="K256" s="44" t="str">
        <x:v>The reaction was positive but not a sustained breakout; current scan quote was about $187.66.</x:v>
      </x:c>
    </x:row>
    <x:row r="257">
      <x:c r="A257" t="str">
        <x:v>EV-2026-252</x:v>
      </x:c>
      <x:c r="B257"/>
      <x:c r="C257" s="21" t="n">
        <x:v>46294.50347222222</x:v>
      </x:c>
      <x:c r="D257" t="str">
        <x:v>Rejected corporate trigger</x:v>
      </x:c>
      <x:c r="E257" t="str">
        <x:v>Reuters</x:v>
      </x:c>
      <x:c r="F257" t="str">
        <x:v>High quality reporting</x:v>
      </x:c>
      <x:c r="G257" s="44" t="str">
        <x:v>https://www.reuters.com/business/ftse-100-rises-astraZeneca-lifts-healthcare-sector-2026-09-29/</x:v>
      </x:c>
      <x:c r="H257" s="44" t="str">
        <x:v>AstraZeneca announced a $2 billion investment in Summit Therapeutics and Summit shares jumped about 18.4%.</x:v>
      </x:c>
      <x:c r="I257" s="44" t="str">
        <x:v>Rejected as entry</x:v>
      </x:c>
      <x:c r="J257" s="44" t="n">
        <x:v>4</x:v>
      </x:c>
      <x:c r="K257" s="44" t="str">
        <x:v>A material oncology partnership, but the immediate price jump, clinical concentration and incomplete program economics create headline-chasing risk. No distinct thesis was opened without further primary clinical and transaction review.</x:v>
      </x:c>
    </x:row>
    <x:row r="258">
      <x:c r="A258" t="str">
        <x:v>EV-2026-253</x:v>
      </x:c>
      <x:c r="B258" t="str">
        <x:v>EEI-2026-003</x:v>
      </x:c>
      <x:c r="C258" s="53" t="n">
        <x:v>46294.62361111111</x:v>
      </x:c>
      <x:c r="D258" t="str">
        <x:v>Market confirmation</x:v>
      </x:c>
      <x:c r="E258" t="str">
        <x:v>Reuters and current fund market data</x:v>
      </x:c>
      <x:c r="F258" t="str">
        <x:v>High-quality reporting and live market data</x:v>
      </x:c>
      <x:c r="G258" s="44" t="str">
        <x:v>https://www.reuters.com/business/us-stock-futures-flat-tech-bounce-meets-crude-driven-caution-2026-09-29/</x:v>
      </x:c>
      <x:c r="H258" s="44" t="str">
        <x:v>Near 10:57 a.m. ET, SPY was nearly flat while RSP and IWM fell about 0.30%. XLI rose 0.21% and CPER 0.48%, but XLB, XLV, XBI and XLF declined. Reuters reported more decliners than advancers and the 10-year yield near 5.08%.</x:v>
      </x:c>
      <x:c r="I258" s="44" t="str">
        <x:v>Contradicts broad participation</x:v>
      </x:c>
      <x:c r="J258" s="44" t="n">
        <x:v>5</x:v>
      </x:c>
      <x:c r="K258" s="44" t="str">
        <x:v>The premarket health-care and biotech strength reversed. Isolated industrial and copper gains do not offset lagging equal weight, small caps and most tracked sectors, so the expected uncertainty-relief mechanism is not confirmed.</x:v>
      </x:c>
    </x:row>
    <x:row r="259">
      <x:c r="A259" t="str">
        <x:v>EV-2026-254</x:v>
      </x:c>
      <x:c r="B259" t="str">
        <x:v>EEI-2026-001</x:v>
      </x:c>
      <x:c r="C259" s="56" t="n">
        <x:v>46294.833333333336</x:v>
      </x:c>
      <x:c r="D259" t="str">
        <x:v>Paper-trade outcome</x:v>
      </x:c>
      <x:c r="E259" t="str">
        <x:v>S&amp;P Global Market Intelligence via StockAnalysis</x:v>
      </x:c>
      <x:c r="F259" t="str">
        <x:v>Regular-session closing market data</x:v>
      </x:c>
      <x:c r="G259" s="44" t="str">
        <x:v>https://stockanalysis.com/etf/bno/</x:v>
      </x:c>
      <x:c r="H259" s="44" t="str">
        <x:v>BNO closed September 29 at $58.75 versus the $57.21 September 8 opening entry. The $1,000 paper position was worth $1,026.92, up $26.92 or 2.69%; BNO fell 2.62% for the session.</x:v>
      </x:c>
      <x:c r="I259" s="44" t="str">
        <x:v>Still supports the cleanest direct expression, but weakens the extended hold</x:v>
      </x:c>
      <x:c r="J259" s="44" t="n">
        <x:v>5</x:v>
      </x:c>
      <x:c r="K259" s="44" t="str">
        <x:v>BNO remains the only profitable position. This is continued tracking after the formal September 18 horizon and does not change the completed outcome score.</x:v>
      </x:c>
    </x:row>
    <x:row r="260">
      <x:c r="A260" t="str">
        <x:v>EV-2026-255</x:v>
      </x:c>
      <x:c r="B260" t="str">
        <x:v>EEI-2026-001</x:v>
      </x:c>
      <x:c r="C260" s="56" t="n">
        <x:v>46294.833333333336</x:v>
      </x:c>
      <x:c r="D260" t="str">
        <x:v>Paper-trade outcome</x:v>
      </x:c>
      <x:c r="E260" t="str">
        <x:v>S&amp;P Global Market Intelligence via StockAnalysis</x:v>
      </x:c>
      <x:c r="F260" t="str">
        <x:v>Regular-session closing market data</x:v>
      </x:c>
      <x:c r="G260" s="44" t="str">
        <x:v>https://stockanalysis.com/etf/uso/</x:v>
      </x:c>
      <x:c r="H260" s="44" t="str">
        <x:v>USO closed September 29 at $143.35 versus the $144.60 September 8 opening entry. The $1,000 paper position was worth $991.36, down $8.64 or 0.86%; USO fell 4.44% for the session.</x:v>
      </x:c>
      <x:c r="I260" s="44" t="str">
        <x:v>Weakens the direct WTI expression after the evaluation horizon</x:v>
      </x:c>
      <x:c r="J260" s="44" t="n">
        <x:v>5</x:v>
      </x:c>
      <x:c r="K260" s="44" t="str">
        <x:v>USO moved below entry after being strongly profitable during the formal window, showing how quickly the post-horizon scarcity premium can reverse.</x:v>
      </x:c>
    </x:row>
    <x:row r="261">
      <x:c r="A261" t="str">
        <x:v>EV-2026-256</x:v>
      </x:c>
      <x:c r="B261" t="str">
        <x:v>EEI-2026-001</x:v>
      </x:c>
      <x:c r="C261" s="56" t="n">
        <x:v>46294.833333333336</x:v>
      </x:c>
      <x:c r="D261" t="str">
        <x:v>Paper-trade outcome</x:v>
      </x:c>
      <x:c r="E261" t="str">
        <x:v>S&amp;P Global Market Intelligence via StockAnalysis</x:v>
      </x:c>
      <x:c r="F261" t="str">
        <x:v>Regular-session closing market data</x:v>
      </x:c>
      <x:c r="G261" s="44" t="str">
        <x:v>https://stockanalysis.com/etf/xop/</x:v>
      </x:c>
      <x:c r="H261" s="44" t="str">
        <x:v>XOP closed September 29 at $178.63 versus the $193.84 September 8 opening entry. The $1,000 paper position was worth $921.53, down $78.47 or 7.85%; XOP fell 0.84% for the session.</x:v>
      </x:c>
      <x:c r="I261" s="44" t="str">
        <x:v>Continues to weaken the indirect equity expression</x:v>
      </x:c>
      <x:c r="J261" s="44" t="n">
        <x:v>5</x:v>
      </x:c>
      <x:c r="K261" s="44" t="str">
        <x:v>The producer-equity proxy remains the expression failure and materially trails the direct crude funds, reinforcing the methodology preference for cleaner exposure.</x:v>
      </x:c>
    </x:row>
    <x:row r="262">
      <x:c r="A262" t="str">
        <x:v>EV-2026-257</x:v>
      </x:c>
      <x:c r="B262" t="str">
        <x:v>EEI-2026-001</x:v>
      </x:c>
      <x:c r="C262" s="56" t="n">
        <x:v>46294.833333333336</x:v>
      </x:c>
      <x:c r="D262" t="str">
        <x:v>Post-horizon normalization confirmation</x:v>
      </x:c>
      <x:c r="E262" t="str">
        <x:v>Reuters</x:v>
      </x:c>
      <x:c r="F262" t="str">
        <x:v>High-quality reporting, settlement and shipping data</x:v>
      </x:c>
      <x:c r="G262" s="44" t="str">
        <x:v>https://www.reuters.com/business/energy/oil-prices-rise-second-session-continued-middle-east-supply-concern-2026-09-29/</x:v>
      </x:c>
      <x:c r="H262" s="44" t="str">
        <x:v>Brent settled 2.6% lower at $102.59 and WTI fell 3.5% to $89.38 as Saudi Arabia resumed Yanbu loadings, East-West Pipeline flows increased and Middle East crude exports reached 16.328 million barrels per day, the highest since the war began.</x:v>
      </x:c>
      <x:c r="I262" s="44" t="str">
        <x:v>Materially weakens the extended-hold scarcity thesis</x:v>
      </x:c>
      <x:c r="J262" s="44" t="n">
        <x:v>5</x:v>
      </x:c>
      <x:c r="K262" s="44" t="str">
        <x:v>The original thesis succeeded inside its formal horizon, but restored bypass capacity and record postwar regional export volume now show the market adapting to the disruption.</x:v>
      </x:c>
    </x:row>
    <x:row r="263">
      <x:c r="A263" t="str">
        <x:v>EV-2026-258</x:v>
      </x:c>
      <x:c r="B263" t="str">
        <x:v>EEI-2026-001</x:v>
      </x:c>
      <x:c r="C263" s="56" t="n">
        <x:v>46294.833333333336</x:v>
      </x:c>
      <x:c r="D263" t="str">
        <x:v>Policy supply modifier</x:v>
      </x:c>
      <x:c r="E263" t="str">
        <x:v>Reuters</x:v>
      </x:c>
      <x:c r="F263" t="str">
        <x:v>High-quality reporting and U.S. Energy Department announcement</x:v>
      </x:c>
      <x:c r="G263" s="44" t="str">
        <x:v>https://www.reuters.com/business/energy/us-release-40-million-barrels-crude-strategic-petroleum-reserve-energy-2026-09-29/</x:v>
      </x:c>
      <x:c r="H263" s="44" t="str">
        <x:v>The U.S. government offered to loan energy companies up to 40 million barrels from the Strategic Petroleum Reserve, with proposals due October 6 and repayment extending through late 2028.</x:v>
      </x:c>
      <x:c r="I263" s="44" t="str">
        <x:v>Weakens near-term scarcity and adds policy-driven supply</x:v>
      </x:c>
      <x:c r="J263" s="44" t="n">
        <x:v>5</x:v>
      </x:c>
      <x:c r="K263" s="44" t="str">
        <x:v>The offer does not erase Hormuz risk, but it creates another source of prompt barrels and reinforces the negative post-horizon move in the direct crude expressions.</x:v>
      </x:c>
    </x:row>
    <x:row r="264">
      <x:c r="A264" t="str">
        <x:v>EV-2026-259</x:v>
      </x:c>
      <x:c r="B264" t="str">
        <x:v>EEI-2026-009</x:v>
      </x:c>
      <x:c r="C264" s="21" t="n">
        <x:v>46295.51619212963</x:v>
      </x:c>
      <x:c r="D264" t="str">
        <x:v>Supporting</x:v>
      </x:c>
      <x:c r="E264" t="str">
        <x:v>Reuters / Russian government</x:v>
      </x:c>
      <x:c r="F264" t="str">
        <x:v>High quality reporting</x:v>
      </x:c>
      <x:c r="G264" s="44" t="str">
        <x:v>https://www.reuters.com/business/energy/russia-extends-diesel-export-ban-until-end-october-2026-09-30/</x:v>
      </x:c>
      <x:c r="H264" s="44" t="str">
        <x:v>Russia extended its diesel-export ban for producers through the end of October. Russia is normally the world's second-largest diesel exporter after the United States.</x:v>
      </x:c>
      <x:c r="I264" s="44" t="str">
        <x:v>Strengthens</x:v>
      </x:c>
      <x:c r="J264" s="44" t="n">
        <x:v>4</x:v>
      </x:c>
      <x:c r="K264" s="44" t="str">
        <x:v>Government policy action extends the supply constraint; exceptions remain for certain intergovernmental agreements.</x:v>
      </x:c>
    </x:row>
    <x:row r="265">
      <x:c r="A265" t="str">
        <x:v>EV-2026-260</x:v>
      </x:c>
      <x:c r="B265" t="str">
        <x:v>EEI-2026-009</x:v>
      </x:c>
      <x:c r="C265" s="21" t="n">
        <x:v>46295.51619212963</x:v>
      </x:c>
      <x:c r="D265" t="str">
        <x:v>Contradictory</x:v>
      </x:c>
      <x:c r="E265" t="str">
        <x:v>Reuters</x:v>
      </x:c>
      <x:c r="F265" t="str">
        <x:v>High quality reporting</x:v>
      </x:c>
      <x:c r="G265" s="44" t="str">
        <x:v>https://www.reuters.com/business/energy/oil-climbs-after-trump-denies-he-is-willing-ease-sanctions-iran-2026-09-30/</x:v>
      </x:c>
      <x:c r="H265" s="44" t="str">
        <x:v>Middle East crude exports recovered toward 2025 average levels even as tight fuel markets continued to support prices.</x:v>
      </x:c>
      <x:c r="I265" s="44" t="str">
        <x:v>Weakens crude/logistics component; does not remove diesel constraint</x:v>
      </x:c>
      <x:c r="J265" s="44" t="n">
        <x:v>4</x:v>
      </x:c>
      <x:c r="K265" s="44" t="str">
        <x:v>Separates recovering crude supply from persistent refined-product scarcity.</x:v>
      </x:c>
    </x:row>
    <x:row r="266">
      <x:c r="A266" t="str">
        <x:v>EV-2026-261</x:v>
      </x:c>
      <x:c r="B266" t="str">
        <x:v>EEI-2026-002</x:v>
      </x:c>
      <x:c r="C266" s="21" t="n">
        <x:v>46295.51619212963</x:v>
      </x:c>
      <x:c r="D266" t="str">
        <x:v>Supporting</x:v>
      </x:c>
      <x:c r="E266" t="str">
        <x:v>Reuters / Edison</x:v>
      </x:c>
      <x:c r="F266" t="str">
        <x:v>High quality reporting</x:v>
      </x:c>
      <x:c r="G266" s="44" t="str">
        <x:v>https://www.reuters.com/business/energy/qatar-linked-lng-traffic-through-hormuz-strait-picks-up-despite-conflict-2026-09-28/</x:v>
      </x:c>
      <x:c r="H266" s="44" t="str">
        <x:v>QatarEnergy-linked traffic resumed visibly, but customer force-majeure extensions remained consistent with incomplete restoration of LNG deliveries.</x:v>
      </x:c>
      <x:c r="I266" s="44" t="str">
        <x:v>Mixed; scarcity persists</x:v>
      </x:c>
      <x:c r="J266" s="44" t="n">
        <x:v>4</x:v>
      </x:c>
      <x:c r="K266" s="44" t="str">
        <x:v>Visible vessel movement is not equivalent to normal contracted supply.</x:v>
      </x:c>
    </x:row>
    <x:row r="267">
      <x:c r="A267" t="str">
        <x:v>EV-2026-262</x:v>
      </x:c>
      <x:c r="B267" t="str">
        <x:v>EEI-2026-002</x:v>
      </x:c>
      <x:c r="C267" s="21" t="n">
        <x:v>46295.51619212963</x:v>
      </x:c>
      <x:c r="D267" t="str">
        <x:v>Contradictory</x:v>
      </x:c>
      <x:c r="E267" t="str">
        <x:v>Reuters / Kpler / LSEG</x:v>
      </x:c>
      <x:c r="F267" t="str">
        <x:v>High quality reporting</x:v>
      </x:c>
      <x:c r="G267" s="44" t="str">
        <x:v>https://www.reuters.com/business/energy/qatar-linked-lng-traffic-through-hormuz-strait-picks-up-despite-conflict-2026-09-28/</x:v>
      </x:c>
      <x:c r="H267" s="44" t="str">
        <x:v>More QatarEnergy-linked LNG vessels transited Hormuz visibly in September after no visible transits were recorded in August.</x:v>
      </x:c>
      <x:c r="I267" s="44" t="str">
        <x:v>Weakens</x:v>
      </x:c>
      <x:c r="J267" s="44" t="n">
        <x:v>4</x:v>
      </x:c>
      <x:c r="K267" s="44" t="str">
        <x:v>Partial route normalization does not yet resolve damaged production or extended force majeure.</x:v>
      </x:c>
    </x:row>
    <x:row r="268">
      <x:c r="A268" t="str">
        <x:v>EV-2026-263</x:v>
      </x:c>
      <x:c r="B268" t="str">
        <x:v>EEI-2026-003</x:v>
      </x:c>
      <x:c r="C268" s="21" t="n">
        <x:v>46295.51619212963</x:v>
      </x:c>
      <x:c r="D268" t="str">
        <x:v>Contradictory</x:v>
      </x:c>
      <x:c r="E268" t="str">
        <x:v>Associated Press / AdImpact</x:v>
      </x:c>
      <x:c r="F268" t="str">
        <x:v>High quality reporting</x:v>
      </x:c>
      <x:c r="G268" s="44" t="str">
        <x:v>https://apnews.com/article/democrats-midterms-new-hampshire-republicans-advantage-61a954efa9fe840b8451136f02ffa592</x:v>
      </x:c>
      <x:c r="H268" s="44" t="str">
        <x:v>Republicans were spending about $1.63 billion on nationwide campaign advertising from September 1 through Election Day versus $1.19 billion for Democrats, with an advantage in every top-tier Senate state including New Hampshire.</x:v>
      </x:c>
      <x:c r="I268" s="44" t="str">
        <x:v>Weakens Senate-control confidence</x:v>
      </x:c>
      <x:c r="J268" s="44" t="n">
        <x:v>4</x:v>
      </x:c>
      <x:c r="K268" s="44" t="str">
        <x:v>Campaign spending is not an election result, but it is credible evidence against treating a blue wave as settled.</x:v>
      </x:c>
    </x:row>
    <x:row r="269">
      <x:c r="A269" t="str">
        <x:v>EV-2026-264</x:v>
      </x:c>
      <x:c r="B269" t="str">
        <x:v>EEI-2026-003</x:v>
      </x:c>
      <x:c r="C269" s="21" t="n">
        <x:v>46295.51619212963</x:v>
      </x:c>
      <x:c r="D269" t="str">
        <x:v>Market confirmation</x:v>
      </x:c>
      <x:c r="E269" t="str">
        <x:v>Reuters / Associated Press</x:v>
      </x:c>
      <x:c r="F269" t="str">
        <x:v>High quality reporting</x:v>
      </x:c>
      <x:c r="G269" s="44" t="str">
        <x:v>https://www.reuters.com/business/us-stock-futures-inch-up-yields-ease-inflation-report-looms-2026-09-30/</x:v>
      </x:c>
      <x:c r="H269" s="44" t="str">
        <x:v>The 10-year Treasury yield remained near 5.24%; September 29's S&amp;P 500 fell 0.2% and the Russell 2000 fell 0.4%, while futures were slightly lower before inflation data.</x:v>
      </x:c>
      <x:c r="I269" s="44" t="str">
        <x:v>Weakens</x:v>
      </x:c>
      <x:c r="J269" s="44" t="n">
        <x:v>4</x:v>
      </x:c>
      <x:c r="K269" s="44" t="str">
        <x:v>High yields and weak small-cap participation remain inconsistent with broad post-shift confirmation.</x:v>
      </x:c>
    </x:row>
    <x:row r="270">
      <x:c r="A270" t="str">
        <x:v>EV-2026-265</x:v>
      </x:c>
      <x:c r="B270" t="str">
        <x:v>EEI-2026-013</x:v>
      </x:c>
      <x:c r="C270" s="21" t="n">
        <x:v>46295.51619212963</x:v>
      </x:c>
      <x:c r="D270" t="str">
        <x:v>Supporting</x:v>
      </x:c>
      <x:c r="E270" t="str">
        <x:v>U.S. Department of Defense via Reuters</x:v>
      </x:c>
      <x:c r="F270" t="str">
        <x:v>Government confirmation / high quality reporting</x:v>
      </x:c>
      <x:c r="G270" s="44" t="str">
        <x:v>https://www.reuters.com/business/autos-transportation/boeing-wins-us-navys-next-generation-fighter-contract-sources-say-2026-09-29/</x:v>
      </x:c>
      <x:c r="H270" s="44" t="str">
        <x:v>The Pentagon selected Boeing for a roughly $20 billion F/A-XX development contract to produce test aircraft; first production aircraft are expected in the 2030s.</x:v>
      </x:c>
      <x:c r="I270" s="44" t="str">
        <x:v>Strengthens</x:v>
      </x:c>
      <x:c r="J270" s="44" t="n">
        <x:v>4</x:v>
      </x:c>
      <x:c r="K270" s="44" t="str">
        <x:v>Recipient: Boeing, parent The Boeing Company; agency: U.S. Navy / Department of Defense; action: new competitive development selection. Public award identifier, obligation, NAICS/PSC and detailed performance period were not disclosed.</x:v>
      </x:c>
    </x:row>
    <x:row r="271">
      <x:c r="A271" t="str">
        <x:v>EV-2026-266</x:v>
      </x:c>
      <x:c r="B271" t="str">
        <x:v>EEI-2026-013</x:v>
      </x:c>
      <x:c r="C271" s="21" t="n">
        <x:v>46295.51619212963</x:v>
      </x:c>
      <x:c r="D271" t="str">
        <x:v>Supporting</x:v>
      </x:c>
      <x:c r="E271" t="str">
        <x:v>The Boeing Company</x:v>
      </x:c>
      <x:c r="F271" t="str">
        <x:v>Primary company filing</x:v>
      </x:c>
      <x:c r="G271" s="44" t="str">
        <x:v>https://investors.boeing.com/investors/news/press-release-details/2026/Boeing-Reports-Second-Quarter-Results/</x:v>
      </x:c>
      <x:c r="H271" s="44" t="str">
        <x:v>Boeing reported $7.5 billion of Q2 2026 Defense, Space &amp; Security revenue and $715 billion of total company backlog.</x:v>
      </x:c>
      <x:c r="I271" s="44" t="str">
        <x:v>Establishes materiality context</x:v>
      </x:c>
      <x:c r="J271" s="44" t="n">
        <x:v>5</x:v>
      </x:c>
      <x:c r="K271" s="44" t="str">
        <x:v>A $20 billion development headline is material relative to annual defense revenue, but the undisclosed funding and recognition schedule prevent treating the full amount as near-term revenue.</x:v>
      </x:c>
    </x:row>
    <x:row r="272">
      <x:c r="A272" t="str">
        <x:v>EV-2026-267</x:v>
      </x:c>
      <x:c r="B272" t="str">
        <x:v>EEI-2026-013</x:v>
      </x:c>
      <x:c r="C272" s="21" t="n">
        <x:v>46295.51619212963</x:v>
      </x:c>
      <x:c r="D272" t="str">
        <x:v>Market confirmation</x:v>
      </x:c>
      <x:c r="E272" t="str">
        <x:v>Reuters</x:v>
      </x:c>
      <x:c r="F272" t="str">
        <x:v>High quality reporting</x:v>
      </x:c>
      <x:c r="G272" s="44" t="str">
        <x:v>https://www.reuters.com/business/us-stock-futures-inch-up-yields-ease-inflation-report-looms-2026-09-30/</x:v>
      </x:c>
      <x:c r="H272" s="44" t="str">
        <x:v>Boeing rose about 2.1% premarket after rising about 2.25% after hours; Northrop Grumman fell about 3.5% after losing the competition.</x:v>
      </x:c>
      <x:c r="I272" s="44" t="str">
        <x:v>Confirms importance; weakens entry</x:v>
      </x:c>
      <x:c r="J272" s="44" t="n">
        <x:v>4</x:v>
      </x:c>
      <x:c r="K272" s="44" t="str">
        <x:v>The immediate repricing supports WAIT rather than a headline-chasing entry.</x:v>
      </x:c>
    </x:row>
    <x:row r="273">
      <x:c r="A273" t="str">
        <x:v>EV-2026-268</x:v>
      </x:c>
      <x:c r="B273" t="str">
        <x:v>EEI-2026-013</x:v>
      </x:c>
      <x:c r="C273" s="21" t="n">
        <x:v>46295.51619212963</x:v>
      </x:c>
      <x:c r="D273" t="str">
        <x:v>Contradictory</x:v>
      </x:c>
      <x:c r="E273" t="str">
        <x:v>Reuters / FAA</x:v>
      </x:c>
      <x:c r="F273" t="str">
        <x:v>High quality reporting</x:v>
      </x:c>
      <x:c r="G273" s="44" t="str">
        <x:v>https://www.reuters.com/world/westjet-said-it-has-not-seen-any-in-service-events-related-software-under-faa-2026-09-28/</x:v>
      </x:c>
      <x:c r="H273" s="44" t="str">
        <x:v>The FAA delayed 737 MAX 10 certification over a newly disclosed software issue, sending Boeing shares down 6.9% on September 28.</x:v>
      </x:c>
      <x:c r="I273" s="44" t="str">
        <x:v>Weakens company expression</x:v>
      </x:c>
      <x:c r="J273" s="44" t="n">
        <x:v>4</x:v>
      </x:c>
      <x:c r="K273" s="44" t="str">
        <x:v>Commercial certification and cash-flow risk can dominate the stock even when the defense award is strategically important.</x:v>
      </x:c>
    </x:row>
    <x:row r="274">
      <x:c r="C274" s="21"/>
      <x:c r="G274" s="44"/>
      <x:c r="H274" s="44"/>
      <x:c r="I274" s="44"/>
      <x:c r="J274" s="44"/>
      <x:c r="K274" s="44"/>
    </x:row>
    <x:row r="275">
      <x:c r="C275" s="21"/>
      <x:c r="G275" s="44"/>
      <x:c r="H275" s="44"/>
      <x:c r="I275" s="44"/>
      <x:c r="J275" s="44"/>
      <x:c r="K275" s="44"/>
    </x:row>
    <x:row r="276">
      <x:c r="C276" s="21"/>
      <x:c r="G276" s="44"/>
      <x:c r="H276" s="44"/>
      <x:c r="I276" s="44"/>
      <x:c r="J276" s="44"/>
      <x:c r="K276" s="44"/>
    </x:row>
    <x:row r="277">
      <x:c r="C277" s="21"/>
      <x:c r="G277" s="44"/>
      <x:c r="H277" s="44"/>
      <x:c r="I277" s="44"/>
      <x:c r="J277" s="44"/>
      <x:c r="K277" s="44"/>
    </x:row>
    <x:row r="278">
      <x:c r="C278" s="21"/>
      <x:c r="G278" s="44"/>
      <x:c r="H278" s="44"/>
      <x:c r="I278" s="44"/>
      <x:c r="J278" s="44"/>
      <x:c r="K278" s="44"/>
    </x:row>
    <x:row r="279">
      <x:c r="C279" s="21"/>
      <x:c r="G279" s="44"/>
      <x:c r="H279" s="44"/>
      <x:c r="I279" s="44"/>
      <x:c r="J279" s="44"/>
      <x:c r="K279" s="44"/>
    </x:row>
    <x:row r="280">
      <x:c r="C280" s="21"/>
      <x:c r="G280" s="44"/>
      <x:c r="H280" s="44"/>
      <x:c r="I280" s="44"/>
      <x:c r="J280" s="44"/>
      <x:c r="K280" s="44"/>
    </x:row>
    <x:row r="281">
      <x:c r="C281" s="21"/>
      <x:c r="G281" s="44"/>
      <x:c r="H281" s="44"/>
      <x:c r="I281" s="44"/>
      <x:c r="J281" s="44"/>
      <x:c r="K281" s="44"/>
    </x:row>
    <x:row r="282">
      <x:c r="C282" s="21"/>
      <x:c r="G282" s="44"/>
      <x:c r="H282" s="44"/>
      <x:c r="I282" s="44"/>
      <x:c r="J282" s="44"/>
      <x:c r="K282" s="44"/>
    </x:row>
    <x:row r="283">
      <x:c r="C283" s="21"/>
      <x:c r="G283" s="44"/>
      <x:c r="H283" s="44"/>
      <x:c r="I283" s="44"/>
      <x:c r="J283" s="44"/>
      <x:c r="K283" s="44"/>
    </x:row>
    <x:row r="284">
      <x:c r="C284" s="21"/>
      <x:c r="G284" s="44"/>
      <x:c r="H284" s="44"/>
      <x:c r="I284" s="44"/>
      <x:c r="J284" s="44"/>
      <x:c r="K284" s="44"/>
    </x:row>
    <x:row r="285">
      <x:c r="C285" s="21"/>
      <x:c r="G285" s="44"/>
      <x:c r="H285" s="44"/>
      <x:c r="I285" s="44"/>
      <x:c r="J285" s="44"/>
      <x:c r="K285" s="44"/>
    </x:row>
    <x:row r="286">
      <x:c r="C286" s="21"/>
      <x:c r="G286" s="44"/>
      <x:c r="H286" s="44"/>
      <x:c r="I286" s="44"/>
      <x:c r="J286" s="44"/>
      <x:c r="K286" s="44"/>
    </x:row>
    <x:row r="287">
      <x:c r="C287" s="21"/>
      <x:c r="G287" s="44"/>
      <x:c r="H287" s="44"/>
      <x:c r="I287" s="44"/>
      <x:c r="J287" s="44"/>
      <x:c r="K287" s="44"/>
    </x:row>
    <x:row r="288">
      <x:c r="C288" s="21"/>
      <x:c r="G288" s="44"/>
      <x:c r="H288" s="44"/>
      <x:c r="I288" s="44"/>
      <x:c r="J288" s="44"/>
      <x:c r="K288" s="44"/>
    </x:row>
    <x:row r="289">
      <x:c r="C289" s="21"/>
      <x:c r="G289" s="44"/>
      <x:c r="H289" s="44"/>
      <x:c r="I289" s="44"/>
      <x:c r="J289" s="44"/>
      <x:c r="K289" s="44"/>
    </x:row>
    <x:row r="290">
      <x:c r="C290" s="21"/>
      <x:c r="G290" s="44"/>
      <x:c r="H290" s="44"/>
      <x:c r="I290" s="44"/>
      <x:c r="J290" s="44"/>
      <x:c r="K290" s="44"/>
    </x:row>
    <x:row r="291">
      <x:c r="C291" s="21"/>
      <x:c r="G291" s="44"/>
      <x:c r="H291" s="44"/>
      <x:c r="I291" s="44"/>
      <x:c r="J291" s="44"/>
      <x:c r="K291" s="44"/>
    </x:row>
    <x:row r="292">
      <x:c r="C292" s="21"/>
      <x:c r="G292" s="44"/>
      <x:c r="H292" s="44"/>
      <x:c r="I292" s="44"/>
      <x:c r="J292" s="44"/>
      <x:c r="K292" s="44"/>
    </x:row>
    <x:row r="293">
      <x:c r="C293" s="21"/>
      <x:c r="G293" s="44"/>
      <x:c r="H293" s="44"/>
      <x:c r="I293" s="44"/>
      <x:c r="J293" s="44"/>
      <x:c r="K293" s="44"/>
    </x:row>
    <x:row r="294">
      <x:c r="C294" s="21"/>
      <x:c r="G294" s="44"/>
      <x:c r="H294" s="44"/>
      <x:c r="I294" s="44"/>
      <x:c r="J294" s="44"/>
      <x:c r="K294" s="44"/>
    </x:row>
    <x:row r="295">
      <x:c r="C295" s="21"/>
      <x:c r="G295" s="44"/>
      <x:c r="H295" s="44"/>
      <x:c r="I295" s="44"/>
      <x:c r="J295" s="44"/>
      <x:c r="K295" s="44"/>
    </x:row>
    <x:row r="296">
      <x:c r="C296" s="21"/>
      <x:c r="G296" s="44"/>
      <x:c r="H296" s="44"/>
      <x:c r="I296" s="44"/>
      <x:c r="J296" s="44"/>
      <x:c r="K296" s="44"/>
    </x:row>
    <x:row r="297">
      <x:c r="C297" s="21"/>
      <x:c r="G297" s="44"/>
      <x:c r="H297" s="44"/>
      <x:c r="I297" s="44"/>
      <x:c r="J297" s="44"/>
      <x:c r="K297" s="44"/>
    </x:row>
    <x:row r="298">
      <x:c r="C298" s="21"/>
      <x:c r="G298" s="44"/>
      <x:c r="H298" s="44"/>
      <x:c r="I298" s="44"/>
      <x:c r="J298" s="44"/>
      <x:c r="K298" s="44"/>
    </x:row>
    <x:row r="299">
      <x:c r="C299" s="21"/>
      <x:c r="G299" s="44"/>
      <x:c r="H299" s="44"/>
      <x:c r="I299" s="44"/>
      <x:c r="J299" s="44"/>
      <x:c r="K299" s="44"/>
    </x:row>
    <x:row r="300">
      <x:c r="C300" s="21"/>
      <x:c r="G300" s="44"/>
      <x:c r="H300" s="44"/>
      <x:c r="I300" s="44"/>
      <x:c r="J300" s="44"/>
      <x:c r="K300" s="44"/>
    </x:row>
    <x:row r="301">
      <x:c r="C301" s="21"/>
      <x:c r="G301" s="44"/>
      <x:c r="H301" s="44"/>
      <x:c r="I301" s="44"/>
      <x:c r="J301" s="44"/>
      <x:c r="K301" s="44"/>
    </x:row>
    <x:row r="302">
      <x:c r="C302" s="21"/>
      <x:c r="G302" s="44"/>
      <x:c r="H302" s="44"/>
      <x:c r="I302" s="44"/>
      <x:c r="J302" s="44"/>
      <x:c r="K302" s="44"/>
    </x:row>
    <x:row r="303">
      <x:c r="C303" s="21"/>
      <x:c r="G303" s="44"/>
      <x:c r="H303" s="44"/>
      <x:c r="I303" s="44"/>
      <x:c r="J303" s="44"/>
      <x:c r="K303" s="44"/>
    </x:row>
    <x:row r="304">
      <x:c r="C304" s="21"/>
      <x:c r="G304" s="44"/>
      <x:c r="H304" s="44"/>
      <x:c r="I304" s="44"/>
      <x:c r="J304" s="44"/>
      <x:c r="K304" s="44"/>
    </x:row>
    <x:row r="305">
      <x:c r="C305" s="21"/>
      <x:c r="G305" s="44"/>
      <x:c r="H305" s="44"/>
      <x:c r="I305" s="44"/>
      <x:c r="J305" s="44"/>
      <x:c r="K305" s="44"/>
    </x:row>
    <x:row r="306">
      <x:c r="C306" s="21"/>
      <x:c r="G306" s="44"/>
      <x:c r="H306" s="44"/>
      <x:c r="I306" s="44"/>
      <x:c r="J306" s="44"/>
      <x:c r="K306" s="44"/>
    </x:row>
    <x:row r="307">
      <x:c r="C307" s="21"/>
      <x:c r="G307" s="44"/>
      <x:c r="H307" s="44"/>
      <x:c r="I307" s="44"/>
      <x:c r="J307" s="44"/>
      <x:c r="K307" s="44"/>
    </x:row>
    <x:row r="308">
      <x:c r="C308" s="21"/>
      <x:c r="G308" s="44"/>
      <x:c r="H308" s="44"/>
      <x:c r="I308" s="44"/>
      <x:c r="J308" s="44"/>
      <x:c r="K308" s="44"/>
    </x:row>
    <x:row r="309">
      <x:c r="C309" s="21"/>
      <x:c r="G309" s="44"/>
      <x:c r="H309" s="44"/>
      <x:c r="I309" s="44"/>
      <x:c r="J309" s="44"/>
      <x:c r="K309" s="44"/>
    </x:row>
    <x:row r="310">
      <x:c r="C310" s="21"/>
      <x:c r="G310" s="44"/>
      <x:c r="H310" s="44"/>
      <x:c r="I310" s="44"/>
      <x:c r="J310" s="44"/>
      <x:c r="K310" s="44"/>
    </x:row>
    <x:row r="311">
      <x:c r="C311" s="21"/>
      <x:c r="G311" s="44"/>
      <x:c r="H311" s="44"/>
      <x:c r="I311" s="44"/>
      <x:c r="J311" s="44"/>
      <x:c r="K311" s="44"/>
    </x:row>
    <x:row r="312">
      <x:c r="C312" s="21"/>
      <x:c r="G312" s="44"/>
      <x:c r="H312" s="44"/>
      <x:c r="I312" s="44"/>
      <x:c r="J312" s="44"/>
      <x:c r="K312" s="44"/>
    </x:row>
    <x:row r="313">
      <x:c r="C313" s="21"/>
      <x:c r="G313" s="44"/>
      <x:c r="H313" s="44"/>
      <x:c r="I313" s="44"/>
      <x:c r="J313" s="44"/>
      <x:c r="K313" s="44"/>
    </x:row>
    <x:row r="314">
      <x:c r="C314" s="21"/>
      <x:c r="G314" s="44"/>
      <x:c r="H314" s="44"/>
      <x:c r="I314" s="44"/>
      <x:c r="J314" s="44"/>
      <x:c r="K314" s="44"/>
    </x:row>
    <x:row r="315">
      <x:c r="C315" s="21"/>
      <x:c r="G315" s="44"/>
      <x:c r="H315" s="44"/>
      <x:c r="I315" s="44"/>
      <x:c r="J315" s="44"/>
      <x:c r="K315" s="44"/>
    </x:row>
    <x:row r="316">
      <x:c r="C316" s="21"/>
      <x:c r="G316" s="44"/>
      <x:c r="H316" s="44"/>
      <x:c r="I316" s="44"/>
      <x:c r="J316" s="44"/>
      <x:c r="K316" s="44"/>
    </x:row>
    <x:row r="317">
      <x:c r="C317" s="21"/>
      <x:c r="G317" s="44"/>
      <x:c r="H317" s="44"/>
      <x:c r="I317" s="44"/>
      <x:c r="J317" s="44"/>
      <x:c r="K317" s="44"/>
    </x:row>
    <x:row r="318">
      <x:c r="C318" s="21"/>
      <x:c r="G318" s="44"/>
      <x:c r="H318" s="44"/>
      <x:c r="I318" s="44"/>
      <x:c r="J318" s="44"/>
      <x:c r="K318" s="44"/>
    </x:row>
    <x:row r="319">
      <x:c r="C319" s="21"/>
      <x:c r="G319" s="44"/>
      <x:c r="H319" s="44"/>
      <x:c r="I319" s="44"/>
      <x:c r="J319" s="44"/>
      <x:c r="K319" s="44"/>
    </x:row>
    <x:row r="320">
      <x:c r="C320" s="21"/>
      <x:c r="G320" s="44"/>
      <x:c r="H320" s="44"/>
      <x:c r="I320" s="44"/>
      <x:c r="J320" s="44"/>
      <x:c r="K320" s="44"/>
    </x:row>
    <x:row r="321">
      <x:c r="C321" s="21"/>
      <x:c r="G321" s="44"/>
      <x:c r="H321" s="44"/>
      <x:c r="I321" s="44"/>
      <x:c r="J321" s="44"/>
      <x:c r="K321" s="44"/>
    </x:row>
    <x:row r="322">
      <x:c r="C322" s="21"/>
      <x:c r="G322" s="44"/>
      <x:c r="H322" s="44"/>
      <x:c r="I322" s="44"/>
      <x:c r="J322" s="44"/>
      <x:c r="K322" s="44"/>
    </x:row>
    <x:row r="323">
      <x:c r="C323" s="21"/>
      <x:c r="G323" s="44"/>
      <x:c r="H323" s="44"/>
      <x:c r="I323" s="44"/>
      <x:c r="J323" s="44"/>
      <x:c r="K323" s="44"/>
    </x:row>
    <x:row r="324">
      <x:c r="C324" s="21"/>
      <x:c r="G324" s="44"/>
      <x:c r="H324" s="44"/>
      <x:c r="I324" s="44"/>
      <x:c r="J324" s="44"/>
      <x:c r="K324" s="44"/>
    </x:row>
    <x:row r="325">
      <x:c r="C325" s="21"/>
      <x:c r="G325" s="44"/>
      <x:c r="H325" s="44"/>
      <x:c r="I325" s="44"/>
      <x:c r="J325" s="44"/>
      <x:c r="K325" s="44"/>
    </x:row>
    <x:row r="326">
      <x:c r="C326" s="21"/>
      <x:c r="G326" s="44"/>
      <x:c r="H326" s="44"/>
      <x:c r="I326" s="44"/>
      <x:c r="J326" s="44"/>
      <x:c r="K326" s="44"/>
    </x:row>
    <x:row r="327">
      <x:c r="C327" s="21"/>
      <x:c r="G327" s="44"/>
      <x:c r="H327" s="44"/>
      <x:c r="I327" s="44"/>
      <x:c r="J327" s="44"/>
      <x:c r="K327" s="44"/>
    </x:row>
    <x:row r="328">
      <x:c r="C328" s="21"/>
      <x:c r="G328" s="44"/>
      <x:c r="H328" s="44"/>
      <x:c r="I328" s="44"/>
      <x:c r="J328" s="44"/>
      <x:c r="K328" s="44"/>
    </x:row>
    <x:row r="329">
      <x:c r="C329" s="21"/>
      <x:c r="G329" s="44"/>
      <x:c r="H329" s="44"/>
      <x:c r="I329" s="44"/>
      <x:c r="J329" s="44"/>
      <x:c r="K329" s="44"/>
    </x:row>
    <x:row r="330">
      <x:c r="C330" s="21"/>
      <x:c r="G330" s="44"/>
      <x:c r="H330" s="44"/>
      <x:c r="I330" s="44"/>
      <x:c r="J330" s="44"/>
      <x:c r="K330" s="44"/>
    </x:row>
    <x:row r="331">
      <x:c r="C331" s="21"/>
      <x:c r="G331" s="44"/>
      <x:c r="H331" s="44"/>
      <x:c r="I331" s="44"/>
      <x:c r="J331" s="44"/>
      <x:c r="K331" s="44"/>
    </x:row>
    <x:row r="332">
      <x:c r="C332" s="21"/>
      <x:c r="G332" s="44"/>
      <x:c r="H332" s="44"/>
      <x:c r="I332" s="44"/>
      <x:c r="J332" s="44"/>
      <x:c r="K332" s="44"/>
    </x:row>
    <x:row r="333">
      <x:c r="C333" s="21"/>
      <x:c r="G333" s="44"/>
      <x:c r="H333" s="44"/>
      <x:c r="I333" s="44"/>
      <x:c r="J333" s="44"/>
      <x:c r="K333" s="44"/>
    </x:row>
    <x:row r="334">
      <x:c r="C334" s="21"/>
      <x:c r="G334" s="44"/>
      <x:c r="H334" s="44"/>
      <x:c r="I334" s="44"/>
      <x:c r="J334" s="44"/>
      <x:c r="K334" s="44"/>
    </x:row>
    <x:row r="335">
      <x:c r="C335" s="21"/>
      <x:c r="G335" s="44"/>
      <x:c r="H335" s="44"/>
      <x:c r="I335" s="44"/>
      <x:c r="J335" s="44"/>
      <x:c r="K335" s="44"/>
    </x:row>
    <x:row r="336">
      <x:c r="C336" s="21"/>
      <x:c r="G336" s="44"/>
      <x:c r="H336" s="44"/>
      <x:c r="I336" s="44"/>
      <x:c r="J336" s="44"/>
      <x:c r="K336" s="44"/>
    </x:row>
    <x:row r="337">
      <x:c r="C337" s="21"/>
      <x:c r="G337" s="44"/>
      <x:c r="H337" s="44"/>
      <x:c r="I337" s="44"/>
      <x:c r="J337" s="44"/>
      <x:c r="K337" s="44"/>
    </x:row>
    <x:row r="338">
      <x:c r="C338" s="21"/>
      <x:c r="G338" s="44"/>
      <x:c r="H338" s="44"/>
      <x:c r="I338" s="44"/>
      <x:c r="J338" s="44"/>
      <x:c r="K338" s="44"/>
    </x:row>
    <x:row r="339">
      <x:c r="C339" s="21"/>
      <x:c r="G339" s="44"/>
      <x:c r="H339" s="44"/>
      <x:c r="I339" s="44"/>
      <x:c r="J339" s="44"/>
      <x:c r="K339" s="44"/>
    </x:row>
    <x:row r="340">
      <x:c r="C340" s="21"/>
      <x:c r="G340" s="44"/>
      <x:c r="H340" s="44"/>
      <x:c r="I340" s="44"/>
      <x:c r="J340" s="44"/>
      <x:c r="K340" s="44"/>
    </x:row>
    <x:row r="341">
      <x:c r="C341" s="21"/>
      <x:c r="G341" s="44"/>
      <x:c r="H341" s="44"/>
      <x:c r="I341" s="44"/>
      <x:c r="J341" s="44"/>
      <x:c r="K341" s="44"/>
    </x:row>
    <x:row r="342">
      <x:c r="C342" s="21"/>
      <x:c r="G342" s="44"/>
      <x:c r="H342" s="44"/>
      <x:c r="I342" s="44"/>
      <x:c r="J342" s="44"/>
      <x:c r="K342" s="44"/>
    </x:row>
    <x:row r="343">
      <x:c r="C343" s="21"/>
      <x:c r="G343" s="44"/>
      <x:c r="H343" s="44"/>
      <x:c r="I343" s="44"/>
      <x:c r="J343" s="44"/>
      <x:c r="K343" s="44"/>
    </x:row>
    <x:row r="344">
      <x:c r="C344" s="21"/>
      <x:c r="G344" s="44"/>
      <x:c r="H344" s="44"/>
      <x:c r="I344" s="44"/>
      <x:c r="J344" s="44"/>
      <x:c r="K344" s="44"/>
    </x:row>
    <x:row r="345">
      <x:c r="C345" s="21"/>
      <x:c r="G345" s="44"/>
      <x:c r="H345" s="44"/>
      <x:c r="I345" s="44"/>
      <x:c r="J345" s="44"/>
      <x:c r="K345" s="44"/>
    </x:row>
    <x:row r="346">
      <x:c r="C346" s="21"/>
      <x:c r="G346" s="44"/>
      <x:c r="H346" s="44"/>
      <x:c r="I346" s="44"/>
      <x:c r="J346" s="44"/>
      <x:c r="K346" s="44"/>
    </x:row>
    <x:row r="347">
      <x:c r="C347" s="21"/>
      <x:c r="G347" s="44"/>
      <x:c r="H347" s="44"/>
      <x:c r="I347" s="44"/>
      <x:c r="J347" s="44"/>
      <x:c r="K347" s="44"/>
    </x:row>
    <x:row r="348">
      <x:c r="C348" s="21"/>
      <x:c r="G348" s="44"/>
      <x:c r="H348" s="44"/>
      <x:c r="I348" s="44"/>
      <x:c r="J348" s="44"/>
      <x:c r="K348" s="44"/>
    </x:row>
    <x:row r="349">
      <x:c r="C349" s="21"/>
      <x:c r="G349" s="44"/>
      <x:c r="H349" s="44"/>
      <x:c r="I349" s="44"/>
      <x:c r="J349" s="44"/>
      <x:c r="K349" s="44"/>
    </x:row>
    <x:row r="350">
      <x:c r="C350" s="21"/>
      <x:c r="G350" s="44"/>
      <x:c r="H350" s="44"/>
      <x:c r="I350" s="44"/>
      <x:c r="J350" s="44"/>
      <x:c r="K350" s="44"/>
    </x:row>
    <x:row r="351">
      <x:c r="C351" s="21"/>
      <x:c r="G351" s="44"/>
      <x:c r="H351" s="44"/>
      <x:c r="I351" s="44"/>
      <x:c r="J351" s="44"/>
      <x:c r="K351" s="44"/>
    </x:row>
    <x:row r="352">
      <x:c r="C352" s="21"/>
      <x:c r="G352" s="44"/>
      <x:c r="H352" s="44"/>
      <x:c r="I352" s="44"/>
      <x:c r="J352" s="44"/>
      <x:c r="K352" s="44"/>
    </x:row>
    <x:row r="353">
      <x:c r="C353" s="21"/>
      <x:c r="G353" s="44"/>
      <x:c r="H353" s="44"/>
      <x:c r="I353" s="44"/>
      <x:c r="J353" s="44"/>
      <x:c r="K353" s="44"/>
    </x:row>
    <x:row r="354">
      <x:c r="C354" s="21"/>
      <x:c r="G354" s="44"/>
      <x:c r="H354" s="44"/>
      <x:c r="I354" s="44"/>
      <x:c r="J354" s="44"/>
      <x:c r="K354" s="44"/>
    </x:row>
    <x:row r="355">
      <x:c r="C355" s="21"/>
      <x:c r="G355" s="44"/>
      <x:c r="H355" s="44"/>
      <x:c r="I355" s="44"/>
      <x:c r="J355" s="44"/>
      <x:c r="K355" s="44"/>
    </x:row>
    <x:row r="356">
      <x:c r="C356" s="21"/>
      <x:c r="G356" s="44"/>
      <x:c r="H356" s="44"/>
      <x:c r="I356" s="44"/>
      <x:c r="J356" s="44"/>
      <x:c r="K356" s="44"/>
    </x:row>
    <x:row r="357">
      <x:c r="C357" s="21"/>
      <x:c r="G357" s="44"/>
      <x:c r="H357" s="44"/>
      <x:c r="I357" s="44"/>
      <x:c r="J357" s="44"/>
      <x:c r="K357" s="44"/>
    </x:row>
    <x:row r="358">
      <x:c r="C358" s="21"/>
      <x:c r="G358" s="44"/>
      <x:c r="H358" s="44"/>
      <x:c r="I358" s="44"/>
      <x:c r="J358" s="44"/>
      <x:c r="K358" s="44"/>
    </x:row>
    <x:row r="359">
      <x:c r="C359" s="21"/>
      <x:c r="G359" s="44"/>
      <x:c r="H359" s="44"/>
      <x:c r="I359" s="44"/>
      <x:c r="J359" s="44"/>
      <x:c r="K359" s="44"/>
    </x:row>
    <x:row r="360">
      <x:c r="C360" s="21"/>
      <x:c r="G360" s="44"/>
      <x:c r="H360" s="44"/>
      <x:c r="I360" s="44"/>
      <x:c r="J360" s="44"/>
      <x:c r="K360" s="44"/>
    </x:row>
    <x:row r="361">
      <x:c r="C361" s="21"/>
      <x:c r="G361" s="44"/>
      <x:c r="H361" s="44"/>
      <x:c r="I361" s="44"/>
      <x:c r="J361" s="44"/>
      <x:c r="K361" s="44"/>
    </x:row>
    <x:row r="362">
      <x:c r="C362" s="21"/>
      <x:c r="G362" s="44"/>
      <x:c r="H362" s="44"/>
      <x:c r="I362" s="44"/>
      <x:c r="J362" s="44"/>
      <x:c r="K362" s="44"/>
    </x:row>
    <x:row r="363">
      <x:c r="C363" s="21"/>
      <x:c r="G363" s="44"/>
      <x:c r="H363" s="44"/>
      <x:c r="I363" s="44"/>
      <x:c r="J363" s="44"/>
      <x:c r="K363" s="44"/>
    </x:row>
    <x:row r="364">
      <x:c r="C364" s="21"/>
      <x:c r="G364" s="44"/>
      <x:c r="H364" s="44"/>
      <x:c r="I364" s="44"/>
      <x:c r="J364" s="44"/>
      <x:c r="K364" s="44"/>
    </x:row>
    <x:row r="365">
      <x:c r="C365" s="21"/>
      <x:c r="G365" s="44"/>
      <x:c r="H365" s="44"/>
      <x:c r="I365" s="44"/>
      <x:c r="J365" s="44"/>
      <x:c r="K365" s="44"/>
    </x:row>
    <x:row r="366">
      <x:c r="C366" s="21"/>
      <x:c r="G366" s="44"/>
      <x:c r="H366" s="44"/>
      <x:c r="I366" s="44"/>
      <x:c r="J366" s="44"/>
      <x:c r="K366" s="44"/>
    </x:row>
    <x:row r="367">
      <x:c r="C367" s="21"/>
      <x:c r="G367" s="44"/>
      <x:c r="H367" s="44"/>
      <x:c r="I367" s="44"/>
      <x:c r="J367" s="44"/>
      <x:c r="K367" s="44"/>
    </x:row>
    <x:row r="368">
      <x:c r="C368" s="21"/>
      <x:c r="G368" s="44"/>
      <x:c r="H368" s="44"/>
      <x:c r="I368" s="44"/>
      <x:c r="J368" s="44"/>
      <x:c r="K368" s="44"/>
    </x:row>
    <x:row r="369">
      <x:c r="C369" s="21"/>
      <x:c r="G369" s="44"/>
      <x:c r="H369" s="44"/>
      <x:c r="I369" s="44"/>
      <x:c r="J369" s="44"/>
      <x:c r="K369" s="44"/>
    </x:row>
    <x:row r="370">
      <x:c r="C370" s="21"/>
      <x:c r="G370" s="44"/>
      <x:c r="H370" s="44"/>
      <x:c r="I370" s="44"/>
      <x:c r="J370" s="44"/>
      <x:c r="K370" s="44"/>
    </x:row>
    <x:row r="371">
      <x:c r="C371" s="21"/>
      <x:c r="G371" s="44"/>
      <x:c r="H371" s="44"/>
      <x:c r="I371" s="44"/>
      <x:c r="J371" s="44"/>
      <x:c r="K371" s="44"/>
    </x:row>
    <x:row r="372">
      <x:c r="C372" s="21"/>
      <x:c r="G372" s="44"/>
      <x:c r="H372" s="44"/>
      <x:c r="I372" s="44"/>
      <x:c r="J372" s="44"/>
      <x:c r="K372" s="44"/>
    </x:row>
    <x:row r="373">
      <x:c r="C373" s="21"/>
      <x:c r="G373" s="44"/>
      <x:c r="H373" s="44"/>
      <x:c r="I373" s="44"/>
      <x:c r="J373" s="44"/>
      <x:c r="K373" s="44"/>
    </x:row>
    <x:row r="374">
      <x:c r="C374" s="21"/>
      <x:c r="G374" s="44"/>
      <x:c r="H374" s="44"/>
      <x:c r="I374" s="44"/>
      <x:c r="J374" s="44"/>
      <x:c r="K374" s="44"/>
    </x:row>
    <x:row r="375">
      <x:c r="C375" s="21"/>
      <x:c r="G375" s="44"/>
      <x:c r="H375" s="44"/>
      <x:c r="I375" s="44"/>
      <x:c r="J375" s="44"/>
      <x:c r="K375" s="44"/>
    </x:row>
    <x:row r="376">
      <x:c r="C376" s="21"/>
      <x:c r="G376" s="44"/>
      <x:c r="H376" s="44"/>
      <x:c r="I376" s="44"/>
      <x:c r="J376" s="44"/>
      <x:c r="K376" s="44"/>
    </x:row>
    <x:row r="377">
      <x:c r="C377" s="21"/>
      <x:c r="G377" s="44"/>
      <x:c r="H377" s="44"/>
      <x:c r="I377" s="44"/>
      <x:c r="J377" s="44"/>
      <x:c r="K377" s="44"/>
    </x:row>
    <x:row r="378">
      <x:c r="C378" s="21"/>
      <x:c r="G378" s="44"/>
      <x:c r="H378" s="44"/>
      <x:c r="I378" s="44"/>
      <x:c r="J378" s="44"/>
      <x:c r="K378" s="44"/>
    </x:row>
    <x:row r="379">
      <x:c r="C379" s="21"/>
      <x:c r="G379" s="44"/>
      <x:c r="H379" s="44"/>
      <x:c r="I379" s="44"/>
      <x:c r="J379" s="44"/>
      <x:c r="K379" s="44"/>
    </x:row>
    <x:row r="380">
      <x:c r="C380" s="21"/>
      <x:c r="G380" s="44"/>
      <x:c r="H380" s="44"/>
      <x:c r="I380" s="44"/>
      <x:c r="J380" s="44"/>
      <x:c r="K380" s="44"/>
    </x:row>
    <x:row r="381">
      <x:c r="C381" s="21"/>
      <x:c r="G381" s="44"/>
      <x:c r="H381" s="44"/>
      <x:c r="I381" s="44"/>
      <x:c r="J381" s="44"/>
      <x:c r="K381" s="44"/>
    </x:row>
    <x:row r="382">
      <x:c r="C382" s="21"/>
      <x:c r="G382" s="44"/>
      <x:c r="H382" s="44"/>
      <x:c r="I382" s="44"/>
      <x:c r="J382" s="44"/>
      <x:c r="K382" s="44"/>
    </x:row>
    <x:row r="383">
      <x:c r="C383" s="21"/>
      <x:c r="G383" s="44"/>
      <x:c r="H383" s="44"/>
      <x:c r="I383" s="44"/>
      <x:c r="J383" s="44"/>
      <x:c r="K383" s="44"/>
    </x:row>
    <x:row r="384">
      <x:c r="C384" s="21"/>
      <x:c r="G384" s="44"/>
      <x:c r="H384" s="44"/>
      <x:c r="I384" s="44"/>
      <x:c r="J384" s="44"/>
      <x:c r="K384" s="44"/>
    </x:row>
    <x:row r="385">
      <x:c r="C385" s="21"/>
      <x:c r="G385" s="44"/>
      <x:c r="H385" s="44"/>
      <x:c r="I385" s="44"/>
      <x:c r="J385" s="44"/>
      <x:c r="K385" s="44"/>
    </x:row>
    <x:row r="386">
      <x:c r="C386" s="21"/>
      <x:c r="G386" s="44"/>
      <x:c r="H386" s="44"/>
      <x:c r="I386" s="44"/>
      <x:c r="J386" s="44"/>
      <x:c r="K386" s="44"/>
    </x:row>
    <x:row r="387">
      <x:c r="C387" s="21"/>
      <x:c r="G387" s="44"/>
      <x:c r="H387" s="44"/>
      <x:c r="I387" s="44"/>
      <x:c r="J387" s="44"/>
      <x:c r="K387" s="44"/>
    </x:row>
    <x:row r="388">
      <x:c r="C388" s="21"/>
      <x:c r="G388" s="44"/>
      <x:c r="H388" s="44"/>
      <x:c r="I388" s="44"/>
      <x:c r="J388" s="44"/>
      <x:c r="K388" s="44"/>
    </x:row>
    <x:row r="389">
      <x:c r="C389" s="21"/>
      <x:c r="G389" s="44"/>
      <x:c r="H389" s="44"/>
      <x:c r="I389" s="44"/>
      <x:c r="J389" s="44"/>
      <x:c r="K389" s="44"/>
    </x:row>
    <x:row r="390">
      <x:c r="C390" s="21"/>
      <x:c r="G390" s="44"/>
      <x:c r="H390" s="44"/>
      <x:c r="I390" s="44"/>
      <x:c r="J390" s="44"/>
      <x:c r="K390" s="44"/>
    </x:row>
    <x:row r="391">
      <x:c r="C391" s="21"/>
      <x:c r="G391" s="44"/>
      <x:c r="H391" s="44"/>
      <x:c r="I391" s="44"/>
      <x:c r="J391" s="44"/>
      <x:c r="K391" s="44"/>
    </x:row>
    <x:row r="392">
      <x:c r="C392" s="21"/>
      <x:c r="G392" s="44"/>
      <x:c r="H392" s="44"/>
      <x:c r="I392" s="44"/>
      <x:c r="J392" s="44"/>
      <x:c r="K392" s="44"/>
    </x:row>
    <x:row r="393">
      <x:c r="C393" s="21"/>
      <x:c r="G393" s="44"/>
      <x:c r="H393" s="44"/>
      <x:c r="I393" s="44"/>
      <x:c r="J393" s="44"/>
      <x:c r="K393" s="44"/>
    </x:row>
    <x:row r="394">
      <x:c r="C394" s="21"/>
      <x:c r="G394" s="44"/>
      <x:c r="H394" s="44"/>
      <x:c r="I394" s="44"/>
      <x:c r="J394" s="44"/>
      <x:c r="K394" s="44"/>
    </x:row>
    <x:row r="395">
      <x:c r="C395" s="21"/>
      <x:c r="G395" s="44"/>
      <x:c r="H395" s="44"/>
      <x:c r="I395" s="44"/>
      <x:c r="J395" s="44"/>
      <x:c r="K395" s="44"/>
    </x:row>
    <x:row r="396">
      <x:c r="C396" s="21"/>
      <x:c r="G396" s="44"/>
      <x:c r="H396" s="44"/>
      <x:c r="I396" s="44"/>
      <x:c r="J396" s="44"/>
      <x:c r="K396" s="44"/>
    </x:row>
    <x:row r="397">
      <x:c r="C397" s="21"/>
      <x:c r="G397" s="44"/>
      <x:c r="H397" s="44"/>
      <x:c r="I397" s="44"/>
      <x:c r="J397" s="44"/>
      <x:c r="K397" s="44"/>
    </x:row>
    <x:row r="398">
      <x:c r="C398" s="21"/>
      <x:c r="G398" s="44"/>
      <x:c r="H398" s="44"/>
      <x:c r="I398" s="44"/>
      <x:c r="J398" s="44"/>
      <x:c r="K398" s="44"/>
    </x:row>
    <x:row r="399">
      <x:c r="C399" s="21"/>
      <x:c r="G399" s="44"/>
      <x:c r="H399" s="44"/>
      <x:c r="I399" s="44"/>
      <x:c r="J399" s="44"/>
      <x:c r="K399" s="44"/>
    </x:row>
    <x:row r="400">
      <x:c r="C400" s="21"/>
      <x:c r="G400" s="44"/>
      <x:c r="H400" s="44"/>
      <x:c r="I400" s="44"/>
      <x:c r="J400" s="44"/>
      <x:c r="K400" s="44"/>
    </x:row>
    <x:row r="401">
      <x:c r="C401" s="21"/>
      <x:c r="G401" s="44"/>
      <x:c r="H401" s="44"/>
      <x:c r="I401" s="44"/>
      <x:c r="J401" s="44"/>
      <x:c r="K401" s="44"/>
    </x:row>
    <x:row r="402">
      <x:c r="C402" s="21"/>
      <x:c r="G402" s="44"/>
      <x:c r="H402" s="44"/>
      <x:c r="I402" s="44"/>
      <x:c r="J402" s="44"/>
      <x:c r="K402" s="44"/>
    </x:row>
    <x:row r="403">
      <x:c r="C403" s="21"/>
      <x:c r="G403" s="44"/>
      <x:c r="H403" s="44"/>
      <x:c r="I403" s="44"/>
      <x:c r="J403" s="44"/>
      <x:c r="K403" s="44"/>
    </x:row>
    <x:row r="404">
      <x:c r="C404" s="21"/>
      <x:c r="G404" s="44"/>
      <x:c r="H404" s="44"/>
      <x:c r="I404" s="44"/>
      <x:c r="J404" s="44"/>
      <x:c r="K404" s="44"/>
    </x:row>
    <x:row r="405">
      <x:c r="C405" s="21"/>
      <x:c r="G405" s="44"/>
      <x:c r="H405" s="44"/>
      <x:c r="I405" s="44"/>
      <x:c r="J405" s="44"/>
      <x:c r="K405" s="44"/>
    </x:row>
    <x:row r="406">
      <x:c r="C406" s="21"/>
      <x:c r="G406" s="44"/>
      <x:c r="H406" s="44"/>
      <x:c r="I406" s="44"/>
      <x:c r="J406" s="44"/>
      <x:c r="K406" s="44"/>
    </x:row>
    <x:row r="407">
      <x:c r="C407" s="21"/>
      <x:c r="G407" s="44"/>
      <x:c r="H407" s="44"/>
      <x:c r="I407" s="44"/>
      <x:c r="J407" s="44"/>
      <x:c r="K407" s="44"/>
    </x:row>
    <x:row r="408">
      <x:c r="C408" s="21"/>
      <x:c r="G408" s="44"/>
      <x:c r="H408" s="44"/>
      <x:c r="I408" s="44"/>
      <x:c r="J408" s="44"/>
      <x:c r="K408" s="44"/>
    </x:row>
    <x:row r="409">
      <x:c r="C409" s="21"/>
      <x:c r="G409" s="44"/>
      <x:c r="H409" s="44"/>
      <x:c r="I409" s="44"/>
      <x:c r="J409" s="44"/>
      <x:c r="K409" s="44"/>
    </x:row>
    <x:row r="410">
      <x:c r="C410" s="21"/>
      <x:c r="G410" s="44"/>
      <x:c r="H410" s="44"/>
      <x:c r="I410" s="44"/>
      <x:c r="J410" s="44"/>
      <x:c r="K410" s="44"/>
    </x:row>
    <x:row r="411">
      <x:c r="C411" s="21"/>
      <x:c r="G411" s="44"/>
      <x:c r="H411" s="44"/>
      <x:c r="I411" s="44"/>
      <x:c r="J411" s="44"/>
      <x:c r="K411" s="44"/>
    </x:row>
    <x:row r="412">
      <x:c r="C412" s="21"/>
      <x:c r="G412" s="44"/>
      <x:c r="H412" s="44"/>
      <x:c r="I412" s="44"/>
      <x:c r="J412" s="44"/>
      <x:c r="K412" s="44"/>
    </x:row>
    <x:row r="413">
      <x:c r="C413" s="21"/>
      <x:c r="G413" s="44"/>
      <x:c r="H413" s="44"/>
      <x:c r="I413" s="44"/>
      <x:c r="J413" s="44"/>
      <x:c r="K413" s="44"/>
    </x:row>
    <x:row r="414">
      <x:c r="C414" s="21"/>
      <x:c r="G414" s="44"/>
      <x:c r="H414" s="44"/>
      <x:c r="I414" s="44"/>
      <x:c r="J414" s="44"/>
      <x:c r="K414" s="44"/>
    </x:row>
    <x:row r="415">
      <x:c r="C415" s="21"/>
      <x:c r="G415" s="44"/>
      <x:c r="H415" s="44"/>
      <x:c r="I415" s="44"/>
      <x:c r="J415" s="44"/>
      <x:c r="K415" s="44"/>
    </x:row>
    <x:row r="416">
      <x:c r="C416" s="21"/>
      <x:c r="G416" s="44"/>
      <x:c r="H416" s="44"/>
      <x:c r="I416" s="44"/>
      <x:c r="J416" s="44"/>
      <x:c r="K416" s="44"/>
    </x:row>
    <x:row r="417">
      <x:c r="C417" s="21"/>
      <x:c r="G417" s="44"/>
      <x:c r="H417" s="44"/>
      <x:c r="I417" s="44"/>
      <x:c r="J417" s="44"/>
      <x:c r="K417" s="44"/>
    </x:row>
    <x:row r="418">
      <x:c r="C418" s="21"/>
      <x:c r="G418" s="44"/>
      <x:c r="H418" s="44"/>
      <x:c r="I418" s="44"/>
      <x:c r="J418" s="44"/>
      <x:c r="K418" s="44"/>
    </x:row>
    <x:row r="419">
      <x:c r="C419" s="21"/>
      <x:c r="G419" s="44"/>
      <x:c r="H419" s="44"/>
      <x:c r="I419" s="44"/>
      <x:c r="J419" s="44"/>
      <x:c r="K419" s="44"/>
    </x:row>
    <x:row r="420">
      <x:c r="C420" s="21"/>
      <x:c r="G420" s="44"/>
      <x:c r="H420" s="44"/>
      <x:c r="I420" s="44"/>
      <x:c r="J420" s="44"/>
      <x:c r="K420" s="44"/>
    </x:row>
    <x:row r="421">
      <x:c r="C421" s="21"/>
      <x:c r="G421" s="44"/>
      <x:c r="H421" s="44"/>
      <x:c r="I421" s="44"/>
      <x:c r="J421" s="44"/>
      <x:c r="K421" s="44"/>
    </x:row>
    <x:row r="422">
      <x:c r="C422" s="21"/>
      <x:c r="G422" s="44"/>
      <x:c r="H422" s="44"/>
      <x:c r="I422" s="44"/>
      <x:c r="J422" s="44"/>
      <x:c r="K422" s="44"/>
    </x:row>
    <x:row r="423">
      <x:c r="C423" s="21"/>
      <x:c r="G423" s="44"/>
      <x:c r="H423" s="44"/>
      <x:c r="I423" s="44"/>
      <x:c r="J423" s="44"/>
      <x:c r="K423" s="44"/>
    </x:row>
    <x:row r="424">
      <x:c r="C424" s="21"/>
      <x:c r="G424" s="44"/>
      <x:c r="H424" s="44"/>
      <x:c r="I424" s="44"/>
      <x:c r="J424" s="44"/>
      <x:c r="K424" s="44"/>
    </x:row>
    <x:row r="425">
      <x:c r="C425" s="21"/>
      <x:c r="G425" s="44"/>
      <x:c r="H425" s="44"/>
      <x:c r="I425" s="44"/>
      <x:c r="J425" s="44"/>
      <x:c r="K425" s="44"/>
    </x:row>
    <x:row r="426">
      <x:c r="C426" s="21"/>
      <x:c r="G426" s="44"/>
      <x:c r="H426" s="44"/>
      <x:c r="I426" s="44"/>
      <x:c r="J426" s="44"/>
      <x:c r="K426" s="44"/>
    </x:row>
    <x:row r="427">
      <x:c r="C427" s="21"/>
      <x:c r="G427" s="44"/>
      <x:c r="H427" s="44"/>
      <x:c r="I427" s="44"/>
      <x:c r="J427" s="44"/>
      <x:c r="K427" s="44"/>
    </x:row>
    <x:row r="428">
      <x:c r="C428" s="21"/>
      <x:c r="G428" s="44"/>
      <x:c r="H428" s="44"/>
      <x:c r="I428" s="44"/>
      <x:c r="J428" s="44"/>
      <x:c r="K428" s="44"/>
    </x:row>
    <x:row r="429">
      <x:c r="C429" s="21"/>
      <x:c r="G429" s="44"/>
      <x:c r="H429" s="44"/>
      <x:c r="I429" s="44"/>
      <x:c r="J429" s="44"/>
      <x:c r="K429" s="44"/>
    </x:row>
    <x:row r="430">
      <x:c r="C430" s="21"/>
      <x:c r="G430" s="44"/>
      <x:c r="H430" s="44"/>
      <x:c r="I430" s="44"/>
      <x:c r="J430" s="44"/>
      <x:c r="K430" s="44"/>
    </x:row>
    <x:row r="431">
      <x:c r="C431" s="21"/>
      <x:c r="G431" s="44"/>
      <x:c r="H431" s="44"/>
      <x:c r="I431" s="44"/>
      <x:c r="J431" s="44"/>
      <x:c r="K431" s="44"/>
    </x:row>
    <x:row r="432">
      <x:c r="C432" s="21"/>
      <x:c r="G432" s="44"/>
      <x:c r="H432" s="44"/>
      <x:c r="I432" s="44"/>
      <x:c r="J432" s="44"/>
      <x:c r="K432" s="44"/>
    </x:row>
    <x:row r="433">
      <x:c r="C433" s="21"/>
      <x:c r="G433" s="44"/>
      <x:c r="H433" s="44"/>
      <x:c r="I433" s="44"/>
      <x:c r="J433" s="44"/>
      <x:c r="K433" s="44"/>
    </x:row>
    <x:row r="434">
      <x:c r="C434" s="21"/>
      <x:c r="G434" s="44"/>
      <x:c r="H434" s="44"/>
      <x:c r="I434" s="44"/>
      <x:c r="J434" s="44"/>
      <x:c r="K434" s="44"/>
    </x:row>
    <x:row r="435">
      <x:c r="C435" s="21"/>
      <x:c r="G435" s="44"/>
      <x:c r="H435" s="44"/>
      <x:c r="I435" s="44"/>
      <x:c r="J435" s="44"/>
      <x:c r="K435" s="44"/>
    </x:row>
    <x:row r="436">
      <x:c r="C436" s="21"/>
      <x:c r="G436" s="44"/>
      <x:c r="H436" s="44"/>
      <x:c r="I436" s="44"/>
      <x:c r="J436" s="44"/>
      <x:c r="K436" s="44"/>
    </x:row>
    <x:row r="437">
      <x:c r="C437" s="21"/>
      <x:c r="G437" s="44"/>
      <x:c r="H437" s="44"/>
      <x:c r="I437" s="44"/>
      <x:c r="J437" s="44"/>
      <x:c r="K437" s="44"/>
    </x:row>
    <x:row r="438">
      <x:c r="C438" s="21"/>
      <x:c r="G438" s="44"/>
      <x:c r="H438" s="44"/>
      <x:c r="I438" s="44"/>
      <x:c r="J438" s="44"/>
      <x:c r="K438" s="44"/>
    </x:row>
    <x:row r="439">
      <x:c r="C439" s="21"/>
      <x:c r="G439" s="44"/>
      <x:c r="H439" s="44"/>
      <x:c r="I439" s="44"/>
      <x:c r="J439" s="44"/>
      <x:c r="K439" s="44"/>
    </x:row>
    <x:row r="440">
      <x:c r="C440" s="21"/>
      <x:c r="G440" s="44"/>
      <x:c r="H440" s="44"/>
      <x:c r="I440" s="44"/>
      <x:c r="J440" s="44"/>
      <x:c r="K440" s="44"/>
    </x:row>
    <x:row r="441">
      <x:c r="C441" s="21"/>
      <x:c r="G441" s="44"/>
      <x:c r="H441" s="44"/>
      <x:c r="I441" s="44"/>
      <x:c r="J441" s="44"/>
      <x:c r="K441" s="44"/>
    </x:row>
    <x:row r="442">
      <x:c r="C442" s="21"/>
      <x:c r="G442" s="44"/>
      <x:c r="H442" s="44"/>
      <x:c r="I442" s="44"/>
      <x:c r="J442" s="44"/>
      <x:c r="K442" s="44"/>
    </x:row>
    <x:row r="443">
      <x:c r="C443" s="21"/>
      <x:c r="G443" s="44"/>
      <x:c r="H443" s="44"/>
      <x:c r="I443" s="44"/>
      <x:c r="J443" s="44"/>
      <x:c r="K443" s="44"/>
    </x:row>
    <x:row r="444">
      <x:c r="C444" s="21"/>
      <x:c r="G444" s="44"/>
      <x:c r="H444" s="44"/>
      <x:c r="I444" s="44"/>
      <x:c r="J444" s="44"/>
      <x:c r="K444" s="44"/>
    </x:row>
    <x:row r="445">
      <x:c r="C445" s="21"/>
      <x:c r="G445" s="44"/>
      <x:c r="H445" s="44"/>
      <x:c r="I445" s="44"/>
      <x:c r="J445" s="44"/>
      <x:c r="K445" s="44"/>
    </x:row>
    <x:row r="446">
      <x:c r="C446" s="21"/>
      <x:c r="G446" s="44"/>
      <x:c r="H446" s="44"/>
      <x:c r="I446" s="44"/>
      <x:c r="J446" s="44"/>
      <x:c r="K446" s="44"/>
    </x:row>
    <x:row r="447">
      <x:c r="C447" s="21"/>
      <x:c r="G447" s="44"/>
      <x:c r="H447" s="44"/>
      <x:c r="I447" s="44"/>
      <x:c r="J447" s="44"/>
      <x:c r="K447" s="44"/>
    </x:row>
    <x:row r="448">
      <x:c r="C448" s="21"/>
      <x:c r="G448" s="44"/>
      <x:c r="H448" s="44"/>
      <x:c r="I448" s="44"/>
      <x:c r="J448" s="44"/>
      <x:c r="K448" s="44"/>
    </x:row>
    <x:row r="449">
      <x:c r="C449" s="21"/>
      <x:c r="G449" s="44"/>
      <x:c r="H449" s="44"/>
      <x:c r="I449" s="44"/>
      <x:c r="J449" s="44"/>
      <x:c r="K449" s="44"/>
    </x:row>
    <x:row r="450">
      <x:c r="C450" s="21"/>
      <x:c r="G450" s="44"/>
      <x:c r="H450" s="44"/>
      <x:c r="I450" s="44"/>
      <x:c r="J450" s="44"/>
      <x:c r="K450" s="44"/>
    </x:row>
    <x:row r="451">
      <x:c r="C451" s="21"/>
      <x:c r="G451" s="44"/>
      <x:c r="H451" s="44"/>
      <x:c r="I451" s="44"/>
      <x:c r="J451" s="44"/>
      <x:c r="K451" s="44"/>
    </x:row>
    <x:row r="452">
      <x:c r="C452" s="21"/>
      <x:c r="G452" s="44"/>
      <x:c r="H452" s="44"/>
      <x:c r="I452" s="44"/>
      <x:c r="J452" s="44"/>
      <x:c r="K452" s="44"/>
    </x:row>
    <x:row r="453">
      <x:c r="C453" s="21"/>
      <x:c r="G453" s="44"/>
      <x:c r="H453" s="44"/>
      <x:c r="I453" s="44"/>
      <x:c r="J453" s="44"/>
      <x:c r="K453" s="44"/>
    </x:row>
    <x:row r="454">
      <x:c r="C454" s="21"/>
      <x:c r="G454" s="44"/>
      <x:c r="H454" s="44"/>
      <x:c r="I454" s="44"/>
      <x:c r="J454" s="44"/>
      <x:c r="K454" s="44"/>
    </x:row>
    <x:row r="455">
      <x:c r="C455" s="21"/>
      <x:c r="G455" s="44"/>
      <x:c r="H455" s="44"/>
      <x:c r="I455" s="44"/>
      <x:c r="J455" s="44"/>
      <x:c r="K455" s="44"/>
    </x:row>
    <x:row r="456">
      <x:c r="C456" s="21"/>
      <x:c r="G456" s="44"/>
      <x:c r="H456" s="44"/>
      <x:c r="I456" s="44"/>
      <x:c r="J456" s="44"/>
      <x:c r="K456" s="44"/>
    </x:row>
    <x:row r="457">
      <x:c r="C457" s="21"/>
      <x:c r="G457" s="44"/>
      <x:c r="H457" s="44"/>
      <x:c r="I457" s="44"/>
      <x:c r="J457" s="44"/>
      <x:c r="K457" s="44"/>
    </x:row>
    <x:row r="458">
      <x:c r="C458" s="21"/>
      <x:c r="G458" s="44"/>
      <x:c r="H458" s="44"/>
      <x:c r="I458" s="44"/>
      <x:c r="J458" s="44"/>
      <x:c r="K458" s="44"/>
    </x:row>
    <x:row r="459">
      <x:c r="C459" s="21"/>
      <x:c r="G459" s="44"/>
      <x:c r="H459" s="44"/>
      <x:c r="I459" s="44"/>
      <x:c r="J459" s="44"/>
      <x:c r="K459" s="44"/>
    </x:row>
    <x:row r="460">
      <x:c r="C460" s="21"/>
      <x:c r="G460" s="44"/>
      <x:c r="H460" s="44"/>
      <x:c r="I460" s="44"/>
      <x:c r="J460" s="44"/>
      <x:c r="K460" s="44"/>
    </x:row>
    <x:row r="461">
      <x:c r="C461" s="21"/>
      <x:c r="G461" s="44"/>
      <x:c r="H461" s="44"/>
      <x:c r="I461" s="44"/>
      <x:c r="J461" s="44"/>
      <x:c r="K461" s="44"/>
    </x:row>
    <x:row r="462">
      <x:c r="C462" s="21"/>
      <x:c r="G462" s="44"/>
      <x:c r="H462" s="44"/>
      <x:c r="I462" s="44"/>
      <x:c r="J462" s="44"/>
      <x:c r="K462" s="44"/>
    </x:row>
    <x:row r="463">
      <x:c r="C463" s="21"/>
      <x:c r="G463" s="44"/>
      <x:c r="H463" s="44"/>
      <x:c r="I463" s="44"/>
      <x:c r="J463" s="44"/>
      <x:c r="K463" s="44"/>
    </x:row>
    <x:row r="464">
      <x:c r="C464" s="21"/>
      <x:c r="G464" s="44"/>
      <x:c r="H464" s="44"/>
      <x:c r="I464" s="44"/>
      <x:c r="J464" s="44"/>
      <x:c r="K464" s="44"/>
    </x:row>
    <x:row r="465">
      <x:c r="C465" s="21"/>
      <x:c r="G465" s="44"/>
      <x:c r="H465" s="44"/>
      <x:c r="I465" s="44"/>
      <x:c r="J465" s="44"/>
      <x:c r="K465" s="44"/>
    </x:row>
    <x:row r="466">
      <x:c r="C466" s="21"/>
      <x:c r="G466" s="44"/>
      <x:c r="H466" s="44"/>
      <x:c r="I466" s="44"/>
      <x:c r="J466" s="44"/>
      <x:c r="K466" s="44"/>
    </x:row>
    <x:row r="467">
      <x:c r="C467" s="21"/>
      <x:c r="G467" s="44"/>
      <x:c r="H467" s="44"/>
      <x:c r="I467" s="44"/>
      <x:c r="J467" s="44"/>
      <x:c r="K467" s="44"/>
    </x:row>
    <x:row r="468">
      <x:c r="C468" s="21"/>
      <x:c r="G468" s="44"/>
      <x:c r="H468" s="44"/>
      <x:c r="I468" s="44"/>
      <x:c r="J468" s="44"/>
      <x:c r="K468" s="44"/>
    </x:row>
    <x:row r="469">
      <x:c r="C469" s="21"/>
      <x:c r="G469" s="44"/>
      <x:c r="H469" s="44"/>
      <x:c r="I469" s="44"/>
      <x:c r="J469" s="44"/>
      <x:c r="K469" s="44"/>
    </x:row>
    <x:row r="470">
      <x:c r="C470" s="21"/>
      <x:c r="G470" s="44"/>
      <x:c r="H470" s="44"/>
      <x:c r="I470" s="44"/>
      <x:c r="J470" s="44"/>
      <x:c r="K470" s="44"/>
    </x:row>
    <x:row r="471">
      <x:c r="C471" s="21"/>
      <x:c r="G471" s="44"/>
      <x:c r="H471" s="44"/>
      <x:c r="I471" s="44"/>
      <x:c r="J471" s="44"/>
      <x:c r="K471" s="44"/>
    </x:row>
    <x:row r="472">
      <x:c r="C472" s="21"/>
      <x:c r="G472" s="44"/>
      <x:c r="H472" s="44"/>
      <x:c r="I472" s="44"/>
      <x:c r="J472" s="44"/>
      <x:c r="K472" s="44"/>
    </x:row>
    <x:row r="473">
      <x:c r="C473" s="21"/>
      <x:c r="G473" s="44"/>
      <x:c r="H473" s="44"/>
      <x:c r="I473" s="44"/>
      <x:c r="J473" s="44"/>
      <x:c r="K473" s="44"/>
    </x:row>
    <x:row r="474">
      <x:c r="C474" s="21"/>
      <x:c r="G474" s="44"/>
      <x:c r="H474" s="44"/>
      <x:c r="I474" s="44"/>
      <x:c r="J474" s="44"/>
      <x:c r="K474" s="44"/>
    </x:row>
    <x:row r="475">
      <x:c r="C475" s="21"/>
      <x:c r="G475" s="44"/>
      <x:c r="H475" s="44"/>
      <x:c r="I475" s="44"/>
      <x:c r="J475" s="44"/>
      <x:c r="K475" s="44"/>
    </x:row>
    <x:row r="476">
      <x:c r="C476" s="21"/>
      <x:c r="G476" s="44"/>
      <x:c r="H476" s="44"/>
      <x:c r="I476" s="44"/>
      <x:c r="J476" s="44"/>
      <x:c r="K476" s="44"/>
    </x:row>
    <x:row r="477">
      <x:c r="C477" s="21"/>
      <x:c r="G477" s="44"/>
      <x:c r="H477" s="44"/>
      <x:c r="I477" s="44"/>
      <x:c r="J477" s="44"/>
      <x:c r="K477" s="44"/>
    </x:row>
    <x:row r="478">
      <x:c r="C478" s="21"/>
      <x:c r="G478" s="44"/>
      <x:c r="H478" s="44"/>
      <x:c r="I478" s="44"/>
      <x:c r="J478" s="44"/>
      <x:c r="K478" s="44"/>
    </x:row>
    <x:row r="479">
      <x:c r="C479" s="21"/>
      <x:c r="G479" s="44"/>
      <x:c r="H479" s="44"/>
      <x:c r="I479" s="44"/>
      <x:c r="J479" s="44"/>
      <x:c r="K479" s="44"/>
    </x:row>
    <x:row r="480">
      <x:c r="C480" s="21"/>
      <x:c r="G480" s="44"/>
      <x:c r="H480" s="44"/>
      <x:c r="I480" s="44"/>
      <x:c r="J480" s="44"/>
      <x:c r="K480" s="44"/>
    </x:row>
    <x:row r="481">
      <x:c r="C481" s="21"/>
      <x:c r="G481" s="44"/>
      <x:c r="H481" s="44"/>
      <x:c r="I481" s="44"/>
      <x:c r="J481" s="44"/>
      <x:c r="K481" s="44"/>
    </x:row>
    <x:row r="482">
      <x:c r="C482" s="21"/>
      <x:c r="G482" s="44"/>
      <x:c r="H482" s="44"/>
      <x:c r="I482" s="44"/>
      <x:c r="J482" s="44"/>
      <x:c r="K482" s="44"/>
    </x:row>
    <x:row r="483">
      <x:c r="C483" s="21"/>
      <x:c r="G483" s="44"/>
      <x:c r="H483" s="44"/>
      <x:c r="I483" s="44"/>
      <x:c r="J483" s="44"/>
      <x:c r="K483" s="44"/>
    </x:row>
    <x:row r="484">
      <x:c r="C484" s="21"/>
      <x:c r="G484" s="44"/>
      <x:c r="H484" s="44"/>
      <x:c r="I484" s="44"/>
      <x:c r="J484" s="44"/>
      <x:c r="K484" s="44"/>
    </x:row>
    <x:row r="485">
      <x:c r="C485" s="21"/>
      <x:c r="G485" s="44"/>
      <x:c r="H485" s="44"/>
      <x:c r="I485" s="44"/>
      <x:c r="J485" s="44"/>
      <x:c r="K485" s="44"/>
    </x:row>
    <x:row r="486">
      <x:c r="C486" s="21"/>
      <x:c r="G486" s="44"/>
      <x:c r="H486" s="44"/>
      <x:c r="I486" s="44"/>
      <x:c r="J486" s="44"/>
      <x:c r="K486" s="44"/>
    </x:row>
    <x:row r="487">
      <x:c r="C487" s="21"/>
      <x:c r="G487" s="44"/>
      <x:c r="H487" s="44"/>
      <x:c r="I487" s="44"/>
      <x:c r="J487" s="44"/>
      <x:c r="K487" s="44"/>
    </x:row>
    <x:row r="488">
      <x:c r="C488" s="21"/>
      <x:c r="G488" s="44"/>
      <x:c r="H488" s="44"/>
      <x:c r="I488" s="44"/>
      <x:c r="J488" s="44"/>
      <x:c r="K488" s="44"/>
    </x:row>
    <x:row r="489">
      <x:c r="C489" s="21"/>
      <x:c r="G489" s="44"/>
      <x:c r="H489" s="44"/>
      <x:c r="I489" s="44"/>
      <x:c r="J489" s="44"/>
      <x:c r="K489" s="44"/>
    </x:row>
    <x:row r="490">
      <x:c r="C490" s="21"/>
      <x:c r="G490" s="44"/>
      <x:c r="H490" s="44"/>
      <x:c r="I490" s="44"/>
      <x:c r="J490" s="44"/>
      <x:c r="K490" s="44"/>
    </x:row>
    <x:row r="491">
      <x:c r="C491" s="21"/>
      <x:c r="G491" s="44"/>
      <x:c r="H491" s="44"/>
      <x:c r="I491" s="44"/>
      <x:c r="J491" s="44"/>
      <x:c r="K491" s="44"/>
    </x:row>
    <x:row r="492">
      <x:c r="C492" s="21"/>
      <x:c r="G492" s="44"/>
      <x:c r="H492" s="44"/>
      <x:c r="I492" s="44"/>
      <x:c r="J492" s="44"/>
      <x:c r="K492" s="44"/>
    </x:row>
    <x:row r="493">
      <x:c r="C493" s="21"/>
      <x:c r="G493" s="44"/>
      <x:c r="H493" s="44"/>
      <x:c r="I493" s="44"/>
      <x:c r="J493" s="44"/>
      <x:c r="K493" s="44"/>
    </x:row>
    <x:row r="494">
      <x:c r="C494" s="21"/>
      <x:c r="G494" s="44"/>
      <x:c r="H494" s="44"/>
      <x:c r="I494" s="44"/>
      <x:c r="J494" s="44"/>
      <x:c r="K494" s="44"/>
    </x:row>
    <x:row r="495">
      <x:c r="C495" s="21"/>
      <x:c r="G495" s="44"/>
      <x:c r="H495" s="44"/>
      <x:c r="I495" s="44"/>
      <x:c r="J495" s="44"/>
      <x:c r="K495" s="44"/>
    </x:row>
    <x:row r="496">
      <x:c r="C496" s="21"/>
      <x:c r="G496" s="44"/>
      <x:c r="H496" s="44"/>
      <x:c r="I496" s="44"/>
      <x:c r="J496" s="44"/>
      <x:c r="K496" s="44"/>
    </x:row>
    <x:row r="497">
      <x:c r="C497" s="21"/>
      <x:c r="G497" s="44"/>
      <x:c r="H497" s="44"/>
      <x:c r="I497" s="44"/>
      <x:c r="J497" s="44"/>
      <x:c r="K497" s="44"/>
    </x:row>
    <x:row r="498">
      <x:c r="C498" s="21"/>
      <x:c r="G498" s="44"/>
      <x:c r="H498" s="44"/>
      <x:c r="I498" s="44"/>
      <x:c r="J498" s="44"/>
      <x:c r="K498" s="44"/>
    </x:row>
    <x:row r="499">
      <x:c r="C499" s="21"/>
      <x:c r="G499" s="44"/>
      <x:c r="H499" s="44"/>
      <x:c r="I499" s="44"/>
      <x:c r="J499" s="44"/>
      <x:c r="K499" s="44"/>
    </x:row>
    <x:row r="500">
      <x:c r="C500" s="21"/>
      <x:c r="G500" s="44"/>
      <x:c r="H500" s="44"/>
      <x:c r="I500" s="44"/>
      <x:c r="J500" s="44"/>
      <x:c r="K500" s="44"/>
    </x:row>
    <x:row r="501">
      <x:c r="C501" s="21"/>
      <x:c r="G501" s="44"/>
      <x:c r="H501" s="44"/>
      <x:c r="I501" s="44"/>
      <x:c r="J501" s="44"/>
      <x:c r="K501" s="44"/>
    </x:row>
    <x:row r="502">
      <x:c r="C502" s="21"/>
      <x:c r="G502" s="44"/>
      <x:c r="H502" s="44"/>
      <x:c r="I502" s="44"/>
      <x:c r="J502" s="44"/>
      <x:c r="K502" s="44"/>
    </x:row>
    <x:row r="503">
      <x:c r="C503" s="21"/>
      <x:c r="G503" s="44"/>
      <x:c r="H503" s="44"/>
      <x:c r="I503" s="44"/>
      <x:c r="J503" s="44"/>
      <x:c r="K503" s="44"/>
    </x:row>
    <x:row r="504">
      <x:c r="C504" s="21"/>
      <x:c r="G504" s="44"/>
      <x:c r="H504" s="44"/>
      <x:c r="I504" s="44"/>
      <x:c r="J504" s="44"/>
      <x:c r="K504" s="44"/>
    </x:row>
    <x:row r="505">
      <x:c r="C505" s="21"/>
      <x:c r="G505" s="44"/>
      <x:c r="H505" s="44"/>
      <x:c r="I505" s="44"/>
      <x:c r="J505" s="44"/>
      <x:c r="K505" s="44"/>
    </x:row>
  </x:sheetData>
  <x:mergeCells>
    <x:mergeCell ref="A2:K2"/>
  </x:mergeCells>
  <x:pageMargins left="0.7" right="0.7" top="0.75" bottom="0.75" header="0.3" footer="0.3"/>
  <x:tableParts count="1">
    <x:tablePart xmlns:r="http://schemas.openxmlformats.org/officeDocument/2006/relationships" r:id="R4eb407c9a66a41c5"/>
  </x:tableParts>
</x:worksheet>
</file>

<file path=xl/worksheets/sheet4.xml><?xml version="1.0" encoding="utf-8"?>
<x:worksheet xmlns:x="http://schemas.openxmlformats.org/spreadsheetml/2006/main">
  <x:sheetPr>
    <x:tabColor rgb="FFF4B942"/>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34" hidden="0" customWidth="1"/>
  </x:cols>
  <x:sheetData>
    <x:row r="1">
      <x:c r="A1" s="1"/>
      <x:c r="B1" s="1"/>
      <x:c r="C1" s="1"/>
      <x:c r="D1" s="1"/>
      <x:c r="E1" s="1"/>
      <x:c r="F1" s="1"/>
      <x:c r="G1" s="1"/>
      <x:c r="H1" s="1"/>
      <x:c r="I1" s="1"/>
      <x:c r="J1" s="1"/>
      <x:c r="K1" s="1"/>
      <x:c r="L1" s="1"/>
      <x:c r="M1" s="1"/>
    </x:row>
    <x:row r="2">
      <x:c r="A2" s="2" t="str">
        <x:v>Source Registry</x:v>
      </x:c>
      <x:c r="B2" s="1"/>
      <x:c r="C2" s="1"/>
      <x:c r="D2" s="1"/>
      <x:c r="E2" s="1"/>
      <x:c r="F2" s="1"/>
      <x:c r="G2" s="1"/>
      <x:c r="H2" s="1"/>
      <x:c r="I2" s="1"/>
      <x:c r="J2" s="1"/>
      <x:c r="K2" s="1"/>
      <x:c r="L2" s="1"/>
      <x:c r="M2" s="1"/>
    </x:row>
    <x:row r="3">
      <x:c r="A3" s="3"/>
      <x:c r="B3" s="3"/>
      <x:c r="C3" s="3"/>
      <x:c r="D3" s="3"/>
      <x:c r="E3" s="3"/>
      <x:c r="F3" s="3"/>
      <x:c r="G3" s="3"/>
      <x:c r="H3" s="3"/>
      <x:c r="I3" s="3"/>
      <x:c r="J3" s="3"/>
      <x:c r="K3" s="3"/>
      <x:c r="L3" s="3"/>
      <x:c r="M3" s="3"/>
    </x:row>
    <x:row r="4">
      <x:c r="A4" s="1"/>
      <x:c r="B4" s="1"/>
      <x:c r="C4" s="1"/>
      <x:c r="D4" s="1"/>
      <x:c r="E4" s="1"/>
      <x:c r="F4" s="1"/>
      <x:c r="G4" s="1"/>
      <x:c r="H4" s="1"/>
      <x:c r="I4" s="1"/>
      <x:c r="J4" s="1"/>
      <x:c r="K4" s="1"/>
      <x:c r="L4" s="1"/>
      <x:c r="M4" s="1"/>
    </x:row>
    <x:row r="5">
      <x:c r="A5" s="24" t="str">
        <x:v>Source</x:v>
      </x:c>
      <x:c r="B5" s="25" t="str">
        <x:v>Source Class</x:v>
      </x:c>
      <x:c r="C5" s="25" t="str">
        <x:v>Domain</x:v>
      </x:c>
      <x:c r="D5" s="25" t="str">
        <x:v>Approved Status</x:v>
      </x:c>
      <x:c r="E5" s="25" t="str">
        <x:v>Reliability 1 to 5</x:v>
      </x:c>
      <x:c r="F5" s="25" t="str">
        <x:v>Timeliness 1 to 5</x:v>
      </x:c>
      <x:c r="G5" s="25" t="str">
        <x:v>Directness 1 to 5</x:v>
      </x:c>
      <x:c r="H5" s="25" t="str">
        <x:v>Corroboration Required</x:v>
      </x:c>
      <x:c r="I5" s="25" t="str">
        <x:v>Correct Calls</x:v>
      </x:c>
      <x:c r="J5" s="25" t="str">
        <x:v>Incorrect Calls</x:v>
      </x:c>
      <x:c r="K5" s="25" t="str">
        <x:v>Evaluated Calls</x:v>
      </x:c>
      <x:c r="L5" s="25" t="str">
        <x:v>Hit Rate</x:v>
      </x:c>
      <x:c r="M5" s="26" t="str">
        <x:v>Notes</x:v>
      </x:c>
    </x:row>
    <x:row r="6">
      <x:c r="A6" s="27" t="str">
        <x:v>USAspending.gov</x:v>
      </x:c>
      <x:c r="B6" s="27" t="str">
        <x:v>Trigger</x:v>
      </x:c>
      <x:c r="C6" s="27" t="str">
        <x:v>Government contracts</x:v>
      </x:c>
      <x:c r="D6" s="27" t="str">
        <x:v>Approved</x:v>
      </x:c>
      <x:c r="E6" s="27" t="n">
        <x:v>5</x:v>
      </x:c>
      <x:c r="F6" s="27" t="n">
        <x:v>3</x:v>
      </x:c>
      <x:c r="G6" s="27" t="n">
        <x:v>5</x:v>
      </x:c>
      <x:c r="H6" s="27" t="str">
        <x:v>Yes</x:v>
      </x:c>
      <x:c r="I6" s="27" t="n">
        <x:v>0</x:v>
      </x:c>
      <x:c r="J6" s="27" t="n">
        <x:v>0</x:v>
      </x:c>
      <x:c r="K6" s="27" t="n">
        <x:f>I6+J6</x:f>
        <x:v>0</x:v>
      </x:c>
      <x:c r="L6" s="31" t="str">
        <x:f>IF(K6=0,"",I6/K6)</x:f>
      </x:c>
      <x:c r="M6" s="29" t="str">
        <x:v>Award records trigger investigation; test materiality and confirm economic impact.</x:v>
      </x:c>
    </x:row>
    <x:row r="7">
      <x:c r="A7" s="27" t="str">
        <x:v>Congress.gov</x:v>
      </x:c>
      <x:c r="B7" s="27" t="str">
        <x:v>Trigger and confirmation</x:v>
      </x:c>
      <x:c r="C7" s="27" t="str">
        <x:v>Legislation</x:v>
      </x:c>
      <x:c r="D7" s="27" t="str">
        <x:v>Approved</x:v>
      </x:c>
      <x:c r="E7" s="27" t="n">
        <x:v>5</x:v>
      </x:c>
      <x:c r="F7" s="27" t="n">
        <x:v>3</x:v>
      </x:c>
      <x:c r="G7" s="27" t="n">
        <x:v>5</x:v>
      </x:c>
      <x:c r="H7" s="27" t="str">
        <x:v>Context often required</x:v>
      </x:c>
      <x:c r="I7" s="27" t="n">
        <x:v>0</x:v>
      </x:c>
      <x:c r="J7" s="27" t="n">
        <x:v>0</x:v>
      </x:c>
      <x:c r="K7" s="27" t="n">
        <x:f>I7+J7</x:f>
        <x:v>0</x:v>
      </x:c>
      <x:c r="L7" s="31" t="str">
        <x:f>IF(K7=0,"",I7/K7)</x:f>
      </x:c>
      <x:c r="M7" s="29" t="str">
        <x:v>Use statutory text and action history; passage and implementation are separate risks.</x:v>
      </x:c>
    </x:row>
    <x:row r="8">
      <x:c r="A8" s="27" t="str">
        <x:v>Federal Register</x:v>
      </x:c>
      <x:c r="B8" s="27" t="str">
        <x:v>Confirmation</x:v>
      </x:c>
      <x:c r="C8" s="27" t="str">
        <x:v>Regulation</x:v>
      </x:c>
      <x:c r="D8" s="27" t="str">
        <x:v>Approved</x:v>
      </x:c>
      <x:c r="E8" s="27" t="n">
        <x:v>5</x:v>
      </x:c>
      <x:c r="F8" s="27" t="n">
        <x:v>3</x:v>
      </x:c>
      <x:c r="G8" s="27" t="n">
        <x:v>5</x:v>
      </x:c>
      <x:c r="H8" s="27" t="str">
        <x:v>Context often required</x:v>
      </x:c>
      <x:c r="I8" s="27" t="n">
        <x:v>0</x:v>
      </x:c>
      <x:c r="J8" s="27" t="n">
        <x:v>0</x:v>
      </x:c>
      <x:c r="K8" s="27" t="n">
        <x:f>I8+J8</x:f>
        <x:v>0</x:v>
      </x:c>
      <x:c r="L8" s="31" t="str">
        <x:f>IF(K8=0,"",I8/K8)</x:f>
      </x:c>
      <x:c r="M8" s="29" t="str">
        <x:v>Distinguish proposed, final and effective rules.</x:v>
      </x:c>
    </x:row>
    <x:row r="9">
      <x:c r="A9" s="27" t="str">
        <x:v>SEC EDGAR</x:v>
      </x:c>
      <x:c r="B9" s="27" t="str">
        <x:v>Confirmation</x:v>
      </x:c>
      <x:c r="C9" s="27" t="str">
        <x:v>Company filings</x:v>
      </x:c>
      <x:c r="D9" s="27" t="str">
        <x:v>Approved</x:v>
      </x:c>
      <x:c r="E9" s="27" t="n">
        <x:v>5</x:v>
      </x:c>
      <x:c r="F9" s="27" t="n">
        <x:v>4</x:v>
      </x:c>
      <x:c r="G9" s="27" t="n">
        <x:v>5</x:v>
      </x:c>
      <x:c r="H9" s="27" t="str">
        <x:v>No for filed facts</x:v>
      </x:c>
      <x:c r="I9" s="27" t="n">
        <x:v>0</x:v>
      </x:c>
      <x:c r="J9" s="27" t="n">
        <x:v>0</x:v>
      </x:c>
      <x:c r="K9" s="27" t="n">
        <x:f>I9+J9</x:f>
        <x:v>0</x:v>
      </x:c>
      <x:c r="L9" s="31" t="str">
        <x:f>IF(K9=0,"",I9/K9)</x:f>
      </x:c>
      <x:c r="M9" s="29" t="str">
        <x:v>Use filings for company disclosures, risks and materiality.</x:v>
      </x:c>
    </x:row>
    <x:row r="10">
      <x:c r="A10" s="27" t="str">
        <x:v>U.S. EIA</x:v>
      </x:c>
      <x:c r="B10" s="27" t="str">
        <x:v>Confirmation</x:v>
      </x:c>
      <x:c r="C10" s="27" t="str">
        <x:v>Energy</x:v>
      </x:c>
      <x:c r="D10" s="27" t="str">
        <x:v>Approved</x:v>
      </x:c>
      <x:c r="E10" s="27" t="n">
        <x:v>5</x:v>
      </x:c>
      <x:c r="F10" s="27" t="n">
        <x:v>4</x:v>
      </x:c>
      <x:c r="G10" s="27" t="n">
        <x:v>5</x:v>
      </x:c>
      <x:c r="H10" s="27" t="str">
        <x:v>No for published data</x:v>
      </x:c>
      <x:c r="I10" s="27" t="n">
        <x:v>0</x:v>
      </x:c>
      <x:c r="J10" s="27" t="n">
        <x:v>0</x:v>
      </x:c>
      <x:c r="K10" s="27" t="n">
        <x:f>I10+J10</x:f>
        <x:v>0</x:v>
      </x:c>
      <x:c r="L10" s="31" t="str">
        <x:f>IF(K10=0,"",I10/K10)</x:f>
      </x:c>
      <x:c r="M10" s="29" t="str">
        <x:v>Primary U.S. energy statistics and forecasts.</x:v>
      </x:c>
    </x:row>
    <x:row r="11">
      <x:c r="A11" s="27" t="str">
        <x:v>IEA</x:v>
      </x:c>
      <x:c r="B11" s="27" t="str">
        <x:v>Confirmation</x:v>
      </x:c>
      <x:c r="C11" s="27" t="str">
        <x:v>Global energy</x:v>
      </x:c>
      <x:c r="D11" s="27" t="str">
        <x:v>Approved</x:v>
      </x:c>
      <x:c r="E11" s="27" t="n">
        <x:v>5</x:v>
      </x:c>
      <x:c r="F11" s="27" t="n">
        <x:v>4</x:v>
      </x:c>
      <x:c r="G11" s="27" t="n">
        <x:v>5</x:v>
      </x:c>
      <x:c r="H11" s="27" t="str">
        <x:v>Check assumptions</x:v>
      </x:c>
      <x:c r="I11" s="27" t="n">
        <x:v>0</x:v>
      </x:c>
      <x:c r="J11" s="27" t="n">
        <x:v>0</x:v>
      </x:c>
      <x:c r="K11" s="27" t="n">
        <x:f>I11+J11</x:f>
        <x:v>0</x:v>
      </x:c>
      <x:c r="L11" s="31" t="str">
        <x:f>IF(K11=0,"",I11/K11)</x:f>
      </x:c>
      <x:c r="M11" s="29" t="str">
        <x:v>Global energy data and forecasts; distinguish estimates from observations.</x:v>
      </x:c>
    </x:row>
    <x:row r="12">
      <x:c r="A12" s="27" t="str">
        <x:v>Reuters</x:v>
      </x:c>
      <x:c r="B12" s="27" t="str">
        <x:v>High quality reporting</x:v>
      </x:c>
      <x:c r="C12" s="27" t="str">
        <x:v>Cross-sector</x:v>
      </x:c>
      <x:c r="D12" s="27" t="str">
        <x:v>Approved</x:v>
      </x:c>
      <x:c r="E12" s="27" t="n">
        <x:v>4</x:v>
      </x:c>
      <x:c r="F12" s="27" t="n">
        <x:v>5</x:v>
      </x:c>
      <x:c r="G12" s="27" t="n">
        <x:v>3</x:v>
      </x:c>
      <x:c r="H12" s="27" t="str">
        <x:v>Yes for decisive claims</x:v>
      </x:c>
      <x:c r="I12" s="27" t="n">
        <x:v>0</x:v>
      </x:c>
      <x:c r="J12" s="27" t="n">
        <x:v>0</x:v>
      </x:c>
      <x:c r="K12" s="27" t="n">
        <x:f>I12+J12</x:f>
        <x:v>0</x:v>
      </x:c>
      <x:c r="L12" s="31" t="str">
        <x:f>IF(K12=0,"",I12/K12)</x:f>
      </x:c>
      <x:c r="M12" s="29" t="str">
        <x:v>Strong timely reporting; trace claims to primary sources when available.</x:v>
      </x:c>
    </x:row>
    <x:row r="13">
      <x:c r="A13" s="27" t="str">
        <x:v>Associated Press</x:v>
      </x:c>
      <x:c r="B13" s="27" t="str">
        <x:v>High quality reporting</x:v>
      </x:c>
      <x:c r="C13" s="27" t="str">
        <x:v>Cross-sector</x:v>
      </x:c>
      <x:c r="D13" s="27" t="str">
        <x:v>Approved</x:v>
      </x:c>
      <x:c r="E13" s="27" t="n">
        <x:v>4</x:v>
      </x:c>
      <x:c r="F13" s="27" t="n">
        <x:v>4</x:v>
      </x:c>
      <x:c r="G13" s="27" t="n">
        <x:v>3</x:v>
      </x:c>
      <x:c r="H13" s="27" t="str">
        <x:v>Yes for investment mechanism</x:v>
      </x:c>
      <x:c r="I13" s="27" t="n">
        <x:v>0</x:v>
      </x:c>
      <x:c r="J13" s="27" t="n">
        <x:v>0</x:v>
      </x:c>
      <x:c r="K13" s="27" t="n">
        <x:f>I13+J13</x:f>
        <x:v>0</x:v>
      </x:c>
      <x:c r="L13" s="31" t="str">
        <x:f>IF(K13=0,"",I13/K13)</x:f>
      </x:c>
      <x:c r="M13" s="29" t="str">
        <x:v>Useful factual confirmation and context.</x:v>
      </x:c>
    </x:row>
    <x:row r="14">
      <x:c r="A14" s="27" t="str">
        <x:v>Mr Global</x:v>
      </x:c>
      <x:c r="B14" s="27" t="str">
        <x:v>Enhancer</x:v>
      </x:c>
      <x:c r="C14" s="27" t="str">
        <x:v>Oil and gas</x:v>
      </x:c>
      <x:c r="D14" s="27" t="str">
        <x:v>Approved enhancer</x:v>
      </x:c>
      <x:c r="E14" s="27" t="n">
        <x:v>3</x:v>
      </x:c>
      <x:c r="F14" s="27" t="n">
        <x:v>5</x:v>
      </x:c>
      <x:c r="G14" s="27" t="n">
        <x:v>2</x:v>
      </x:c>
      <x:c r="H14" s="27" t="str">
        <x:v>Always</x:v>
      </x:c>
      <x:c r="I14" s="27" t="n">
        <x:v>1</x:v>
      </x:c>
      <x:c r="J14" s="27" t="n">
        <x:v>0</x:v>
      </x:c>
      <x:c r="K14" s="27" t="n">
        <x:f>I14+J14</x:f>
        <x:v>1</x:v>
      </x:c>
      <x:c r="L14" s="31" t="n">
        <x:f>IF(K14=0,"",I14/K14)</x:f>
        <x:v>1</x:v>
      </x:c>
      <x:c r="M14" s="29" t="str">
        <x:v>Expert enhancer only; never originating proof. EEI-2026-001 resolved on September 18 with the oil supply-risk direction and timing correct, so one call is credited. Independent evidence remained required.</x:v>
      </x:c>
    </x:row>
    <x:row r="15">
      <x:c r="A15" s="27" t="str">
        <x:v>Market price and volume data</x:v>
      </x:c>
      <x:c r="B15" s="27" t="str">
        <x:v>Market data</x:v>
      </x:c>
      <x:c r="C15" s="27" t="str">
        <x:v>Cross-sector</x:v>
      </x:c>
      <x:c r="D15" s="27" t="str">
        <x:v>Approved</x:v>
      </x:c>
      <x:c r="E15" s="27" t="n">
        <x:v>5</x:v>
      </x:c>
      <x:c r="F15" s="27" t="n">
        <x:v>5</x:v>
      </x:c>
      <x:c r="G15" s="27" t="n">
        <x:v>4</x:v>
      </x:c>
      <x:c r="H15" s="27" t="str">
        <x:v>Interpretation required</x:v>
      </x:c>
      <x:c r="I15" s="27" t="n">
        <x:v>0</x:v>
      </x:c>
      <x:c r="J15" s="27" t="n">
        <x:v>0</x:v>
      </x:c>
      <x:c r="K15" s="27" t="n">
        <x:f>I15+J15</x:f>
        <x:v>0</x:v>
      </x:c>
      <x:c r="L15" s="31" t="str">
        <x:f>IF(K15=0,"",I15/K15)</x:f>
      </x:c>
      <x:c r="M15" s="29" t="str">
        <x:v>Use for confirmation, entry analysis and outcome measurement.</x:v>
      </x:c>
    </x:row>
    <x:row r="16">
      <x:c r="A16" s="27"/>
      <x:c r="B16" s="27"/>
      <x:c r="C16" s="27"/>
      <x:c r="D16" s="27"/>
      <x:c r="E16" s="27"/>
      <x:c r="F16" s="27"/>
      <x:c r="G16" s="27"/>
      <x:c r="H16" s="27"/>
      <x:c r="I16" s="27"/>
      <x:c r="J16" s="27"/>
      <x:c r="K16" s="27" t="n">
        <x:f>I16+J16</x:f>
        <x:v>0</x:v>
      </x:c>
      <x:c r="L16" s="31" t="str">
        <x:f>IF(K16=0,"",I16/K16)</x:f>
      </x:c>
      <x:c r="M16" s="29"/>
    </x:row>
    <x:row r="17">
      <x:c r="A17" s="27"/>
      <x:c r="B17" s="27"/>
      <x:c r="C17" s="27"/>
      <x:c r="D17" s="27"/>
      <x:c r="E17" s="27"/>
      <x:c r="F17" s="27"/>
      <x:c r="G17" s="27"/>
      <x:c r="H17" s="27"/>
      <x:c r="I17" s="27"/>
      <x:c r="J17" s="27"/>
      <x:c r="K17" s="27" t="n">
        <x:f>I17+J17</x:f>
        <x:v>0</x:v>
      </x:c>
      <x:c r="L17" s="31" t="str">
        <x:f>IF(K17=0,"",I17/K17)</x:f>
      </x:c>
      <x:c r="M17" s="29"/>
    </x:row>
    <x:row r="18">
      <x:c r="A18" s="27"/>
      <x:c r="B18" s="27"/>
      <x:c r="C18" s="27"/>
      <x:c r="D18" s="27"/>
      <x:c r="E18" s="27"/>
      <x:c r="F18" s="27"/>
      <x:c r="G18" s="27"/>
      <x:c r="H18" s="27"/>
      <x:c r="I18" s="27"/>
      <x:c r="J18" s="27"/>
      <x:c r="K18" s="27" t="n">
        <x:f>I18+J18</x:f>
        <x:v>0</x:v>
      </x:c>
      <x:c r="L18" s="31" t="str">
        <x:f>IF(K18=0,"",I18/K18)</x:f>
      </x:c>
      <x:c r="M18" s="29"/>
    </x:row>
    <x:row r="19">
      <x:c r="A19" s="27"/>
      <x:c r="B19" s="27"/>
      <x:c r="C19" s="27"/>
      <x:c r="D19" s="27"/>
      <x:c r="E19" s="27"/>
      <x:c r="F19" s="27"/>
      <x:c r="G19" s="27"/>
      <x:c r="H19" s="27"/>
      <x:c r="I19" s="27"/>
      <x:c r="J19" s="27"/>
      <x:c r="K19" s="27" t="n">
        <x:f>I19+J19</x:f>
        <x:v>0</x:v>
      </x:c>
      <x:c r="L19" s="31" t="str">
        <x:f>IF(K19=0,"",I19/K19)</x:f>
      </x:c>
      <x:c r="M19" s="29"/>
    </x:row>
    <x:row r="20">
      <x:c r="A20" s="27"/>
      <x:c r="B20" s="27"/>
      <x:c r="C20" s="27"/>
      <x:c r="D20" s="27"/>
      <x:c r="E20" s="27"/>
      <x:c r="F20" s="27"/>
      <x:c r="G20" s="27"/>
      <x:c r="H20" s="27"/>
      <x:c r="I20" s="27"/>
      <x:c r="J20" s="27"/>
      <x:c r="K20" s="27" t="n">
        <x:f>I20+J20</x:f>
        <x:v>0</x:v>
      </x:c>
      <x:c r="L20" s="31" t="str">
        <x:f>IF(K20=0,"",I20/K20)</x:f>
      </x:c>
      <x:c r="M20" s="29"/>
    </x:row>
    <x:row r="21">
      <x:c r="A21" s="27"/>
      <x:c r="B21" s="27"/>
      <x:c r="C21" s="27"/>
      <x:c r="D21" s="27"/>
      <x:c r="E21" s="27"/>
      <x:c r="F21" s="27"/>
      <x:c r="G21" s="27"/>
      <x:c r="H21" s="27"/>
      <x:c r="I21" s="27"/>
      <x:c r="J21" s="27"/>
      <x:c r="K21" s="27" t="n">
        <x:f>I21+J21</x:f>
        <x:v>0</x:v>
      </x:c>
      <x:c r="L21" s="31" t="str">
        <x:f>IF(K21=0,"",I21/K21)</x:f>
      </x:c>
      <x:c r="M21" s="29"/>
    </x:row>
    <x:row r="22">
      <x:c r="A22" s="27"/>
      <x:c r="B22" s="27"/>
      <x:c r="C22" s="27"/>
      <x:c r="D22" s="27"/>
      <x:c r="E22" s="27"/>
      <x:c r="F22" s="27"/>
      <x:c r="G22" s="27"/>
      <x:c r="H22" s="27"/>
      <x:c r="I22" s="27"/>
      <x:c r="J22" s="27"/>
      <x:c r="K22" s="27" t="n">
        <x:f>I22+J22</x:f>
        <x:v>0</x:v>
      </x:c>
      <x:c r="L22" s="31" t="str">
        <x:f>IF(K22=0,"",I22/K22)</x:f>
      </x:c>
      <x:c r="M22" s="29"/>
    </x:row>
    <x:row r="23">
      <x:c r="A23" s="27"/>
      <x:c r="B23" s="27"/>
      <x:c r="C23" s="27"/>
      <x:c r="D23" s="27"/>
      <x:c r="E23" s="27"/>
      <x:c r="F23" s="27"/>
      <x:c r="G23" s="27"/>
      <x:c r="H23" s="27"/>
      <x:c r="I23" s="27"/>
      <x:c r="J23" s="27"/>
      <x:c r="K23" s="27" t="n">
        <x:f>I23+J23</x:f>
        <x:v>0</x:v>
      </x:c>
      <x:c r="L23" s="31" t="str">
        <x:f>IF(K23=0,"",I23/K23)</x:f>
      </x:c>
      <x:c r="M23" s="29"/>
    </x:row>
    <x:row r="24">
      <x:c r="A24" s="27"/>
      <x:c r="B24" s="27"/>
      <x:c r="C24" s="27"/>
      <x:c r="D24" s="27"/>
      <x:c r="E24" s="27"/>
      <x:c r="F24" s="27"/>
      <x:c r="G24" s="27"/>
      <x:c r="H24" s="27"/>
      <x:c r="I24" s="27"/>
      <x:c r="J24" s="27"/>
      <x:c r="K24" s="27" t="n">
        <x:f>I24+J24</x:f>
        <x:v>0</x:v>
      </x:c>
      <x:c r="L24" s="31" t="str">
        <x:f>IF(K24=0,"",I24/K24)</x:f>
      </x:c>
      <x:c r="M24" s="29"/>
    </x:row>
    <x:row r="25">
      <x:c r="A25" s="27"/>
      <x:c r="B25" s="27"/>
      <x:c r="C25" s="27"/>
      <x:c r="D25" s="27"/>
      <x:c r="E25" s="27"/>
      <x:c r="F25" s="27"/>
      <x:c r="G25" s="27"/>
      <x:c r="H25" s="27"/>
      <x:c r="I25" s="27"/>
      <x:c r="J25" s="27"/>
      <x:c r="K25" s="27" t="n">
        <x:f>I25+J25</x:f>
        <x:v>0</x:v>
      </x:c>
      <x:c r="L25" s="31" t="str">
        <x:f>IF(K25=0,"",I25/K25)</x:f>
      </x:c>
      <x:c r="M25" s="29"/>
    </x:row>
    <x:row r="26">
      <x:c r="A26" s="27"/>
      <x:c r="B26" s="27"/>
      <x:c r="C26" s="27"/>
      <x:c r="D26" s="27"/>
      <x:c r="E26" s="27"/>
      <x:c r="F26" s="27"/>
      <x:c r="G26" s="27"/>
      <x:c r="H26" s="27"/>
      <x:c r="I26" s="27"/>
      <x:c r="J26" s="27"/>
      <x:c r="K26" s="27" t="n">
        <x:f>I26+J26</x:f>
        <x:v>0</x:v>
      </x:c>
      <x:c r="L26" s="31" t="str">
        <x:f>IF(K26=0,"",I26/K26)</x:f>
      </x:c>
      <x:c r="M26" s="29"/>
    </x:row>
    <x:row r="27">
      <x:c r="A27" s="27"/>
      <x:c r="B27" s="27"/>
      <x:c r="C27" s="27"/>
      <x:c r="D27" s="27"/>
      <x:c r="E27" s="27"/>
      <x:c r="F27" s="27"/>
      <x:c r="G27" s="27"/>
      <x:c r="H27" s="27"/>
      <x:c r="I27" s="27"/>
      <x:c r="J27" s="27"/>
      <x:c r="K27" s="27" t="n">
        <x:f>I27+J27</x:f>
        <x:v>0</x:v>
      </x:c>
      <x:c r="L27" s="31" t="str">
        <x:f>IF(K27=0,"",I27/K27)</x:f>
      </x:c>
      <x:c r="M27" s="29"/>
    </x:row>
    <x:row r="28">
      <x:c r="A28" s="27"/>
      <x:c r="B28" s="27"/>
      <x:c r="C28" s="27"/>
      <x:c r="D28" s="27"/>
      <x:c r="E28" s="27"/>
      <x:c r="F28" s="27"/>
      <x:c r="G28" s="27"/>
      <x:c r="H28" s="27"/>
      <x:c r="I28" s="27"/>
      <x:c r="J28" s="27"/>
      <x:c r="K28" s="27" t="n">
        <x:f>I28+J28</x:f>
        <x:v>0</x:v>
      </x:c>
      <x:c r="L28" s="31" t="str">
        <x:f>IF(K28=0,"",I28/K28)</x:f>
      </x:c>
      <x:c r="M28" s="29"/>
    </x:row>
    <x:row r="29">
      <x:c r="A29" s="27"/>
      <x:c r="B29" s="27"/>
      <x:c r="C29" s="27"/>
      <x:c r="D29" s="27"/>
      <x:c r="E29" s="27"/>
      <x:c r="F29" s="27"/>
      <x:c r="G29" s="27"/>
      <x:c r="H29" s="27"/>
      <x:c r="I29" s="27"/>
      <x:c r="J29" s="27"/>
      <x:c r="K29" s="27" t="n">
        <x:f>I29+J29</x:f>
        <x:v>0</x:v>
      </x:c>
      <x:c r="L29" s="31" t="str">
        <x:f>IF(K29=0,"",I29/K29)</x:f>
      </x:c>
      <x:c r="M29" s="29"/>
    </x:row>
    <x:row r="30">
      <x:c r="A30" s="27"/>
      <x:c r="B30" s="27"/>
      <x:c r="C30" s="27"/>
      <x:c r="D30" s="27"/>
      <x:c r="E30" s="27"/>
      <x:c r="F30" s="27"/>
      <x:c r="G30" s="27"/>
      <x:c r="H30" s="27"/>
      <x:c r="I30" s="27"/>
      <x:c r="J30" s="27"/>
      <x:c r="K30" s="27" t="n">
        <x:f>I30+J30</x:f>
        <x:v>0</x:v>
      </x:c>
      <x:c r="L30" s="31" t="str">
        <x:f>IF(K30=0,"",I30/K30)</x:f>
      </x:c>
      <x:c r="M30" s="29"/>
    </x:row>
    <x:row r="31">
      <x:c r="A31" s="27"/>
      <x:c r="B31" s="27"/>
      <x:c r="C31" s="27"/>
      <x:c r="D31" s="27"/>
      <x:c r="E31" s="27"/>
      <x:c r="F31" s="27"/>
      <x:c r="G31" s="27"/>
      <x:c r="H31" s="27"/>
      <x:c r="I31" s="27"/>
      <x:c r="J31" s="27"/>
      <x:c r="K31" s="27" t="n">
        <x:f>I31+J31</x:f>
        <x:v>0</x:v>
      </x:c>
      <x:c r="L31" s="31" t="str">
        <x:f>IF(K31=0,"",I31/K31)</x:f>
      </x:c>
      <x:c r="M31" s="29"/>
    </x:row>
    <x:row r="32">
      <x:c r="A32" s="27"/>
      <x:c r="B32" s="27"/>
      <x:c r="C32" s="27"/>
      <x:c r="D32" s="27"/>
      <x:c r="E32" s="27"/>
      <x:c r="F32" s="27"/>
      <x:c r="G32" s="27"/>
      <x:c r="H32" s="27"/>
      <x:c r="I32" s="27"/>
      <x:c r="J32" s="27"/>
      <x:c r="K32" s="27" t="n">
        <x:f>I32+J32</x:f>
        <x:v>0</x:v>
      </x:c>
      <x:c r="L32" s="31" t="str">
        <x:f>IF(K32=0,"",I32/K32)</x:f>
      </x:c>
      <x:c r="M32" s="29"/>
    </x:row>
    <x:row r="33">
      <x:c r="A33" s="27"/>
      <x:c r="B33" s="27"/>
      <x:c r="C33" s="27"/>
      <x:c r="D33" s="27"/>
      <x:c r="E33" s="27"/>
      <x:c r="F33" s="27"/>
      <x:c r="G33" s="27"/>
      <x:c r="H33" s="27"/>
      <x:c r="I33" s="27"/>
      <x:c r="J33" s="27"/>
      <x:c r="K33" s="27" t="n">
        <x:f>I33+J33</x:f>
        <x:v>0</x:v>
      </x:c>
      <x:c r="L33" s="31" t="str">
        <x:f>IF(K33=0,"",I33/K33)</x:f>
      </x:c>
      <x:c r="M33" s="29"/>
    </x:row>
    <x:row r="34">
      <x:c r="A34" s="27"/>
      <x:c r="B34" s="27"/>
      <x:c r="C34" s="27"/>
      <x:c r="D34" s="27"/>
      <x:c r="E34" s="27"/>
      <x:c r="F34" s="27"/>
      <x:c r="G34" s="27"/>
      <x:c r="H34" s="27"/>
      <x:c r="I34" s="27"/>
      <x:c r="J34" s="27"/>
      <x:c r="K34" s="27" t="n">
        <x:f>I34+J34</x:f>
        <x:v>0</x:v>
      </x:c>
      <x:c r="L34" s="31" t="str">
        <x:f>IF(K34=0,"",I34/K34)</x:f>
      </x:c>
      <x:c r="M34" s="29"/>
    </x:row>
    <x:row r="35">
      <x:c r="A35" s="27"/>
      <x:c r="B35" s="27"/>
      <x:c r="C35" s="27"/>
      <x:c r="D35" s="27"/>
      <x:c r="E35" s="27"/>
      <x:c r="F35" s="27"/>
      <x:c r="G35" s="27"/>
      <x:c r="H35" s="27"/>
      <x:c r="I35" s="27"/>
      <x:c r="J35" s="27"/>
      <x:c r="K35" s="27" t="n">
        <x:f>I35+J35</x:f>
        <x:v>0</x:v>
      </x:c>
      <x:c r="L35" s="31" t="str">
        <x:f>IF(K35=0,"",I35/K35)</x:f>
      </x:c>
      <x:c r="M35" s="29"/>
    </x:row>
    <x:row r="36">
      <x:c r="A36" s="27"/>
      <x:c r="B36" s="27"/>
      <x:c r="C36" s="27"/>
      <x:c r="D36" s="27"/>
      <x:c r="E36" s="27"/>
      <x:c r="F36" s="27"/>
      <x:c r="G36" s="27"/>
      <x:c r="H36" s="27"/>
      <x:c r="I36" s="27"/>
      <x:c r="J36" s="27"/>
      <x:c r="K36" s="27" t="n">
        <x:f>I36+J36</x:f>
        <x:v>0</x:v>
      </x:c>
      <x:c r="L36" s="31" t="str">
        <x:f>IF(K36=0,"",I36/K36)</x:f>
      </x:c>
      <x:c r="M36" s="29"/>
    </x:row>
    <x:row r="37">
      <x:c r="A37" s="27"/>
      <x:c r="B37" s="27"/>
      <x:c r="C37" s="27"/>
      <x:c r="D37" s="27"/>
      <x:c r="E37" s="27"/>
      <x:c r="F37" s="27"/>
      <x:c r="G37" s="27"/>
      <x:c r="H37" s="27"/>
      <x:c r="I37" s="27"/>
      <x:c r="J37" s="27"/>
      <x:c r="K37" s="27" t="n">
        <x:f>I37+J37</x:f>
        <x:v>0</x:v>
      </x:c>
      <x:c r="L37" s="31" t="str">
        <x:f>IF(K37=0,"",I37/K37)</x:f>
      </x:c>
      <x:c r="M37" s="29"/>
    </x:row>
    <x:row r="38">
      <x:c r="A38" s="27"/>
      <x:c r="B38" s="27"/>
      <x:c r="C38" s="27"/>
      <x:c r="D38" s="27"/>
      <x:c r="E38" s="27"/>
      <x:c r="F38" s="27"/>
      <x:c r="G38" s="27"/>
      <x:c r="H38" s="27"/>
      <x:c r="I38" s="27"/>
      <x:c r="J38" s="27"/>
      <x:c r="K38" s="27" t="n">
        <x:f>I38+J38</x:f>
        <x:v>0</x:v>
      </x:c>
      <x:c r="L38" s="31" t="str">
        <x:f>IF(K38=0,"",I38/K38)</x:f>
      </x:c>
      <x:c r="M38" s="29"/>
    </x:row>
    <x:row r="39">
      <x:c r="A39" s="27"/>
      <x:c r="B39" s="27"/>
      <x:c r="C39" s="27"/>
      <x:c r="D39" s="27"/>
      <x:c r="E39" s="27"/>
      <x:c r="F39" s="27"/>
      <x:c r="G39" s="27"/>
      <x:c r="H39" s="27"/>
      <x:c r="I39" s="27"/>
      <x:c r="J39" s="27"/>
      <x:c r="K39" s="27" t="n">
        <x:f>I39+J39</x:f>
        <x:v>0</x:v>
      </x:c>
      <x:c r="L39" s="31" t="str">
        <x:f>IF(K39=0,"",I39/K39)</x:f>
      </x:c>
      <x:c r="M39" s="29"/>
    </x:row>
    <x:row r="40">
      <x:c r="A40" s="27"/>
      <x:c r="B40" s="27"/>
      <x:c r="C40" s="27"/>
      <x:c r="D40" s="27"/>
      <x:c r="E40" s="27"/>
      <x:c r="F40" s="27"/>
      <x:c r="G40" s="27"/>
      <x:c r="H40" s="27"/>
      <x:c r="I40" s="27"/>
      <x:c r="J40" s="27"/>
      <x:c r="K40" s="27" t="n">
        <x:f>I40+J40</x:f>
        <x:v>0</x:v>
      </x:c>
      <x:c r="L40" s="31" t="str">
        <x:f>IF(K40=0,"",I40/K40)</x:f>
      </x:c>
      <x:c r="M40" s="29"/>
    </x:row>
    <x:row r="41">
      <x:c r="A41" s="27"/>
      <x:c r="B41" s="27"/>
      <x:c r="C41" s="27"/>
      <x:c r="D41" s="27"/>
      <x:c r="E41" s="27"/>
      <x:c r="F41" s="27"/>
      <x:c r="G41" s="27"/>
      <x:c r="H41" s="27"/>
      <x:c r="I41" s="27"/>
      <x:c r="J41" s="27"/>
      <x:c r="K41" s="27" t="n">
        <x:f>I41+J41</x:f>
        <x:v>0</x:v>
      </x:c>
      <x:c r="L41" s="31" t="str">
        <x:f>IF(K41=0,"",I41/K41)</x:f>
      </x:c>
      <x:c r="M41" s="29"/>
    </x:row>
    <x:row r="42">
      <x:c r="A42" s="27"/>
      <x:c r="B42" s="27"/>
      <x:c r="C42" s="27"/>
      <x:c r="D42" s="27"/>
      <x:c r="E42" s="27"/>
      <x:c r="F42" s="27"/>
      <x:c r="G42" s="27"/>
      <x:c r="H42" s="27"/>
      <x:c r="I42" s="27"/>
      <x:c r="J42" s="27"/>
      <x:c r="K42" s="27" t="n">
        <x:f>I42+J42</x:f>
        <x:v>0</x:v>
      </x:c>
      <x:c r="L42" s="31" t="str">
        <x:f>IF(K42=0,"",I42/K42)</x:f>
      </x:c>
      <x:c r="M42" s="29"/>
    </x:row>
    <x:row r="43">
      <x:c r="A43" s="27"/>
      <x:c r="B43" s="27"/>
      <x:c r="C43" s="27"/>
      <x:c r="D43" s="27"/>
      <x:c r="E43" s="27"/>
      <x:c r="F43" s="27"/>
      <x:c r="G43" s="27"/>
      <x:c r="H43" s="27"/>
      <x:c r="I43" s="27"/>
      <x:c r="J43" s="27"/>
      <x:c r="K43" s="27" t="n">
        <x:f>I43+J43</x:f>
        <x:v>0</x:v>
      </x:c>
      <x:c r="L43" s="31" t="str">
        <x:f>IF(K43=0,"",I43/K43)</x:f>
      </x:c>
      <x:c r="M43" s="29"/>
    </x:row>
    <x:row r="44">
      <x:c r="A44" s="27"/>
      <x:c r="B44" s="27"/>
      <x:c r="C44" s="27"/>
      <x:c r="D44" s="27"/>
      <x:c r="E44" s="27"/>
      <x:c r="F44" s="27"/>
      <x:c r="G44" s="27"/>
      <x:c r="H44" s="27"/>
      <x:c r="I44" s="27"/>
      <x:c r="J44" s="27"/>
      <x:c r="K44" s="27" t="n">
        <x:f>I44+J44</x:f>
        <x:v>0</x:v>
      </x:c>
      <x:c r="L44" s="31" t="str">
        <x:f>IF(K44=0,"",I44/K44)</x:f>
      </x:c>
      <x:c r="M44" s="29"/>
    </x:row>
    <x:row r="45">
      <x:c r="A45" s="27"/>
      <x:c r="B45" s="27"/>
      <x:c r="C45" s="27"/>
      <x:c r="D45" s="27"/>
      <x:c r="E45" s="27"/>
      <x:c r="F45" s="27"/>
      <x:c r="G45" s="27"/>
      <x:c r="H45" s="27"/>
      <x:c r="I45" s="27"/>
      <x:c r="J45" s="27"/>
      <x:c r="K45" s="27" t="n">
        <x:f>I45+J45</x:f>
        <x:v>0</x:v>
      </x:c>
      <x:c r="L45" s="31" t="str">
        <x:f>IF(K45=0,"",I45/K45)</x:f>
      </x:c>
      <x:c r="M45" s="29"/>
    </x:row>
    <x:row r="46">
      <x:c r="A46" s="27"/>
      <x:c r="B46" s="27"/>
      <x:c r="C46" s="27"/>
      <x:c r="D46" s="27"/>
      <x:c r="E46" s="27"/>
      <x:c r="F46" s="27"/>
      <x:c r="G46" s="27"/>
      <x:c r="H46" s="27"/>
      <x:c r="I46" s="27"/>
      <x:c r="J46" s="27"/>
      <x:c r="K46" s="27" t="n">
        <x:f>I46+J46</x:f>
        <x:v>0</x:v>
      </x:c>
      <x:c r="L46" s="31" t="str">
        <x:f>IF(K46=0,"",I46/K46)</x:f>
      </x:c>
      <x:c r="M46" s="29"/>
    </x:row>
    <x:row r="47">
      <x:c r="A47" s="27"/>
      <x:c r="B47" s="27"/>
      <x:c r="C47" s="27"/>
      <x:c r="D47" s="27"/>
      <x:c r="E47" s="27"/>
      <x:c r="F47" s="27"/>
      <x:c r="G47" s="27"/>
      <x:c r="H47" s="27"/>
      <x:c r="I47" s="27"/>
      <x:c r="J47" s="27"/>
      <x:c r="K47" s="27" t="n">
        <x:f>I47+J47</x:f>
        <x:v>0</x:v>
      </x:c>
      <x:c r="L47" s="31" t="str">
        <x:f>IF(K47=0,"",I47/K47)</x:f>
      </x:c>
      <x:c r="M47" s="29"/>
    </x:row>
    <x:row r="48">
      <x:c r="A48" s="27"/>
      <x:c r="B48" s="27"/>
      <x:c r="C48" s="27"/>
      <x:c r="D48" s="27"/>
      <x:c r="E48" s="27"/>
      <x:c r="F48" s="27"/>
      <x:c r="G48" s="27"/>
      <x:c r="H48" s="27"/>
      <x:c r="I48" s="27"/>
      <x:c r="J48" s="27"/>
      <x:c r="K48" s="27" t="n">
        <x:f>I48+J48</x:f>
        <x:v>0</x:v>
      </x:c>
      <x:c r="L48" s="31" t="str">
        <x:f>IF(K48=0,"",I48/K48)</x:f>
      </x:c>
      <x:c r="M48" s="29"/>
    </x:row>
    <x:row r="49">
      <x:c r="A49" s="27"/>
      <x:c r="B49" s="27"/>
      <x:c r="C49" s="27"/>
      <x:c r="D49" s="27"/>
      <x:c r="E49" s="27"/>
      <x:c r="F49" s="27"/>
      <x:c r="G49" s="27"/>
      <x:c r="H49" s="27"/>
      <x:c r="I49" s="27"/>
      <x:c r="J49" s="27"/>
      <x:c r="K49" s="27" t="n">
        <x:f>I49+J49</x:f>
        <x:v>0</x:v>
      </x:c>
      <x:c r="L49" s="31" t="str">
        <x:f>IF(K49=0,"",I49/K49)</x:f>
      </x:c>
      <x:c r="M49" s="29"/>
    </x:row>
    <x:row r="50">
      <x:c r="A50" s="27"/>
      <x:c r="B50" s="27"/>
      <x:c r="C50" s="27"/>
      <x:c r="D50" s="27"/>
      <x:c r="E50" s="27"/>
      <x:c r="F50" s="27"/>
      <x:c r="G50" s="27"/>
      <x:c r="H50" s="27"/>
      <x:c r="I50" s="27"/>
      <x:c r="J50" s="27"/>
      <x:c r="K50" s="27" t="n">
        <x:f>I50+J50</x:f>
        <x:v>0</x:v>
      </x:c>
      <x:c r="L50" s="31" t="str">
        <x:f>IF(K50=0,"",I50/K50)</x:f>
      </x:c>
      <x:c r="M50" s="29"/>
    </x:row>
    <x:row r="51">
      <x:c r="K51" t="n">
        <x:f>I51+J51</x:f>
        <x:v>0</x:v>
      </x:c>
      <x:c r="L51" s="19" t="str">
        <x:f>IF(K51=0,"",I51/K51)</x:f>
      </x:c>
      <x:c r="M51" s="44"/>
    </x:row>
    <x:row r="52">
      <x:c r="K52" t="n">
        <x:f>I52+J52</x:f>
        <x:v>0</x:v>
      </x:c>
      <x:c r="L52" s="19" t="str">
        <x:f>IF(K52=0,"",I52/K52)</x:f>
      </x:c>
      <x:c r="M52" s="44"/>
    </x:row>
    <x:row r="53">
      <x:c r="K53" t="n">
        <x:f>I53+J53</x:f>
        <x:v>0</x:v>
      </x:c>
      <x:c r="L53" s="19" t="str">
        <x:f>IF(K53=0,"",I53/K53)</x:f>
      </x:c>
      <x:c r="M53" s="44"/>
    </x:row>
    <x:row r="54">
      <x:c r="K54" t="n">
        <x:f>I54+J54</x:f>
        <x:v>0</x:v>
      </x:c>
      <x:c r="L54" s="19" t="str">
        <x:f>IF(K54=0,"",I54/K54)</x:f>
      </x:c>
      <x:c r="M54" s="44"/>
    </x:row>
    <x:row r="55">
      <x:c r="K55" t="n">
        <x:f>I55+J55</x:f>
        <x:v>0</x:v>
      </x:c>
      <x:c r="L55" s="19" t="str">
        <x:f>IF(K55=0,"",I55/K55)</x:f>
      </x:c>
      <x:c r="M55" s="44"/>
    </x:row>
    <x:row r="56">
      <x:c r="K56" t="n">
        <x:f>I56+J56</x:f>
        <x:v>0</x:v>
      </x:c>
      <x:c r="L56" s="19" t="str">
        <x:f>IF(K56=0,"",I56/K56)</x:f>
      </x:c>
      <x:c r="M56" s="44"/>
    </x:row>
    <x:row r="57">
      <x:c r="K57" t="n">
        <x:f>I57+J57</x:f>
        <x:v>0</x:v>
      </x:c>
      <x:c r="L57" s="19" t="str">
        <x:f>IF(K57=0,"",I57/K57)</x:f>
      </x:c>
      <x:c r="M57" s="44"/>
    </x:row>
    <x:row r="58">
      <x:c r="K58" t="n">
        <x:f>I58+J58</x:f>
        <x:v>0</x:v>
      </x:c>
      <x:c r="L58" s="19" t="str">
        <x:f>IF(K58=0,"",I58/K58)</x:f>
      </x:c>
      <x:c r="M58" s="44"/>
    </x:row>
    <x:row r="59">
      <x:c r="K59" t="n">
        <x:f>I59+J59</x:f>
        <x:v>0</x:v>
      </x:c>
      <x:c r="L59" s="19" t="str">
        <x:f>IF(K59=0,"",I59/K59)</x:f>
      </x:c>
      <x:c r="M59" s="44"/>
    </x:row>
    <x:row r="60">
      <x:c r="K60" t="n">
        <x:f>I60+J60</x:f>
        <x:v>0</x:v>
      </x:c>
      <x:c r="L60" s="19" t="str">
        <x:f>IF(K60=0,"",I60/K60)</x:f>
      </x:c>
      <x:c r="M60" s="44"/>
    </x:row>
    <x:row r="61">
      <x:c r="K61" t="n">
        <x:f>I61+J61</x:f>
        <x:v>0</x:v>
      </x:c>
      <x:c r="L61" s="19" t="str">
        <x:f>IF(K61=0,"",I61/K61)</x:f>
      </x:c>
      <x:c r="M61" s="44"/>
    </x:row>
    <x:row r="62">
      <x:c r="K62" t="n">
        <x:f>I62+J62</x:f>
        <x:v>0</x:v>
      </x:c>
      <x:c r="L62" s="19" t="str">
        <x:f>IF(K62=0,"",I62/K62)</x:f>
      </x:c>
      <x:c r="M62" s="44"/>
    </x:row>
    <x:row r="63">
      <x:c r="K63" t="n">
        <x:f>I63+J63</x:f>
        <x:v>0</x:v>
      </x:c>
      <x:c r="L63" s="19" t="str">
        <x:f>IF(K63=0,"",I63/K63)</x:f>
      </x:c>
      <x:c r="M63" s="44"/>
    </x:row>
    <x:row r="64">
      <x:c r="K64" t="n">
        <x:f>I64+J64</x:f>
        <x:v>0</x:v>
      </x:c>
      <x:c r="L64" s="19" t="str">
        <x:f>IF(K64=0,"",I64/K64)</x:f>
      </x:c>
      <x:c r="M64" s="44"/>
    </x:row>
    <x:row r="65">
      <x:c r="K65" t="n">
        <x:f>I65+J65</x:f>
        <x:v>0</x:v>
      </x:c>
      <x:c r="L65" s="19" t="str">
        <x:f>IF(K65=0,"",I65/K65)</x:f>
      </x:c>
      <x:c r="M65" s="44"/>
    </x:row>
    <x:row r="66">
      <x:c r="K66" t="n">
        <x:f>I66+J66</x:f>
        <x:v>0</x:v>
      </x:c>
      <x:c r="L66" s="19" t="str">
        <x:f>IF(K66=0,"",I66/K66)</x:f>
      </x:c>
      <x:c r="M66" s="44"/>
    </x:row>
    <x:row r="67">
      <x:c r="K67" t="n">
        <x:f>I67+J67</x:f>
        <x:v>0</x:v>
      </x:c>
      <x:c r="L67" s="19" t="str">
        <x:f>IF(K67=0,"",I67/K67)</x:f>
      </x:c>
      <x:c r="M67" s="44"/>
    </x:row>
    <x:row r="68">
      <x:c r="K68" t="n">
        <x:f>I68+J68</x:f>
        <x:v>0</x:v>
      </x:c>
      <x:c r="L68" s="19" t="str">
        <x:f>IF(K68=0,"",I68/K68)</x:f>
      </x:c>
      <x:c r="M68" s="44"/>
    </x:row>
    <x:row r="69">
      <x:c r="K69" t="n">
        <x:f>I69+J69</x:f>
        <x:v>0</x:v>
      </x:c>
      <x:c r="L69" s="19" t="str">
        <x:f>IF(K69=0,"",I69/K69)</x:f>
      </x:c>
      <x:c r="M69" s="44"/>
    </x:row>
    <x:row r="70">
      <x:c r="K70" t="n">
        <x:f>I70+J70</x:f>
        <x:v>0</x:v>
      </x:c>
      <x:c r="L70" s="19" t="str">
        <x:f>IF(K70=0,"",I70/K70)</x:f>
      </x:c>
      <x:c r="M70" s="44"/>
    </x:row>
    <x:row r="71">
      <x:c r="K71" t="n">
        <x:f>I71+J71</x:f>
        <x:v>0</x:v>
      </x:c>
      <x:c r="L71" s="19" t="str">
        <x:f>IF(K71=0,"",I71/K71)</x:f>
      </x:c>
      <x:c r="M71" s="44"/>
    </x:row>
    <x:row r="72">
      <x:c r="K72" t="n">
        <x:f>I72+J72</x:f>
        <x:v>0</x:v>
      </x:c>
      <x:c r="L72" s="19" t="str">
        <x:f>IF(K72=0,"",I72/K72)</x:f>
      </x:c>
      <x:c r="M72" s="44"/>
    </x:row>
    <x:row r="73">
      <x:c r="K73" t="n">
        <x:f>I73+J73</x:f>
        <x:v>0</x:v>
      </x:c>
      <x:c r="L73" s="19" t="str">
        <x:f>IF(K73=0,"",I73/K73)</x:f>
      </x:c>
      <x:c r="M73" s="44"/>
    </x:row>
    <x:row r="74">
      <x:c r="K74" t="n">
        <x:f>I74+J74</x:f>
        <x:v>0</x:v>
      </x:c>
      <x:c r="L74" s="19" t="str">
        <x:f>IF(K74=0,"",I74/K74)</x:f>
      </x:c>
      <x:c r="M74" s="44"/>
    </x:row>
    <x:row r="75">
      <x:c r="K75" t="n">
        <x:f>I75+J75</x:f>
        <x:v>0</x:v>
      </x:c>
      <x:c r="L75" s="19" t="str">
        <x:f>IF(K75=0,"",I75/K75)</x:f>
      </x:c>
      <x:c r="M75" s="44"/>
    </x:row>
    <x:row r="76">
      <x:c r="K76" t="n">
        <x:f>I76+J76</x:f>
        <x:v>0</x:v>
      </x:c>
      <x:c r="L76" s="19" t="str">
        <x:f>IF(K76=0,"",I76/K76)</x:f>
      </x:c>
      <x:c r="M76" s="44"/>
    </x:row>
    <x:row r="77">
      <x:c r="K77" t="n">
        <x:f>I77+J77</x:f>
        <x:v>0</x:v>
      </x:c>
      <x:c r="L77" s="19" t="str">
        <x:f>IF(K77=0,"",I77/K77)</x:f>
      </x:c>
      <x:c r="M77" s="44"/>
    </x:row>
    <x:row r="78">
      <x:c r="K78" t="n">
        <x:f>I78+J78</x:f>
        <x:v>0</x:v>
      </x:c>
      <x:c r="L78" s="19" t="str">
        <x:f>IF(K78=0,"",I78/K78)</x:f>
      </x:c>
      <x:c r="M78" s="44"/>
    </x:row>
    <x:row r="79">
      <x:c r="K79" t="n">
        <x:f>I79+J79</x:f>
        <x:v>0</x:v>
      </x:c>
      <x:c r="L79" s="19" t="str">
        <x:f>IF(K79=0,"",I79/K79)</x:f>
      </x:c>
      <x:c r="M79" s="44"/>
    </x:row>
    <x:row r="80">
      <x:c r="K80" t="n">
        <x:f>I80+J80</x:f>
        <x:v>0</x:v>
      </x:c>
      <x:c r="L80" s="19" t="str">
        <x:f>IF(K80=0,"",I80/K80)</x:f>
      </x:c>
      <x:c r="M80" s="44"/>
    </x:row>
    <x:row r="81">
      <x:c r="K81" t="n">
        <x:f>I81+J81</x:f>
        <x:v>0</x:v>
      </x:c>
      <x:c r="L81" s="19" t="str">
        <x:f>IF(K81=0,"",I81/K81)</x:f>
      </x:c>
      <x:c r="M81" s="44"/>
    </x:row>
    <x:row r="82">
      <x:c r="K82" t="n">
        <x:f>I82+J82</x:f>
        <x:v>0</x:v>
      </x:c>
      <x:c r="L82" s="19" t="str">
        <x:f>IF(K82=0,"",I82/K82)</x:f>
      </x:c>
      <x:c r="M82" s="44"/>
    </x:row>
    <x:row r="83">
      <x:c r="K83" t="n">
        <x:f>I83+J83</x:f>
        <x:v>0</x:v>
      </x:c>
      <x:c r="L83" s="19" t="str">
        <x:f>IF(K83=0,"",I83/K83)</x:f>
      </x:c>
      <x:c r="M83" s="44"/>
    </x:row>
    <x:row r="84">
      <x:c r="K84" t="n">
        <x:f>I84+J84</x:f>
        <x:v>0</x:v>
      </x:c>
      <x:c r="L84" s="19" t="str">
        <x:f>IF(K84=0,"",I84/K84)</x:f>
      </x:c>
      <x:c r="M84" s="44"/>
    </x:row>
    <x:row r="85">
      <x:c r="K85" t="n">
        <x:f>I85+J85</x:f>
        <x:v>0</x:v>
      </x:c>
      <x:c r="L85" s="19" t="str">
        <x:f>IF(K85=0,"",I85/K85)</x:f>
      </x:c>
      <x:c r="M85" s="44"/>
    </x:row>
    <x:row r="86">
      <x:c r="K86" t="n">
        <x:f>I86+J86</x:f>
        <x:v>0</x:v>
      </x:c>
      <x:c r="L86" s="19" t="str">
        <x:f>IF(K86=0,"",I86/K86)</x:f>
      </x:c>
      <x:c r="M86" s="44"/>
    </x:row>
    <x:row r="87">
      <x:c r="K87" t="n">
        <x:f>I87+J87</x:f>
        <x:v>0</x:v>
      </x:c>
      <x:c r="L87" s="19" t="str">
        <x:f>IF(K87=0,"",I87/K87)</x:f>
      </x:c>
      <x:c r="M87" s="44"/>
    </x:row>
    <x:row r="88">
      <x:c r="K88" t="n">
        <x:f>I88+J88</x:f>
        <x:v>0</x:v>
      </x:c>
      <x:c r="L88" s="19" t="str">
        <x:f>IF(K88=0,"",I88/K88)</x:f>
      </x:c>
      <x:c r="M88" s="44"/>
    </x:row>
    <x:row r="89">
      <x:c r="K89" t="n">
        <x:f>I89+J89</x:f>
        <x:v>0</x:v>
      </x:c>
      <x:c r="L89" s="19" t="str">
        <x:f>IF(K89=0,"",I89/K89)</x:f>
      </x:c>
      <x:c r="M89" s="44"/>
    </x:row>
    <x:row r="90">
      <x:c r="K90" t="n">
        <x:f>I90+J90</x:f>
        <x:v>0</x:v>
      </x:c>
      <x:c r="L90" s="19" t="str">
        <x:f>IF(K90=0,"",I90/K90)</x:f>
      </x:c>
      <x:c r="M90" s="44"/>
    </x:row>
    <x:row r="91">
      <x:c r="K91" t="n">
        <x:f>I91+J91</x:f>
        <x:v>0</x:v>
      </x:c>
      <x:c r="L91" s="19" t="str">
        <x:f>IF(K91=0,"",I91/K91)</x:f>
      </x:c>
      <x:c r="M91" s="44"/>
    </x:row>
    <x:row r="92">
      <x:c r="K92" t="n">
        <x:f>I92+J92</x:f>
        <x:v>0</x:v>
      </x:c>
      <x:c r="L92" s="19" t="str">
        <x:f>IF(K92=0,"",I92/K92)</x:f>
      </x:c>
      <x:c r="M92" s="44"/>
    </x:row>
    <x:row r="93">
      <x:c r="K93" t="n">
        <x:f>I93+J93</x:f>
        <x:v>0</x:v>
      </x:c>
      <x:c r="L93" s="19" t="str">
        <x:f>IF(K93=0,"",I93/K93)</x:f>
      </x:c>
      <x:c r="M93" s="44"/>
    </x:row>
    <x:row r="94">
      <x:c r="K94" t="n">
        <x:f>I94+J94</x:f>
        <x:v>0</x:v>
      </x:c>
      <x:c r="L94" s="19" t="str">
        <x:f>IF(K94=0,"",I94/K94)</x:f>
      </x:c>
      <x:c r="M94" s="44"/>
    </x:row>
    <x:row r="95">
      <x:c r="K95" t="n">
        <x:f>I95+J95</x:f>
        <x:v>0</x:v>
      </x:c>
      <x:c r="L95" s="19" t="str">
        <x:f>IF(K95=0,"",I95/K95)</x:f>
      </x:c>
      <x:c r="M95" s="44"/>
    </x:row>
    <x:row r="96">
      <x:c r="K96" t="n">
        <x:f>I96+J96</x:f>
        <x:v>0</x:v>
      </x:c>
      <x:c r="L96" s="19" t="str">
        <x:f>IF(K96=0,"",I96/K96)</x:f>
      </x:c>
      <x:c r="M96" s="44"/>
    </x:row>
    <x:row r="97">
      <x:c r="K97" t="n">
        <x:f>I97+J97</x:f>
        <x:v>0</x:v>
      </x:c>
      <x:c r="L97" s="19" t="str">
        <x:f>IF(K97=0,"",I97/K97)</x:f>
      </x:c>
      <x:c r="M97" s="44"/>
    </x:row>
    <x:row r="98">
      <x:c r="K98" t="n">
        <x:f>I98+J98</x:f>
        <x:v>0</x:v>
      </x:c>
      <x:c r="L98" s="19" t="str">
        <x:f>IF(K98=0,"",I98/K98)</x:f>
      </x:c>
      <x:c r="M98" s="44"/>
    </x:row>
    <x:row r="99">
      <x:c r="K99" t="n">
        <x:f>I99+J99</x:f>
        <x:v>0</x:v>
      </x:c>
      <x:c r="L99" s="19" t="str">
        <x:f>IF(K99=0,"",I99/K99)</x:f>
      </x:c>
      <x:c r="M99" s="44"/>
    </x:row>
    <x:row r="100">
      <x:c r="K100" t="n">
        <x:f>I100+J100</x:f>
        <x:v>0</x:v>
      </x:c>
      <x:c r="L100" s="19" t="str">
        <x:f>IF(K100=0,"",I100/K100)</x:f>
      </x:c>
      <x:c r="M100" s="44"/>
    </x:row>
    <x:row r="101">
      <x:c r="K101" t="n">
        <x:f>I101+J101</x:f>
        <x:v>0</x:v>
      </x:c>
      <x:c r="L101" s="19" t="str">
        <x:f>IF(K101=0,"",I101/K101)</x:f>
      </x:c>
      <x:c r="M101" s="44"/>
    </x:row>
    <x:row r="102">
      <x:c r="K102" t="n">
        <x:f>I102+J102</x:f>
        <x:v>0</x:v>
      </x:c>
      <x:c r="L102" s="19" t="str">
        <x:f>IF(K102=0,"",I102/K102)</x:f>
      </x:c>
      <x:c r="M102" s="44"/>
    </x:row>
    <x:row r="103">
      <x:c r="K103" t="n">
        <x:f>I103+J103</x:f>
        <x:v>0</x:v>
      </x:c>
      <x:c r="L103" s="19" t="str">
        <x:f>IF(K103=0,"",I103/K103)</x:f>
      </x:c>
      <x:c r="M103" s="44"/>
    </x:row>
    <x:row r="104">
      <x:c r="K104" t="n">
        <x:f>I104+J104</x:f>
        <x:v>0</x:v>
      </x:c>
      <x:c r="L104" s="19" t="str">
        <x:f>IF(K104=0,"",I104/K104)</x:f>
      </x:c>
      <x:c r="M104" s="44"/>
    </x:row>
    <x:row r="105">
      <x:c r="K105" t="n">
        <x:f>I105+J105</x:f>
        <x:v>0</x:v>
      </x:c>
      <x:c r="L105" s="19" t="str">
        <x:f>IF(K105=0,"",I105/K105)</x:f>
      </x:c>
      <x:c r="M105" s="44"/>
    </x:row>
    <x:row r="106">
      <x:c r="K106" t="n">
        <x:f>I106+J106</x:f>
        <x:v>0</x:v>
      </x:c>
      <x:c r="L106" s="19" t="str">
        <x:f>IF(K106=0,"",I106/K106)</x:f>
      </x:c>
      <x:c r="M106" s="44"/>
    </x:row>
    <x:row r="107">
      <x:c r="K107" t="n">
        <x:f>I107+J107</x:f>
        <x:v>0</x:v>
      </x:c>
      <x:c r="L107" s="19" t="str">
        <x:f>IF(K107=0,"",I107/K107)</x:f>
      </x:c>
      <x:c r="M107" s="44"/>
    </x:row>
    <x:row r="108">
      <x:c r="K108" t="n">
        <x:f>I108+J108</x:f>
        <x:v>0</x:v>
      </x:c>
      <x:c r="L108" s="19" t="str">
        <x:f>IF(K108=0,"",I108/K108)</x:f>
      </x:c>
      <x:c r="M108" s="44"/>
    </x:row>
    <x:row r="109">
      <x:c r="K109" t="n">
        <x:f>I109+J109</x:f>
        <x:v>0</x:v>
      </x:c>
      <x:c r="L109" s="19" t="str">
        <x:f>IF(K109=0,"",I109/K109)</x:f>
      </x:c>
      <x:c r="M109" s="44"/>
    </x:row>
    <x:row r="110">
      <x:c r="K110" t="n">
        <x:f>I110+J110</x:f>
        <x:v>0</x:v>
      </x:c>
      <x:c r="L110" s="19" t="str">
        <x:f>IF(K110=0,"",I110/K110)</x:f>
      </x:c>
      <x:c r="M110" s="44"/>
    </x:row>
    <x:row r="111">
      <x:c r="K111" t="n">
        <x:f>I111+J111</x:f>
        <x:v>0</x:v>
      </x:c>
      <x:c r="L111" s="19" t="str">
        <x:f>IF(K111=0,"",I111/K111)</x:f>
      </x:c>
      <x:c r="M111" s="44"/>
    </x:row>
    <x:row r="112">
      <x:c r="K112" t="n">
        <x:f>I112+J112</x:f>
        <x:v>0</x:v>
      </x:c>
      <x:c r="L112" s="19" t="str">
        <x:f>IF(K112=0,"",I112/K112)</x:f>
      </x:c>
      <x:c r="M112" s="44"/>
    </x:row>
    <x:row r="113">
      <x:c r="K113" t="n">
        <x:f>I113+J113</x:f>
        <x:v>0</x:v>
      </x:c>
      <x:c r="L113" s="19" t="str">
        <x:f>IF(K113=0,"",I113/K113)</x:f>
      </x:c>
      <x:c r="M113" s="44"/>
    </x:row>
    <x:row r="114">
      <x:c r="K114" t="n">
        <x:f>I114+J114</x:f>
        <x:v>0</x:v>
      </x:c>
      <x:c r="L114" s="19" t="str">
        <x:f>IF(K114=0,"",I114/K114)</x:f>
      </x:c>
      <x:c r="M114" s="44"/>
    </x:row>
    <x:row r="115">
      <x:c r="K115" t="n">
        <x:f>I115+J115</x:f>
        <x:v>0</x:v>
      </x:c>
      <x:c r="L115" s="19" t="str">
        <x:f>IF(K115=0,"",I115/K115)</x:f>
      </x:c>
      <x:c r="M115" s="44"/>
    </x:row>
    <x:row r="116">
      <x:c r="K116" t="n">
        <x:f>I116+J116</x:f>
        <x:v>0</x:v>
      </x:c>
      <x:c r="L116" s="19" t="str">
        <x:f>IF(K116=0,"",I116/K116)</x:f>
      </x:c>
      <x:c r="M116" s="44"/>
    </x:row>
    <x:row r="117">
      <x:c r="K117" t="n">
        <x:f>I117+J117</x:f>
        <x:v>0</x:v>
      </x:c>
      <x:c r="L117" s="19" t="str">
        <x:f>IF(K117=0,"",I117/K117)</x:f>
      </x:c>
      <x:c r="M117" s="44"/>
    </x:row>
    <x:row r="118">
      <x:c r="K118" t="n">
        <x:f>I118+J118</x:f>
        <x:v>0</x:v>
      </x:c>
      <x:c r="L118" s="19" t="str">
        <x:f>IF(K118=0,"",I118/K118)</x:f>
      </x:c>
      <x:c r="M118" s="44"/>
    </x:row>
    <x:row r="119">
      <x:c r="K119" t="n">
        <x:f>I119+J119</x:f>
        <x:v>0</x:v>
      </x:c>
      <x:c r="L119" s="19" t="str">
        <x:f>IF(K119=0,"",I119/K119)</x:f>
      </x:c>
      <x:c r="M119" s="44"/>
    </x:row>
    <x:row r="120">
      <x:c r="K120" t="n">
        <x:f>I120+J120</x:f>
        <x:v>0</x:v>
      </x:c>
      <x:c r="L120" s="19" t="str">
        <x:f>IF(K120=0,"",I120/K120)</x:f>
      </x:c>
      <x:c r="M120" s="44"/>
    </x:row>
    <x:row r="121">
      <x:c r="K121" t="n">
        <x:f>I121+J121</x:f>
        <x:v>0</x:v>
      </x:c>
      <x:c r="L121" s="19" t="str">
        <x:f>IF(K121=0,"",I121/K121)</x:f>
      </x:c>
      <x:c r="M121" s="44"/>
    </x:row>
    <x:row r="122">
      <x:c r="K122" t="n">
        <x:f>I122+J122</x:f>
        <x:v>0</x:v>
      </x:c>
      <x:c r="L122" s="19" t="str">
        <x:f>IF(K122=0,"",I122/K122)</x:f>
      </x:c>
      <x:c r="M122" s="44"/>
    </x:row>
    <x:row r="123">
      <x:c r="K123" t="n">
        <x:f>I123+J123</x:f>
        <x:v>0</x:v>
      </x:c>
      <x:c r="L123" s="19" t="str">
        <x:f>IF(K123=0,"",I123/K123)</x:f>
      </x:c>
      <x:c r="M123" s="44"/>
    </x:row>
    <x:row r="124">
      <x:c r="K124" t="n">
        <x:f>I124+J124</x:f>
        <x:v>0</x:v>
      </x:c>
      <x:c r="L124" s="19" t="str">
        <x:f>IF(K124=0,"",I124/K124)</x:f>
      </x:c>
      <x:c r="M124" s="44"/>
    </x:row>
    <x:row r="125">
      <x:c r="K125" t="n">
        <x:f>I125+J125</x:f>
        <x:v>0</x:v>
      </x:c>
      <x:c r="L125" s="19" t="str">
        <x:f>IF(K125=0,"",I125/K125)</x:f>
      </x:c>
      <x:c r="M125" s="44"/>
    </x:row>
    <x:row r="126">
      <x:c r="K126" t="n">
        <x:f>I126+J126</x:f>
        <x:v>0</x:v>
      </x:c>
      <x:c r="L126" s="19" t="str">
        <x:f>IF(K126=0,"",I126/K126)</x:f>
      </x:c>
      <x:c r="M126" s="44"/>
    </x:row>
    <x:row r="127">
      <x:c r="K127" t="n">
        <x:f>I127+J127</x:f>
        <x:v>0</x:v>
      </x:c>
      <x:c r="L127" s="19" t="str">
        <x:f>IF(K127=0,"",I127/K127)</x:f>
      </x:c>
      <x:c r="M127" s="44"/>
    </x:row>
    <x:row r="128">
      <x:c r="K128" t="n">
        <x:f>I128+J128</x:f>
        <x:v>0</x:v>
      </x:c>
      <x:c r="L128" s="19" t="str">
        <x:f>IF(K128=0,"",I128/K128)</x:f>
      </x:c>
      <x:c r="M128" s="44"/>
    </x:row>
    <x:row r="129">
      <x:c r="K129" t="n">
        <x:f>I129+J129</x:f>
        <x:v>0</x:v>
      </x:c>
      <x:c r="L129" s="19" t="str">
        <x:f>IF(K129=0,"",I129/K129)</x:f>
      </x:c>
      <x:c r="M129" s="44"/>
    </x:row>
    <x:row r="130">
      <x:c r="K130" t="n">
        <x:f>I130+J130</x:f>
        <x:v>0</x:v>
      </x:c>
      <x:c r="L130" s="19" t="str">
        <x:f>IF(K130=0,"",I130/K130)</x:f>
      </x:c>
      <x:c r="M130" s="44"/>
    </x:row>
    <x:row r="131">
      <x:c r="K131" t="n">
        <x:f>I131+J131</x:f>
        <x:v>0</x:v>
      </x:c>
      <x:c r="L131" s="19" t="str">
        <x:f>IF(K131=0,"",I131/K131)</x:f>
      </x:c>
      <x:c r="M131" s="44"/>
    </x:row>
    <x:row r="132">
      <x:c r="K132" t="n">
        <x:f>I132+J132</x:f>
        <x:v>0</x:v>
      </x:c>
      <x:c r="L132" s="19" t="str">
        <x:f>IF(K132=0,"",I132/K132)</x:f>
      </x:c>
      <x:c r="M132" s="44"/>
    </x:row>
    <x:row r="133">
      <x:c r="K133" t="n">
        <x:f>I133+J133</x:f>
        <x:v>0</x:v>
      </x:c>
      <x:c r="L133" s="19" t="str">
        <x:f>IF(K133=0,"",I133/K133)</x:f>
      </x:c>
      <x:c r="M133" s="44"/>
    </x:row>
    <x:row r="134">
      <x:c r="K134" t="n">
        <x:f>I134+J134</x:f>
        <x:v>0</x:v>
      </x:c>
      <x:c r="L134" s="19" t="str">
        <x:f>IF(K134=0,"",I134/K134)</x:f>
      </x:c>
      <x:c r="M134" s="44"/>
    </x:row>
    <x:row r="135">
      <x:c r="K135" t="n">
        <x:f>I135+J135</x:f>
        <x:v>0</x:v>
      </x:c>
      <x:c r="L135" s="19" t="str">
        <x:f>IF(K135=0,"",I135/K135)</x:f>
      </x:c>
      <x:c r="M135" s="44"/>
    </x:row>
    <x:row r="136">
      <x:c r="K136" t="n">
        <x:f>I136+J136</x:f>
        <x:v>0</x:v>
      </x:c>
      <x:c r="L136" s="19" t="str">
        <x:f>IF(K136=0,"",I136/K136)</x:f>
      </x:c>
      <x:c r="M136" s="44"/>
    </x:row>
    <x:row r="137">
      <x:c r="K137" t="n">
        <x:f>I137+J137</x:f>
        <x:v>0</x:v>
      </x:c>
      <x:c r="L137" s="19" t="str">
        <x:f>IF(K137=0,"",I137/K137)</x:f>
      </x:c>
      <x:c r="M137" s="44"/>
    </x:row>
    <x:row r="138">
      <x:c r="K138" t="n">
        <x:f>I138+J138</x:f>
        <x:v>0</x:v>
      </x:c>
      <x:c r="L138" s="19" t="str">
        <x:f>IF(K138=0,"",I138/K138)</x:f>
      </x:c>
      <x:c r="M138" s="44"/>
    </x:row>
    <x:row r="139">
      <x:c r="K139" t="n">
        <x:f>I139+J139</x:f>
        <x:v>0</x:v>
      </x:c>
      <x:c r="L139" s="19" t="str">
        <x:f>IF(K139=0,"",I139/K139)</x:f>
      </x:c>
      <x:c r="M139" s="44"/>
    </x:row>
    <x:row r="140">
      <x:c r="K140" t="n">
        <x:f>I140+J140</x:f>
        <x:v>0</x:v>
      </x:c>
      <x:c r="L140" s="19" t="str">
        <x:f>IF(K140=0,"",I140/K140)</x:f>
      </x:c>
      <x:c r="M140" s="44"/>
    </x:row>
    <x:row r="141">
      <x:c r="K141" t="n">
        <x:f>I141+J141</x:f>
        <x:v>0</x:v>
      </x:c>
      <x:c r="L141" s="19" t="str">
        <x:f>IF(K141=0,"",I141/K141)</x:f>
      </x:c>
      <x:c r="M141" s="44"/>
    </x:row>
    <x:row r="142">
      <x:c r="K142" t="n">
        <x:f>I142+J142</x:f>
        <x:v>0</x:v>
      </x:c>
      <x:c r="L142" s="19" t="str">
        <x:f>IF(K142=0,"",I142/K142)</x:f>
      </x:c>
      <x:c r="M142" s="44"/>
    </x:row>
    <x:row r="143">
      <x:c r="K143" t="n">
        <x:f>I143+J143</x:f>
        <x:v>0</x:v>
      </x:c>
      <x:c r="L143" s="19" t="str">
        <x:f>IF(K143=0,"",I143/K143)</x:f>
      </x:c>
      <x:c r="M143" s="44"/>
    </x:row>
    <x:row r="144">
      <x:c r="K144" t="n">
        <x:f>I144+J144</x:f>
        <x:v>0</x:v>
      </x:c>
      <x:c r="L144" s="19" t="str">
        <x:f>IF(K144=0,"",I144/K144)</x:f>
      </x:c>
      <x:c r="M144" s="44"/>
    </x:row>
    <x:row r="145">
      <x:c r="K145" t="n">
        <x:f>I145+J145</x:f>
        <x:v>0</x:v>
      </x:c>
      <x:c r="L145" s="19" t="str">
        <x:f>IF(K145=0,"",I145/K145)</x:f>
      </x:c>
      <x:c r="M145" s="44"/>
    </x:row>
    <x:row r="146">
      <x:c r="K146" t="n">
        <x:f>I146+J146</x:f>
        <x:v>0</x:v>
      </x:c>
      <x:c r="L146" s="19" t="str">
        <x:f>IF(K146=0,"",I146/K146)</x:f>
      </x:c>
      <x:c r="M146" s="44"/>
    </x:row>
    <x:row r="147">
      <x:c r="K147" t="n">
        <x:f>I147+J147</x:f>
        <x:v>0</x:v>
      </x:c>
      <x:c r="L147" s="19" t="str">
        <x:f>IF(K147=0,"",I147/K147)</x:f>
      </x:c>
      <x:c r="M147" s="44"/>
    </x:row>
    <x:row r="148">
      <x:c r="K148" t="n">
        <x:f>I148+J148</x:f>
        <x:v>0</x:v>
      </x:c>
      <x:c r="L148" s="19" t="str">
        <x:f>IF(K148=0,"",I148/K148)</x:f>
      </x:c>
      <x:c r="M148" s="44"/>
    </x:row>
    <x:row r="149">
      <x:c r="K149" t="n">
        <x:f>I149+J149</x:f>
        <x:v>0</x:v>
      </x:c>
      <x:c r="L149" s="19" t="str">
        <x:f>IF(K149=0,"",I149/K149)</x:f>
      </x:c>
      <x:c r="M149" s="44"/>
    </x:row>
    <x:row r="150">
      <x:c r="K150" t="n">
        <x:f>I150+J150</x:f>
        <x:v>0</x:v>
      </x:c>
      <x:c r="L150" s="19" t="str">
        <x:f>IF(K150=0,"",I150/K150)</x:f>
      </x:c>
      <x:c r="M150" s="44"/>
    </x:row>
    <x:row r="151">
      <x:c r="K151" t="n">
        <x:f>I151+J151</x:f>
        <x:v>0</x:v>
      </x:c>
      <x:c r="L151" s="19" t="str">
        <x:f>IF(K151=0,"",I151/K151)</x:f>
      </x:c>
      <x:c r="M151" s="44"/>
    </x:row>
    <x:row r="152">
      <x:c r="K152" t="n">
        <x:f>I152+J152</x:f>
        <x:v>0</x:v>
      </x:c>
      <x:c r="L152" s="19" t="str">
        <x:f>IF(K152=0,"",I152/K152)</x:f>
      </x:c>
      <x:c r="M152" s="44"/>
    </x:row>
    <x:row r="153">
      <x:c r="K153" t="n">
        <x:f>I153+J153</x:f>
        <x:v>0</x:v>
      </x:c>
      <x:c r="L153" s="19" t="str">
        <x:f>IF(K153=0,"",I153/K153)</x:f>
      </x:c>
      <x:c r="M153" s="44"/>
    </x:row>
    <x:row r="154">
      <x:c r="K154" t="n">
        <x:f>I154+J154</x:f>
        <x:v>0</x:v>
      </x:c>
      <x:c r="L154" s="19" t="str">
        <x:f>IF(K154=0,"",I154/K154)</x:f>
      </x:c>
      <x:c r="M154" s="44"/>
    </x:row>
    <x:row r="155">
      <x:c r="K155" t="n">
        <x:f>I155+J155</x:f>
        <x:v>0</x:v>
      </x:c>
      <x:c r="L155" s="19" t="str">
        <x:f>IF(K155=0,"",I155/K155)</x:f>
      </x:c>
      <x:c r="M155" s="44"/>
    </x:row>
    <x:row r="156">
      <x:c r="K156" t="n">
        <x:f>I156+J156</x:f>
        <x:v>0</x:v>
      </x:c>
      <x:c r="L156" s="19" t="str">
        <x:f>IF(K156=0,"",I156/K156)</x:f>
      </x:c>
      <x:c r="M156" s="44"/>
    </x:row>
    <x:row r="157">
      <x:c r="K157" t="n">
        <x:f>I157+J157</x:f>
        <x:v>0</x:v>
      </x:c>
      <x:c r="L157" s="19" t="str">
        <x:f>IF(K157=0,"",I157/K157)</x:f>
      </x:c>
      <x:c r="M157" s="44"/>
    </x:row>
    <x:row r="158">
      <x:c r="K158" t="n">
        <x:f>I158+J158</x:f>
        <x:v>0</x:v>
      </x:c>
      <x:c r="L158" s="19" t="str">
        <x:f>IF(K158=0,"",I158/K158)</x:f>
      </x:c>
      <x:c r="M158" s="44"/>
    </x:row>
    <x:row r="159">
      <x:c r="K159" t="n">
        <x:f>I159+J159</x:f>
        <x:v>0</x:v>
      </x:c>
      <x:c r="L159" s="19" t="str">
        <x:f>IF(K159=0,"",I159/K159)</x:f>
      </x:c>
      <x:c r="M159" s="44"/>
    </x:row>
    <x:row r="160">
      <x:c r="K160" t="n">
        <x:f>I160+J160</x:f>
        <x:v>0</x:v>
      </x:c>
      <x:c r="L160" s="19" t="str">
        <x:f>IF(K160=0,"",I160/K160)</x:f>
      </x:c>
      <x:c r="M160" s="44"/>
    </x:row>
    <x:row r="161">
      <x:c r="K161" t="n">
        <x:f>I161+J161</x:f>
        <x:v>0</x:v>
      </x:c>
      <x:c r="L161" s="19" t="str">
        <x:f>IF(K161=0,"",I161/K161)</x:f>
      </x:c>
      <x:c r="M161" s="44"/>
    </x:row>
    <x:row r="162">
      <x:c r="K162" t="n">
        <x:f>I162+J162</x:f>
        <x:v>0</x:v>
      </x:c>
      <x:c r="L162" s="19" t="str">
        <x:f>IF(K162=0,"",I162/K162)</x:f>
      </x:c>
      <x:c r="M162" s="44"/>
    </x:row>
    <x:row r="163">
      <x:c r="K163" t="n">
        <x:f>I163+J163</x:f>
        <x:v>0</x:v>
      </x:c>
      <x:c r="L163" s="19" t="str">
        <x:f>IF(K163=0,"",I163/K163)</x:f>
      </x:c>
      <x:c r="M163" s="44"/>
    </x:row>
    <x:row r="164">
      <x:c r="K164" t="n">
        <x:f>I164+J164</x:f>
        <x:v>0</x:v>
      </x:c>
      <x:c r="L164" s="19" t="str">
        <x:f>IF(K164=0,"",I164/K164)</x:f>
      </x:c>
      <x:c r="M164" s="44"/>
    </x:row>
    <x:row r="165">
      <x:c r="K165" t="n">
        <x:f>I165+J165</x:f>
        <x:v>0</x:v>
      </x:c>
      <x:c r="L165" s="19" t="str">
        <x:f>IF(K165=0,"",I165/K165)</x:f>
      </x:c>
      <x:c r="M165" s="44"/>
    </x:row>
    <x:row r="166">
      <x:c r="K166" t="n">
        <x:f>I166+J166</x:f>
        <x:v>0</x:v>
      </x:c>
      <x:c r="L166" s="19" t="str">
        <x:f>IF(K166=0,"",I166/K166)</x:f>
      </x:c>
      <x:c r="M166" s="44"/>
    </x:row>
    <x:row r="167">
      <x:c r="K167" t="n">
        <x:f>I167+J167</x:f>
        <x:v>0</x:v>
      </x:c>
      <x:c r="L167" s="19" t="str">
        <x:f>IF(K167=0,"",I167/K167)</x:f>
      </x:c>
      <x:c r="M167" s="44"/>
    </x:row>
    <x:row r="168">
      <x:c r="K168" t="n">
        <x:f>I168+J168</x:f>
        <x:v>0</x:v>
      </x:c>
      <x:c r="L168" s="19" t="str">
        <x:f>IF(K168=0,"",I168/K168)</x:f>
      </x:c>
      <x:c r="M168" s="44"/>
    </x:row>
    <x:row r="169">
      <x:c r="K169" t="n">
        <x:f>I169+J169</x:f>
        <x:v>0</x:v>
      </x:c>
      <x:c r="L169" s="19" t="str">
        <x:f>IF(K169=0,"",I169/K169)</x:f>
      </x:c>
      <x:c r="M169" s="44"/>
    </x:row>
    <x:row r="170">
      <x:c r="K170" t="n">
        <x:f>I170+J170</x:f>
        <x:v>0</x:v>
      </x:c>
      <x:c r="L170" s="19" t="str">
        <x:f>IF(K170=0,"",I170/K170)</x:f>
      </x:c>
      <x:c r="M170" s="44"/>
    </x:row>
    <x:row r="171">
      <x:c r="K171" t="n">
        <x:f>I171+J171</x:f>
        <x:v>0</x:v>
      </x:c>
      <x:c r="L171" s="19" t="str">
        <x:f>IF(K171=0,"",I171/K171)</x:f>
      </x:c>
      <x:c r="M171" s="44"/>
    </x:row>
    <x:row r="172">
      <x:c r="K172" t="n">
        <x:f>I172+J172</x:f>
        <x:v>0</x:v>
      </x:c>
      <x:c r="L172" s="19" t="str">
        <x:f>IF(K172=0,"",I172/K172)</x:f>
      </x:c>
      <x:c r="M172" s="44"/>
    </x:row>
    <x:row r="173">
      <x:c r="K173" t="n">
        <x:f>I173+J173</x:f>
        <x:v>0</x:v>
      </x:c>
      <x:c r="L173" s="19" t="str">
        <x:f>IF(K173=0,"",I173/K173)</x:f>
      </x:c>
      <x:c r="M173" s="44"/>
    </x:row>
    <x:row r="174">
      <x:c r="K174" t="n">
        <x:f>I174+J174</x:f>
        <x:v>0</x:v>
      </x:c>
      <x:c r="L174" s="19" t="str">
        <x:f>IF(K174=0,"",I174/K174)</x:f>
      </x:c>
      <x:c r="M174" s="44"/>
    </x:row>
    <x:row r="175">
      <x:c r="K175" t="n">
        <x:f>I175+J175</x:f>
        <x:v>0</x:v>
      </x:c>
      <x:c r="L175" s="19" t="str">
        <x:f>IF(K175=0,"",I175/K175)</x:f>
      </x:c>
      <x:c r="M175" s="44"/>
    </x:row>
    <x:row r="176">
      <x:c r="K176" t="n">
        <x:f>I176+J176</x:f>
        <x:v>0</x:v>
      </x:c>
      <x:c r="L176" s="19" t="str">
        <x:f>IF(K176=0,"",I176/K176)</x:f>
      </x:c>
      <x:c r="M176" s="44"/>
    </x:row>
    <x:row r="177">
      <x:c r="K177" t="n">
        <x:f>I177+J177</x:f>
        <x:v>0</x:v>
      </x:c>
      <x:c r="L177" s="19" t="str">
        <x:f>IF(K177=0,"",I177/K177)</x:f>
      </x:c>
      <x:c r="M177" s="44"/>
    </x:row>
    <x:row r="178">
      <x:c r="K178" t="n">
        <x:f>I178+J178</x:f>
        <x:v>0</x:v>
      </x:c>
      <x:c r="L178" s="19" t="str">
        <x:f>IF(K178=0,"",I178/K178)</x:f>
      </x:c>
      <x:c r="M178" s="44"/>
    </x:row>
    <x:row r="179">
      <x:c r="K179" t="n">
        <x:f>I179+J179</x:f>
        <x:v>0</x:v>
      </x:c>
      <x:c r="L179" s="19" t="str">
        <x:f>IF(K179=0,"",I179/K179)</x:f>
      </x:c>
      <x:c r="M179" s="44"/>
    </x:row>
    <x:row r="180">
      <x:c r="K180" t="n">
        <x:f>I180+J180</x:f>
        <x:v>0</x:v>
      </x:c>
      <x:c r="L180" s="19" t="str">
        <x:f>IF(K180=0,"",I180/K180)</x:f>
      </x:c>
      <x:c r="M180" s="44"/>
    </x:row>
    <x:row r="181">
      <x:c r="K181" t="n">
        <x:f>I181+J181</x:f>
        <x:v>0</x:v>
      </x:c>
      <x:c r="L181" s="19" t="str">
        <x:f>IF(K181=0,"",I181/K181)</x:f>
      </x:c>
      <x:c r="M181" s="44"/>
    </x:row>
    <x:row r="182">
      <x:c r="K182" t="n">
        <x:f>I182+J182</x:f>
        <x:v>0</x:v>
      </x:c>
      <x:c r="L182" s="19" t="str">
        <x:f>IF(K182=0,"",I182/K182)</x:f>
      </x:c>
      <x:c r="M182" s="44"/>
    </x:row>
    <x:row r="183">
      <x:c r="K183" t="n">
        <x:f>I183+J183</x:f>
        <x:v>0</x:v>
      </x:c>
      <x:c r="L183" s="19" t="str">
        <x:f>IF(K183=0,"",I183/K183)</x:f>
      </x:c>
      <x:c r="M183" s="44"/>
    </x:row>
    <x:row r="184">
      <x:c r="K184" t="n">
        <x:f>I184+J184</x:f>
        <x:v>0</x:v>
      </x:c>
      <x:c r="L184" s="19" t="str">
        <x:f>IF(K184=0,"",I184/K184)</x:f>
      </x:c>
      <x:c r="M184" s="44"/>
    </x:row>
    <x:row r="185">
      <x:c r="K185" t="n">
        <x:f>I185+J185</x:f>
        <x:v>0</x:v>
      </x:c>
      <x:c r="L185" s="19" t="str">
        <x:f>IF(K185=0,"",I185/K185)</x:f>
      </x:c>
      <x:c r="M185" s="44"/>
    </x:row>
    <x:row r="186">
      <x:c r="K186" t="n">
        <x:f>I186+J186</x:f>
        <x:v>0</x:v>
      </x:c>
      <x:c r="L186" s="19" t="str">
        <x:f>IF(K186=0,"",I186/K186)</x:f>
      </x:c>
      <x:c r="M186" s="44"/>
    </x:row>
    <x:row r="187">
      <x:c r="K187" t="n">
        <x:f>I187+J187</x:f>
        <x:v>0</x:v>
      </x:c>
      <x:c r="L187" s="19" t="str">
        <x:f>IF(K187=0,"",I187/K187)</x:f>
      </x:c>
      <x:c r="M187" s="44"/>
    </x:row>
    <x:row r="188">
      <x:c r="K188" t="n">
        <x:f>I188+J188</x:f>
        <x:v>0</x:v>
      </x:c>
      <x:c r="L188" s="19" t="str">
        <x:f>IF(K188=0,"",I188/K188)</x:f>
      </x:c>
      <x:c r="M188" s="44"/>
    </x:row>
    <x:row r="189">
      <x:c r="K189" t="n">
        <x:f>I189+J189</x:f>
        <x:v>0</x:v>
      </x:c>
      <x:c r="L189" s="19" t="str">
        <x:f>IF(K189=0,"",I189/K189)</x:f>
      </x:c>
      <x:c r="M189" s="44"/>
    </x:row>
    <x:row r="190">
      <x:c r="K190" t="n">
        <x:f>I190+J190</x:f>
        <x:v>0</x:v>
      </x:c>
      <x:c r="L190" s="19" t="str">
        <x:f>IF(K190=0,"",I190/K190)</x:f>
      </x:c>
      <x:c r="M190" s="44"/>
    </x:row>
    <x:row r="191">
      <x:c r="K191" t="n">
        <x:f>I191+J191</x:f>
        <x:v>0</x:v>
      </x:c>
      <x:c r="L191" s="19" t="str">
        <x:f>IF(K191=0,"",I191/K191)</x:f>
      </x:c>
      <x:c r="M191" s="44"/>
    </x:row>
    <x:row r="192">
      <x:c r="K192" t="n">
        <x:f>I192+J192</x:f>
        <x:v>0</x:v>
      </x:c>
      <x:c r="L192" s="19" t="str">
        <x:f>IF(K192=0,"",I192/K192)</x:f>
      </x:c>
      <x:c r="M192" s="44"/>
    </x:row>
    <x:row r="193">
      <x:c r="K193" t="n">
        <x:f>I193+J193</x:f>
        <x:v>0</x:v>
      </x:c>
      <x:c r="L193" s="19" t="str">
        <x:f>IF(K193=0,"",I193/K193)</x:f>
      </x:c>
      <x:c r="M193" s="44"/>
    </x:row>
    <x:row r="194">
      <x:c r="K194" t="n">
        <x:f>I194+J194</x:f>
        <x:v>0</x:v>
      </x:c>
      <x:c r="L194" s="19" t="str">
        <x:f>IF(K194=0,"",I194/K194)</x:f>
      </x:c>
      <x:c r="M194" s="44"/>
    </x:row>
    <x:row r="195">
      <x:c r="K195" t="n">
        <x:f>I195+J195</x:f>
        <x:v>0</x:v>
      </x:c>
      <x:c r="L195" s="19" t="str">
        <x:f>IF(K195=0,"",I195/K195)</x:f>
      </x:c>
      <x:c r="M195" s="44"/>
    </x:row>
    <x:row r="196">
      <x:c r="K196" t="n">
        <x:f>I196+J196</x:f>
        <x:v>0</x:v>
      </x:c>
      <x:c r="L196" s="19" t="str">
        <x:f>IF(K196=0,"",I196/K196)</x:f>
      </x:c>
      <x:c r="M196" s="44"/>
    </x:row>
    <x:row r="197">
      <x:c r="K197" t="n">
        <x:f>I197+J197</x:f>
        <x:v>0</x:v>
      </x:c>
      <x:c r="L197" s="19" t="str">
        <x:f>IF(K197=0,"",I197/K197)</x:f>
      </x:c>
      <x:c r="M197" s="44"/>
    </x:row>
    <x:row r="198">
      <x:c r="K198" t="n">
        <x:f>I198+J198</x:f>
        <x:v>0</x:v>
      </x:c>
      <x:c r="L198" s="19" t="str">
        <x:f>IF(K198=0,"",I198/K198)</x:f>
      </x:c>
      <x:c r="M198" s="44"/>
    </x:row>
    <x:row r="199">
      <x:c r="K199" t="n">
        <x:f>I199+J199</x:f>
        <x:v>0</x:v>
      </x:c>
      <x:c r="L199" s="19" t="str">
        <x:f>IF(K199=0,"",I199/K199)</x:f>
      </x:c>
      <x:c r="M199" s="44"/>
    </x:row>
    <x:row r="200">
      <x:c r="K200" t="n">
        <x:f>I200+J200</x:f>
        <x:v>0</x:v>
      </x:c>
      <x:c r="L200" s="19" t="str">
        <x:f>IF(K200=0,"",I200/K200)</x:f>
      </x:c>
      <x:c r="M200" s="44"/>
    </x:row>
    <x:row r="201">
      <x:c r="K201" t="n">
        <x:f>I201+J201</x:f>
        <x:v>0</x:v>
      </x:c>
      <x:c r="L201" s="19" t="str">
        <x:f>IF(K201=0,"",I201/K201)</x:f>
      </x:c>
      <x:c r="M201" s="44"/>
    </x:row>
    <x:row r="202">
      <x:c r="K202" t="n">
        <x:f>I202+J202</x:f>
        <x:v>0</x:v>
      </x:c>
      <x:c r="L202" s="19" t="str">
        <x:f>IF(K202=0,"",I202/K202)</x:f>
      </x:c>
      <x:c r="M202" s="44"/>
    </x:row>
    <x:row r="203">
      <x:c r="K203" t="n">
        <x:f>I203+J203</x:f>
        <x:v>0</x:v>
      </x:c>
      <x:c r="L203" s="19" t="str">
        <x:f>IF(K203=0,"",I203/K203)</x:f>
      </x:c>
      <x:c r="M203" s="44"/>
    </x:row>
    <x:row r="204">
      <x:c r="K204" t="n">
        <x:f>I204+J204</x:f>
        <x:v>0</x:v>
      </x:c>
      <x:c r="L204" s="19" t="str">
        <x:f>IF(K204=0,"",I204/K204)</x:f>
      </x:c>
      <x:c r="M204" s="44"/>
    </x:row>
    <x:row r="205">
      <x:c r="K205" t="n">
        <x:f>I205+J205</x:f>
        <x:v>0</x:v>
      </x:c>
      <x:c r="L205" s="19" t="str">
        <x:f>IF(K205=0,"",I205/K205)</x:f>
      </x:c>
      <x:c r="M205" s="44"/>
    </x:row>
  </x:sheetData>
  <x:mergeCells>
    <x:mergeCell ref="A2:M2"/>
  </x:mergeCells>
  <x:pageMargins left="0.7" right="0.7" top="0.75" bottom="0.75" header="0.3" footer="0.3"/>
  <x:tableParts count="1">
    <x:tablePart xmlns:r="http://schemas.openxmlformats.org/officeDocument/2006/relationships" r:id="R0859dcbf3e654540"/>
  </x:tableParts>
</x:worksheet>
</file>

<file path=xl/worksheets/sheet5.xml><?xml version="1.0" encoding="utf-8"?>
<x:worksheet xmlns:x="http://schemas.openxmlformats.org/spreadsheetml/2006/main">
  <x:sheetPr>
    <x:tabColor rgb="FF6B7280"/>
  </x:sheetPr>
  <x:sheetViews>
    <x:sheetView showGridLines="0"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60" hidden="0" customWidth="1"/>
  </x:cols>
  <x:sheetData>
    <x:row r="1">
      <x:c r="A1" s="1"/>
      <x:c r="B1" s="1"/>
      <x:c r="C1" s="1"/>
      <x:c r="D1" s="1"/>
      <x:c r="E1" s="1"/>
      <x:c r="F1" s="1"/>
      <x:c r="G1" s="1"/>
      <x:c r="H1" s="1"/>
      <x:c r="I1" s="1"/>
      <x:c r="J1" s="1"/>
      <x:c r="K1" s="1"/>
      <x:c r="L1" s="1"/>
      <x:c r="M1" s="1"/>
      <x:c r="N1" s="1"/>
      <x:c r="O1" s="1"/>
      <x:c r="P1" s="1"/>
      <x:c r="Q1" s="1"/>
      <x:c r="R1" s="1"/>
    </x:row>
    <x:row r="2">
      <x:c r="A2" s="2" t="str">
        <x:v>Paper Trades</x:v>
      </x:c>
      <x:c r="B2" s="1"/>
      <x:c r="C2" s="1"/>
      <x:c r="D2" s="1"/>
      <x:c r="E2" s="1"/>
      <x:c r="F2" s="1"/>
      <x:c r="G2" s="1"/>
      <x:c r="H2" s="1"/>
      <x:c r="I2" s="1"/>
      <x:c r="J2" s="1"/>
      <x:c r="K2" s="1"/>
      <x:c r="L2" s="1"/>
      <x:c r="M2" s="1"/>
      <x:c r="N2" s="1"/>
      <x:c r="O2" s="1"/>
      <x:c r="P2" s="1"/>
      <x:c r="Q2" s="1"/>
      <x:c r="R2" s="1"/>
    </x:row>
    <x:row r="3">
      <x:c r="A3" s="3"/>
      <x:c r="B3" s="3"/>
      <x:c r="C3" s="3"/>
      <x:c r="D3" s="3"/>
      <x:c r="E3" s="3"/>
      <x:c r="F3" s="3"/>
      <x:c r="G3" s="3"/>
      <x:c r="H3" s="3"/>
      <x:c r="I3" s="3"/>
      <x:c r="J3" s="3"/>
      <x:c r="K3" s="3"/>
      <x:c r="L3" s="3"/>
      <x:c r="M3" s="3"/>
      <x:c r="N3" s="3"/>
      <x:c r="O3" s="3"/>
      <x:c r="P3" s="3"/>
      <x:c r="Q3" s="3"/>
      <x:c r="R3" s="3"/>
    </x:row>
    <x:row r="4">
      <x:c r="A4" s="1"/>
      <x:c r="B4" s="1"/>
      <x:c r="C4" s="1"/>
      <x:c r="D4" s="1"/>
      <x:c r="E4" s="1"/>
      <x:c r="F4" s="1"/>
      <x:c r="G4" s="1"/>
      <x:c r="H4" s="1"/>
      <x:c r="I4" s="1"/>
      <x:c r="J4" s="1"/>
      <x:c r="K4" s="1"/>
      <x:c r="L4" s="1"/>
      <x:c r="M4" s="1"/>
      <x:c r="N4" s="1"/>
      <x:c r="O4" s="1"/>
      <x:c r="P4" s="1"/>
      <x:c r="Q4" s="1"/>
      <x:c r="R4" s="1"/>
    </x:row>
    <x:row r="5">
      <x:c r="A5" s="24" t="str">
        <x:v>Trade ID</x:v>
      </x:c>
      <x:c r="B5" s="25" t="str">
        <x:v>Thesis ID</x:v>
      </x:c>
      <x:c r="C5" s="25" t="str">
        <x:v>Instrument</x:v>
      </x:c>
      <x:c r="D5" s="25" t="str">
        <x:v>Exposure Type</x:v>
      </x:c>
      <x:c r="E5" s="25" t="str">
        <x:v>Entry Window</x:v>
      </x:c>
      <x:c r="F5" s="25" t="str">
        <x:v>Paper Entry Date</x:v>
      </x:c>
      <x:c r="G5" s="25" t="str">
        <x:v>Entry Price</x:v>
      </x:c>
      <x:c r="H5" s="25" t="str">
        <x:v>Starting Amount</x:v>
      </x:c>
      <x:c r="I5" s="25" t="str">
        <x:v>Units</x:v>
      </x:c>
      <x:c r="J5" s="25" t="str">
        <x:v>Current Price</x:v>
      </x:c>
      <x:c r="K5" s="25" t="str">
        <x:v>Current Value</x:v>
      </x:c>
      <x:c r="L5" s="25" t="str">
        <x:v>Dollar P and L</x:v>
      </x:c>
      <x:c r="M5" s="25" t="str">
        <x:v>Return</x:v>
      </x:c>
      <x:c r="N5" s="25" t="str">
        <x:v>Exit Date</x:v>
      </x:c>
      <x:c r="O5" s="25" t="str">
        <x:v>Exit Price</x:v>
      </x:c>
      <x:c r="P5" s="25" t="str">
        <x:v>Realized Value</x:v>
      </x:c>
      <x:c r="Q5" s="25" t="str">
        <x:v>Realized P and L</x:v>
      </x:c>
      <x:c r="R5" s="26" t="str">
        <x:v>Outcome Notes</x:v>
      </x:c>
    </x:row>
    <x:row r="6" ht="54" customHeight="1">
      <x:c r="A6" s="27" t="str">
        <x:v>PT-2026-001</x:v>
      </x:c>
      <x:c r="B6" s="27" t="str">
        <x:v>EEI-2026-001</x:v>
      </x:c>
      <x:c r="C6" s="27" t="str">
        <x:v>BNO</x:v>
      </x:c>
      <x:c r="D6" s="27" t="str">
        <x:v>Commodity-linked fund</x:v>
      </x:c>
      <x:c r="E6" s="27" t="str">
        <x:v>WAIT</x:v>
      </x:c>
      <x:c r="F6" s="30" t="n">
        <x:v>46273</x:v>
      </x:c>
      <x:c r="G6" s="46" t="n">
        <x:v>57.21</x:v>
      </x:c>
      <x:c r="H6" s="46" t="n">
        <x:v>1000</x:v>
      </x:c>
      <x:c r="I6" s="47" t="n">
        <x:f>H6/G6</x:f>
        <x:v>17.479461632581717</x:v>
      </x:c>
      <x:c r="J6" s="46" t="n">
        <x:v>58.75</x:v>
      </x:c>
      <x:c r="K6" s="46" t="n">
        <x:f>I6*J6</x:f>
        <x:v>1026.918370914176</x:v>
      </x:c>
      <x:c r="L6" s="46" t="n">
        <x:f>K6-H6</x:f>
        <x:v>26.918370914175966</x:v>
      </x:c>
      <x:c r="M6" s="48" t="n">
        <x:f>L6/H6</x:f>
        <x:v>0.026918370914175968</x:v>
      </x:c>
      <x:c r="N6" s="30"/>
      <x:c r="O6" s="32"/>
      <x:c r="P6" s="32" t="str">
        <x:f>IF(OR(I6="",O6=""),"",I6*O6)</x:f>
      </x:c>
      <x:c r="Q6" s="32" t="str">
        <x:f>IF(P6="","",P6-H6)</x:f>
      </x:c>
      <x:c r="R6" s="29" t="str">
        <x:v>09/29/26 close: $58.75; position value $1,026.92; +$26.92 (+2.69%). BNO fell 2.62% for the session as Yanbu loadings resumed, East-West pipeline flows increased and Middle East crude exports recovered. It remains the only profitable position. Historical Entry Window classification: WAIT.</x:v>
      </x:c>
    </x:row>
    <x:row r="7" ht="54" customHeight="1">
      <x:c r="A7" s="27" t="str">
        <x:v>PT-2026-002</x:v>
      </x:c>
      <x:c r="B7" s="27" t="str">
        <x:v>EEI-2026-001</x:v>
      </x:c>
      <x:c r="C7" s="27" t="str">
        <x:v>USO</x:v>
      </x:c>
      <x:c r="D7" s="27" t="str">
        <x:v>Commodity-linked fund</x:v>
      </x:c>
      <x:c r="E7" s="27" t="str">
        <x:v>WAIT</x:v>
      </x:c>
      <x:c r="F7" s="30" t="n">
        <x:v>46273</x:v>
      </x:c>
      <x:c r="G7" s="46" t="n">
        <x:v>144.6</x:v>
      </x:c>
      <x:c r="H7" s="46" t="n">
        <x:v>1000</x:v>
      </x:c>
      <x:c r="I7" s="47" t="n">
        <x:f>H7/G7</x:f>
        <x:v>6.915629322268327</x:v>
      </x:c>
      <x:c r="J7" s="46" t="n">
        <x:v>143.35</x:v>
      </x:c>
      <x:c r="K7" s="46" t="n">
        <x:f>I7*J7</x:f>
        <x:v>991.3554633471646</x:v>
      </x:c>
      <x:c r="L7" s="46" t="n">
        <x:f>K7-H7</x:f>
        <x:v>-8.644536652835427</x:v>
      </x:c>
      <x:c r="M7" s="48" t="n">
        <x:f>L7/H7</x:f>
        <x:v>-0.008644536652835428</x:v>
      </x:c>
      <x:c r="N7" s="30"/>
      <x:c r="O7" s="32"/>
      <x:c r="P7" s="32" t="str">
        <x:f>IF(OR(I7="",O7=""),"",I7*O7)</x:f>
      </x:c>
      <x:c r="Q7" s="32" t="str">
        <x:f>IF(P7="","",P7-H7)</x:f>
      </x:c>
      <x:c r="R7" s="29" t="str">
        <x:v>09/29/26 close: $143.35; position value $991.36; -$8.64 (-0.86%). USO fell 4.44% and moved below entry as WTI dropped 3.5%, Middle East exports recovered and the U.S. offered up to 40 million SPR barrels on loan. Historical Entry Window classification: WAIT.</x:v>
      </x:c>
    </x:row>
    <x:row r="8" ht="54" customHeight="1">
      <x:c r="A8" s="27" t="str">
        <x:v>PT-2026-003</x:v>
      </x:c>
      <x:c r="B8" s="27" t="str">
        <x:v>EEI-2026-001</x:v>
      </x:c>
      <x:c r="C8" s="27" t="str">
        <x:v>XOP</x:v>
      </x:c>
      <x:c r="D8" s="27" t="str">
        <x:v>Energy equity fund</x:v>
      </x:c>
      <x:c r="E8" s="27" t="str">
        <x:v>WAIT</x:v>
      </x:c>
      <x:c r="F8" s="30" t="n">
        <x:v>46273</x:v>
      </x:c>
      <x:c r="G8" s="46" t="n">
        <x:v>193.84</x:v>
      </x:c>
      <x:c r="H8" s="46" t="n">
        <x:v>1000</x:v>
      </x:c>
      <x:c r="I8" s="47" t="n">
        <x:f>H8/G8</x:f>
        <x:v>5.158893933140734</x:v>
      </x:c>
      <x:c r="J8" s="46" t="n">
        <x:v>178.63</x:v>
      </x:c>
      <x:c r="K8" s="46" t="n">
        <x:f>I8*J8</x:f>
        <x:v>921.5332232769293</x:v>
      </x:c>
      <x:c r="L8" s="46" t="n">
        <x:f>K8-H8</x:f>
        <x:v>-78.46677672307067</x:v>
      </x:c>
      <x:c r="M8" s="48" t="n">
        <x:f>L8/H8</x:f>
        <x:v>-0.07846677672307066</x:v>
      </x:c>
      <x:c r="N8" s="30"/>
      <x:c r="O8" s="32"/>
      <x:c r="P8" s="32" t="str">
        <x:f>IF(OR(I8="",O8=""),"",I8*O8)</x:f>
      </x:c>
      <x:c r="Q8" s="32" t="str">
        <x:f>IF(P8="","",P8-H8)</x:f>
      </x:c>
      <x:c r="R8" s="29" t="str">
        <x:v>09/29/26 close: $178.63; position value $921.53; -$78.47 (-7.85%). XOP fell 0.84% and remains the weakest expression, materially underperforming both direct crude funds. Historical Entry Window classification: WAIT.</x:v>
      </x:c>
    </x:row>
    <x:row r="9">
      <x:c r="A9" s="27"/>
      <x:c r="B9" s="27"/>
      <x:c r="C9" s="27"/>
      <x:c r="D9" s="27"/>
      <x:c r="E9" s="27"/>
      <x:c r="F9" s="30"/>
      <x:c r="G9" s="32"/>
      <x:c r="H9" s="32"/>
      <x:c r="I9" s="27" t="str">
        <x:f>IFERROR(H9/G9,"")</x:f>
      </x:c>
      <x:c r="J9" s="32"/>
      <x:c r="K9" s="32" t="str">
        <x:f>IF(OR(I9="",J9=""),"",I9*J9)</x:f>
      </x:c>
      <x:c r="L9" s="32" t="str">
        <x:f>IF(K9="","",K9-H9)</x:f>
      </x:c>
      <x:c r="M9" s="31" t="str">
        <x:f>IFERROR(L9/H9,"")</x:f>
      </x:c>
      <x:c r="N9" s="30"/>
      <x:c r="O9" s="32"/>
      <x:c r="P9" s="32" t="str">
        <x:f>IF(OR(I9="",O9=""),"",I9*O9)</x:f>
      </x:c>
      <x:c r="Q9" s="32" t="str">
        <x:f>IF(P9="","",P9-H9)</x:f>
      </x:c>
      <x:c r="R9" s="29"/>
    </x:row>
    <x:row r="10">
      <x:c r="A10" s="27"/>
      <x:c r="B10" s="27"/>
      <x:c r="C10" s="27"/>
      <x:c r="D10" s="27"/>
      <x:c r="E10" s="27"/>
      <x:c r="F10" s="30"/>
      <x:c r="G10" s="32"/>
      <x:c r="H10" s="32"/>
      <x:c r="I10" s="27" t="str">
        <x:f>IFERROR(H10/G10,"")</x:f>
      </x:c>
      <x:c r="J10" s="32"/>
      <x:c r="K10" s="32" t="str">
        <x:f>IF(OR(I10="",J10=""),"",I10*J10)</x:f>
      </x:c>
      <x:c r="L10" s="32" t="str">
        <x:f>IF(K10="","",K10-H10)</x:f>
      </x:c>
      <x:c r="M10" s="31" t="str">
        <x:f>IFERROR(L10/H10,"")</x:f>
      </x:c>
      <x:c r="N10" s="30"/>
      <x:c r="O10" s="32"/>
      <x:c r="P10" s="32" t="str">
        <x:f>IF(OR(I10="",O10=""),"",I10*O10)</x:f>
      </x:c>
      <x:c r="Q10" s="32" t="str">
        <x:f>IF(P10="","",P10-H10)</x:f>
      </x:c>
      <x:c r="R10" s="29"/>
    </x:row>
    <x:row r="11">
      <x:c r="A11" s="27"/>
      <x:c r="B11" s="27"/>
      <x:c r="C11" s="27"/>
      <x:c r="D11" s="27"/>
      <x:c r="E11" s="27"/>
      <x:c r="F11" s="30"/>
      <x:c r="G11" s="32"/>
      <x:c r="H11" s="32"/>
      <x:c r="I11" s="27" t="str">
        <x:f>IFERROR(H11/G11,"")</x:f>
      </x:c>
      <x:c r="J11" s="32"/>
      <x:c r="K11" s="32" t="str">
        <x:f>IF(OR(I11="",J11=""),"",I11*J11)</x:f>
      </x:c>
      <x:c r="L11" s="32" t="str">
        <x:f>IF(K11="","",K11-H11)</x:f>
      </x:c>
      <x:c r="M11" s="31" t="str">
        <x:f>IFERROR(L11/H11,"")</x:f>
      </x:c>
      <x:c r="N11" s="30"/>
      <x:c r="O11" s="32"/>
      <x:c r="P11" s="32" t="str">
        <x:f>IF(OR(I11="",O11=""),"",I11*O11)</x:f>
      </x:c>
      <x:c r="Q11" s="32" t="str">
        <x:f>IF(P11="","",P11-H11)</x:f>
      </x:c>
      <x:c r="R11" s="29"/>
    </x:row>
    <x:row r="12">
      <x:c r="A12" s="27"/>
      <x:c r="B12" s="27"/>
      <x:c r="C12" s="27"/>
      <x:c r="D12" s="27"/>
      <x:c r="E12" s="27"/>
      <x:c r="F12" s="30"/>
      <x:c r="G12" s="32"/>
      <x:c r="H12" s="32"/>
      <x:c r="I12" s="27" t="str">
        <x:f>IFERROR(H12/G12,"")</x:f>
      </x:c>
      <x:c r="J12" s="32"/>
      <x:c r="K12" s="32" t="str">
        <x:f>IF(OR(I12="",J12=""),"",I12*J12)</x:f>
      </x:c>
      <x:c r="L12" s="32" t="str">
        <x:f>IF(K12="","",K12-H12)</x:f>
      </x:c>
      <x:c r="M12" s="31" t="str">
        <x:f>IFERROR(L12/H12,"")</x:f>
      </x:c>
      <x:c r="N12" s="30"/>
      <x:c r="O12" s="32"/>
      <x:c r="P12" s="32" t="str">
        <x:f>IF(OR(I12="",O12=""),"",I12*O12)</x:f>
      </x:c>
      <x:c r="Q12" s="32" t="str">
        <x:f>IF(P12="","",P12-H12)</x:f>
      </x:c>
      <x:c r="R12" s="29"/>
    </x:row>
    <x:row r="13">
      <x:c r="A13" s="27"/>
      <x:c r="B13" s="27"/>
      <x:c r="C13" s="27"/>
      <x:c r="D13" s="27"/>
      <x:c r="E13" s="27"/>
      <x:c r="F13" s="30"/>
      <x:c r="G13" s="32"/>
      <x:c r="H13" s="32"/>
      <x:c r="I13" s="27" t="str">
        <x:f>IFERROR(H13/G13,"")</x:f>
      </x:c>
      <x:c r="J13" s="32"/>
      <x:c r="K13" s="32" t="str">
        <x:f>IF(OR(I13="",J13=""),"",I13*J13)</x:f>
      </x:c>
      <x:c r="L13" s="32" t="str">
        <x:f>IF(K13="","",K13-H13)</x:f>
      </x:c>
      <x:c r="M13" s="31" t="str">
        <x:f>IFERROR(L13/H13,"")</x:f>
      </x:c>
      <x:c r="N13" s="30"/>
      <x:c r="O13" s="32"/>
      <x:c r="P13" s="32" t="str">
        <x:f>IF(OR(I13="",O13=""),"",I13*O13)</x:f>
      </x:c>
      <x:c r="Q13" s="32" t="str">
        <x:f>IF(P13="","",P13-H13)</x:f>
      </x:c>
      <x:c r="R13" s="29"/>
    </x:row>
    <x:row r="14">
      <x:c r="A14" s="27"/>
      <x:c r="B14" s="27"/>
      <x:c r="C14" s="27"/>
      <x:c r="D14" s="27"/>
      <x:c r="E14" s="27"/>
      <x:c r="F14" s="30"/>
      <x:c r="G14" s="32"/>
      <x:c r="H14" s="32"/>
      <x:c r="I14" s="27" t="str">
        <x:f>IFERROR(H14/G14,"")</x:f>
      </x:c>
      <x:c r="J14" s="32"/>
      <x:c r="K14" s="32" t="str">
        <x:f>IF(OR(I14="",J14=""),"",I14*J14)</x:f>
      </x:c>
      <x:c r="L14" s="32" t="str">
        <x:f>IF(K14="","",K14-H14)</x:f>
      </x:c>
      <x:c r="M14" s="31" t="str">
        <x:f>IFERROR(L14/H14,"")</x:f>
      </x:c>
      <x:c r="N14" s="30"/>
      <x:c r="O14" s="32"/>
      <x:c r="P14" s="32" t="str">
        <x:f>IF(OR(I14="",O14=""),"",I14*O14)</x:f>
      </x:c>
      <x:c r="Q14" s="32" t="str">
        <x:f>IF(P14="","",P14-H14)</x:f>
      </x:c>
      <x:c r="R14" s="29"/>
    </x:row>
    <x:row r="15">
      <x:c r="A15" s="27"/>
      <x:c r="B15" s="27"/>
      <x:c r="C15" s="27"/>
      <x:c r="D15" s="27"/>
      <x:c r="E15" s="27"/>
      <x:c r="F15" s="30"/>
      <x:c r="G15" s="32"/>
      <x:c r="H15" s="32"/>
      <x:c r="I15" s="27" t="str">
        <x:f>IFERROR(H15/G15,"")</x:f>
      </x:c>
      <x:c r="J15" s="32"/>
      <x:c r="K15" s="32" t="str">
        <x:f>IF(OR(I15="",J15=""),"",I15*J15)</x:f>
      </x:c>
      <x:c r="L15" s="32" t="str">
        <x:f>IF(K15="","",K15-H15)</x:f>
      </x:c>
      <x:c r="M15" s="31" t="str">
        <x:f>IFERROR(L15/H15,"")</x:f>
      </x:c>
      <x:c r="N15" s="30"/>
      <x:c r="O15" s="32"/>
      <x:c r="P15" s="32" t="str">
        <x:f>IF(OR(I15="",O15=""),"",I15*O15)</x:f>
      </x:c>
      <x:c r="Q15" s="32" t="str">
        <x:f>IF(P15="","",P15-H15)</x:f>
      </x:c>
      <x:c r="R15" s="29"/>
    </x:row>
    <x:row r="16">
      <x:c r="A16" s="27"/>
      <x:c r="B16" s="27"/>
      <x:c r="C16" s="27"/>
      <x:c r="D16" s="27"/>
      <x:c r="E16" s="27"/>
      <x:c r="F16" s="30"/>
      <x:c r="G16" s="32"/>
      <x:c r="H16" s="32"/>
      <x:c r="I16" s="27" t="str">
        <x:f>IFERROR(H16/G16,"")</x:f>
      </x:c>
      <x:c r="J16" s="32"/>
      <x:c r="K16" s="32" t="str">
        <x:f>IF(OR(I16="",J16=""),"",I16*J16)</x:f>
      </x:c>
      <x:c r="L16" s="32" t="str">
        <x:f>IF(K16="","",K16-H16)</x:f>
      </x:c>
      <x:c r="M16" s="31" t="str">
        <x:f>IFERROR(L16/H16,"")</x:f>
      </x:c>
      <x:c r="N16" s="30"/>
      <x:c r="O16" s="32"/>
      <x:c r="P16" s="32" t="str">
        <x:f>IF(OR(I16="",O16=""),"",I16*O16)</x:f>
      </x:c>
      <x:c r="Q16" s="32" t="str">
        <x:f>IF(P16="","",P16-H16)</x:f>
      </x:c>
      <x:c r="R16" s="29"/>
    </x:row>
    <x:row r="17">
      <x:c r="A17" s="27"/>
      <x:c r="B17" s="27"/>
      <x:c r="C17" s="27"/>
      <x:c r="D17" s="27"/>
      <x:c r="E17" s="27"/>
      <x:c r="F17" s="30"/>
      <x:c r="G17" s="32"/>
      <x:c r="H17" s="32"/>
      <x:c r="I17" s="27" t="str">
        <x:f>IFERROR(H17/G17,"")</x:f>
      </x:c>
      <x:c r="J17" s="32"/>
      <x:c r="K17" s="32" t="str">
        <x:f>IF(OR(I17="",J17=""),"",I17*J17)</x:f>
      </x:c>
      <x:c r="L17" s="32" t="str">
        <x:f>IF(K17="","",K17-H17)</x:f>
      </x:c>
      <x:c r="M17" s="31" t="str">
        <x:f>IFERROR(L17/H17,"")</x:f>
      </x:c>
      <x:c r="N17" s="30"/>
      <x:c r="O17" s="32"/>
      <x:c r="P17" s="32" t="str">
        <x:f>IF(OR(I17="",O17=""),"",I17*O17)</x:f>
      </x:c>
      <x:c r="Q17" s="32" t="str">
        <x:f>IF(P17="","",P17-H17)</x:f>
      </x:c>
      <x:c r="R17" s="29"/>
    </x:row>
    <x:row r="18">
      <x:c r="A18" s="27"/>
      <x:c r="B18" s="27"/>
      <x:c r="C18" s="27"/>
      <x:c r="D18" s="27"/>
      <x:c r="E18" s="27"/>
      <x:c r="F18" s="30"/>
      <x:c r="G18" s="32"/>
      <x:c r="H18" s="32"/>
      <x:c r="I18" s="27" t="str">
        <x:f>IFERROR(H18/G18,"")</x:f>
      </x:c>
      <x:c r="J18" s="32"/>
      <x:c r="K18" s="32" t="str">
        <x:f>IF(OR(I18="",J18=""),"",I18*J18)</x:f>
      </x:c>
      <x:c r="L18" s="32" t="str">
        <x:f>IF(K18="","",K18-H18)</x:f>
      </x:c>
      <x:c r="M18" s="31" t="str">
        <x:f>IFERROR(L18/H18,"")</x:f>
      </x:c>
      <x:c r="N18" s="30"/>
      <x:c r="O18" s="32"/>
      <x:c r="P18" s="32" t="str">
        <x:f>IF(OR(I18="",O18=""),"",I18*O18)</x:f>
      </x:c>
      <x:c r="Q18" s="32" t="str">
        <x:f>IF(P18="","",P18-H18)</x:f>
      </x:c>
      <x:c r="R18" s="29"/>
    </x:row>
    <x:row r="19">
      <x:c r="A19" s="27"/>
      <x:c r="B19" s="27"/>
      <x:c r="C19" s="27"/>
      <x:c r="D19" s="27"/>
      <x:c r="E19" s="27"/>
      <x:c r="F19" s="30"/>
      <x:c r="G19" s="32"/>
      <x:c r="H19" s="32"/>
      <x:c r="I19" s="27" t="str">
        <x:f>IFERROR(H19/G19,"")</x:f>
      </x:c>
      <x:c r="J19" s="32"/>
      <x:c r="K19" s="32" t="str">
        <x:f>IF(OR(I19="",J19=""),"",I19*J19)</x:f>
      </x:c>
      <x:c r="L19" s="32" t="str">
        <x:f>IF(K19="","",K19-H19)</x:f>
      </x:c>
      <x:c r="M19" s="31" t="str">
        <x:f>IFERROR(L19/H19,"")</x:f>
      </x:c>
      <x:c r="N19" s="30"/>
      <x:c r="O19" s="32"/>
      <x:c r="P19" s="32" t="str">
        <x:f>IF(OR(I19="",O19=""),"",I19*O19)</x:f>
      </x:c>
      <x:c r="Q19" s="32" t="str">
        <x:f>IF(P19="","",P19-H19)</x:f>
      </x:c>
      <x:c r="R19" s="29"/>
    </x:row>
    <x:row r="20">
      <x:c r="A20" s="27"/>
      <x:c r="B20" s="27"/>
      <x:c r="C20" s="27"/>
      <x:c r="D20" s="27"/>
      <x:c r="E20" s="27"/>
      <x:c r="F20" s="30"/>
      <x:c r="G20" s="32"/>
      <x:c r="H20" s="32"/>
      <x:c r="I20" s="27" t="str">
        <x:f>IFERROR(H20/G20,"")</x:f>
      </x:c>
      <x:c r="J20" s="32"/>
      <x:c r="K20" s="32" t="str">
        <x:f>IF(OR(I20="",J20=""),"",I20*J20)</x:f>
      </x:c>
      <x:c r="L20" s="32" t="str">
        <x:f>IF(K20="","",K20-H20)</x:f>
      </x:c>
      <x:c r="M20" s="31" t="str">
        <x:f>IFERROR(L20/H20,"")</x:f>
      </x:c>
      <x:c r="N20" s="30"/>
      <x:c r="O20" s="32"/>
      <x:c r="P20" s="32" t="str">
        <x:f>IF(OR(I20="",O20=""),"",I20*O20)</x:f>
      </x:c>
      <x:c r="Q20" s="32" t="str">
        <x:f>IF(P20="","",P20-H20)</x:f>
      </x:c>
      <x:c r="R20" s="29"/>
    </x:row>
    <x:row r="21">
      <x:c r="A21" s="27"/>
      <x:c r="B21" s="27"/>
      <x:c r="C21" s="27"/>
      <x:c r="D21" s="27"/>
      <x:c r="E21" s="27"/>
      <x:c r="F21" s="30"/>
      <x:c r="G21" s="32"/>
      <x:c r="H21" s="32"/>
      <x:c r="I21" s="27" t="str">
        <x:f>IFERROR(H21/G21,"")</x:f>
      </x:c>
      <x:c r="J21" s="32"/>
      <x:c r="K21" s="32" t="str">
        <x:f>IF(OR(I21="",J21=""),"",I21*J21)</x:f>
      </x:c>
      <x:c r="L21" s="32" t="str">
        <x:f>IF(K21="","",K21-H21)</x:f>
      </x:c>
      <x:c r="M21" s="31" t="str">
        <x:f>IFERROR(L21/H21,"")</x:f>
      </x:c>
      <x:c r="N21" s="30"/>
      <x:c r="O21" s="32"/>
      <x:c r="P21" s="32" t="str">
        <x:f>IF(OR(I21="",O21=""),"",I21*O21)</x:f>
      </x:c>
      <x:c r="Q21" s="32" t="str">
        <x:f>IF(P21="","",P21-H21)</x:f>
      </x:c>
      <x:c r="R21" s="29"/>
    </x:row>
    <x:row r="22">
      <x:c r="A22" s="27"/>
      <x:c r="B22" s="27"/>
      <x:c r="C22" s="27"/>
      <x:c r="D22" s="27"/>
      <x:c r="E22" s="27"/>
      <x:c r="F22" s="30"/>
      <x:c r="G22" s="32"/>
      <x:c r="H22" s="32"/>
      <x:c r="I22" s="27" t="str">
        <x:f>IFERROR(H22/G22,"")</x:f>
      </x:c>
      <x:c r="J22" s="32"/>
      <x:c r="K22" s="32" t="str">
        <x:f>IF(OR(I22="",J22=""),"",I22*J22)</x:f>
      </x:c>
      <x:c r="L22" s="32" t="str">
        <x:f>IF(K22="","",K22-H22)</x:f>
      </x:c>
      <x:c r="M22" s="31" t="str">
        <x:f>IFERROR(L22/H22,"")</x:f>
      </x:c>
      <x:c r="N22" s="30"/>
      <x:c r="O22" s="32"/>
      <x:c r="P22" s="32" t="str">
        <x:f>IF(OR(I22="",O22=""),"",I22*O22)</x:f>
      </x:c>
      <x:c r="Q22" s="32" t="str">
        <x:f>IF(P22="","",P22-H22)</x:f>
      </x:c>
      <x:c r="R22" s="29"/>
    </x:row>
    <x:row r="23">
      <x:c r="A23" s="27"/>
      <x:c r="B23" s="27"/>
      <x:c r="C23" s="27"/>
      <x:c r="D23" s="27"/>
      <x:c r="E23" s="27"/>
      <x:c r="F23" s="30"/>
      <x:c r="G23" s="32"/>
      <x:c r="H23" s="32"/>
      <x:c r="I23" s="27" t="str">
        <x:f>IFERROR(H23/G23,"")</x:f>
      </x:c>
      <x:c r="J23" s="32"/>
      <x:c r="K23" s="32" t="str">
        <x:f>IF(OR(I23="",J23=""),"",I23*J23)</x:f>
      </x:c>
      <x:c r="L23" s="32" t="str">
        <x:f>IF(K23="","",K23-H23)</x:f>
      </x:c>
      <x:c r="M23" s="31" t="str">
        <x:f>IFERROR(L23/H23,"")</x:f>
      </x:c>
      <x:c r="N23" s="30"/>
      <x:c r="O23" s="32"/>
      <x:c r="P23" s="32" t="str">
        <x:f>IF(OR(I23="",O23=""),"",I23*O23)</x:f>
      </x:c>
      <x:c r="Q23" s="32" t="str">
        <x:f>IF(P23="","",P23-H23)</x:f>
      </x:c>
      <x:c r="R23" s="29"/>
    </x:row>
    <x:row r="24">
      <x:c r="A24" s="27"/>
      <x:c r="B24" s="27"/>
      <x:c r="C24" s="27"/>
      <x:c r="D24" s="27"/>
      <x:c r="E24" s="27"/>
      <x:c r="F24" s="30"/>
      <x:c r="G24" s="32"/>
      <x:c r="H24" s="32"/>
      <x:c r="I24" s="27" t="str">
        <x:f>IFERROR(H24/G24,"")</x:f>
      </x:c>
      <x:c r="J24" s="32"/>
      <x:c r="K24" s="32" t="str">
        <x:f>IF(OR(I24="",J24=""),"",I24*J24)</x:f>
      </x:c>
      <x:c r="L24" s="32" t="str">
        <x:f>IF(K24="","",K24-H24)</x:f>
      </x:c>
      <x:c r="M24" s="31" t="str">
        <x:f>IFERROR(L24/H24,"")</x:f>
      </x:c>
      <x:c r="N24" s="30"/>
      <x:c r="O24" s="32"/>
      <x:c r="P24" s="32" t="str">
        <x:f>IF(OR(I24="",O24=""),"",I24*O24)</x:f>
      </x:c>
      <x:c r="Q24" s="32" t="str">
        <x:f>IF(P24="","",P24-H24)</x:f>
      </x:c>
      <x:c r="R24" s="29"/>
    </x:row>
    <x:row r="25">
      <x:c r="A25" s="27"/>
      <x:c r="B25" s="27"/>
      <x:c r="C25" s="27"/>
      <x:c r="D25" s="27"/>
      <x:c r="E25" s="27"/>
      <x:c r="F25" s="30"/>
      <x:c r="G25" s="32"/>
      <x:c r="H25" s="32"/>
      <x:c r="I25" s="27" t="str">
        <x:f>IFERROR(H25/G25,"")</x:f>
      </x:c>
      <x:c r="J25" s="32"/>
      <x:c r="K25" s="32" t="str">
        <x:f>IF(OR(I25="",J25=""),"",I25*J25)</x:f>
      </x:c>
      <x:c r="L25" s="32" t="str">
        <x:f>IF(K25="","",K25-H25)</x:f>
      </x:c>
      <x:c r="M25" s="31" t="str">
        <x:f>IFERROR(L25/H25,"")</x:f>
      </x:c>
      <x:c r="N25" s="30"/>
      <x:c r="O25" s="32"/>
      <x:c r="P25" s="32" t="str">
        <x:f>IF(OR(I25="",O25=""),"",I25*O25)</x:f>
      </x:c>
      <x:c r="Q25" s="32" t="str">
        <x:f>IF(P25="","",P25-H25)</x:f>
      </x:c>
      <x:c r="R25" s="29"/>
    </x:row>
    <x:row r="26">
      <x:c r="A26" s="27"/>
      <x:c r="B26" s="27"/>
      <x:c r="C26" s="27"/>
      <x:c r="D26" s="27"/>
      <x:c r="E26" s="27"/>
      <x:c r="F26" s="30"/>
      <x:c r="G26" s="32"/>
      <x:c r="H26" s="32"/>
      <x:c r="I26" s="27" t="str">
        <x:f>IFERROR(H26/G26,"")</x:f>
      </x:c>
      <x:c r="J26" s="32"/>
      <x:c r="K26" s="32" t="str">
        <x:f>IF(OR(I26="",J26=""),"",I26*J26)</x:f>
      </x:c>
      <x:c r="L26" s="32" t="str">
        <x:f>IF(K26="","",K26-H26)</x:f>
      </x:c>
      <x:c r="M26" s="31" t="str">
        <x:f>IFERROR(L26/H26,"")</x:f>
      </x:c>
      <x:c r="N26" s="30"/>
      <x:c r="O26" s="32"/>
      <x:c r="P26" s="32" t="str">
        <x:f>IF(OR(I26="",O26=""),"",I26*O26)</x:f>
      </x:c>
      <x:c r="Q26" s="32" t="str">
        <x:f>IF(P26="","",P26-H26)</x:f>
      </x:c>
      <x:c r="R26" s="29"/>
    </x:row>
    <x:row r="27">
      <x:c r="A27" s="27"/>
      <x:c r="B27" s="27"/>
      <x:c r="C27" s="27"/>
      <x:c r="D27" s="27"/>
      <x:c r="E27" s="27"/>
      <x:c r="F27" s="30"/>
      <x:c r="G27" s="32"/>
      <x:c r="H27" s="32"/>
      <x:c r="I27" s="27" t="str">
        <x:f>IFERROR(H27/G27,"")</x:f>
      </x:c>
      <x:c r="J27" s="32"/>
      <x:c r="K27" s="32" t="str">
        <x:f>IF(OR(I27="",J27=""),"",I27*J27)</x:f>
      </x:c>
      <x:c r="L27" s="32" t="str">
        <x:f>IF(K27="","",K27-H27)</x:f>
      </x:c>
      <x:c r="M27" s="31" t="str">
        <x:f>IFERROR(L27/H27,"")</x:f>
      </x:c>
      <x:c r="N27" s="30"/>
      <x:c r="O27" s="32"/>
      <x:c r="P27" s="32" t="str">
        <x:f>IF(OR(I27="",O27=""),"",I27*O27)</x:f>
      </x:c>
      <x:c r="Q27" s="32" t="str">
        <x:f>IF(P27="","",P27-H27)</x:f>
      </x:c>
      <x:c r="R27" s="29"/>
    </x:row>
    <x:row r="28">
      <x:c r="A28" s="27"/>
      <x:c r="B28" s="27"/>
      <x:c r="C28" s="27"/>
      <x:c r="D28" s="27"/>
      <x:c r="E28" s="27"/>
      <x:c r="F28" s="30"/>
      <x:c r="G28" s="32"/>
      <x:c r="H28" s="32"/>
      <x:c r="I28" s="27" t="str">
        <x:f>IFERROR(H28/G28,"")</x:f>
      </x:c>
      <x:c r="J28" s="32"/>
      <x:c r="K28" s="32" t="str">
        <x:f>IF(OR(I28="",J28=""),"",I28*J28)</x:f>
      </x:c>
      <x:c r="L28" s="32" t="str">
        <x:f>IF(K28="","",K28-H28)</x:f>
      </x:c>
      <x:c r="M28" s="31" t="str">
        <x:f>IFERROR(L28/H28,"")</x:f>
      </x:c>
      <x:c r="N28" s="30"/>
      <x:c r="O28" s="32"/>
      <x:c r="P28" s="32" t="str">
        <x:f>IF(OR(I28="",O28=""),"",I28*O28)</x:f>
      </x:c>
      <x:c r="Q28" s="32" t="str">
        <x:f>IF(P28="","",P28-H28)</x:f>
      </x:c>
      <x:c r="R28" s="29"/>
    </x:row>
    <x:row r="29">
      <x:c r="A29" s="27"/>
      <x:c r="B29" s="27"/>
      <x:c r="C29" s="27"/>
      <x:c r="D29" s="27"/>
      <x:c r="E29" s="27"/>
      <x:c r="F29" s="30"/>
      <x:c r="G29" s="32"/>
      <x:c r="H29" s="32"/>
      <x:c r="I29" s="27" t="str">
        <x:f>IFERROR(H29/G29,"")</x:f>
      </x:c>
      <x:c r="J29" s="32"/>
      <x:c r="K29" s="32" t="str">
        <x:f>IF(OR(I29="",J29=""),"",I29*J29)</x:f>
      </x:c>
      <x:c r="L29" s="32" t="str">
        <x:f>IF(K29="","",K29-H29)</x:f>
      </x:c>
      <x:c r="M29" s="31" t="str">
        <x:f>IFERROR(L29/H29,"")</x:f>
      </x:c>
      <x:c r="N29" s="30"/>
      <x:c r="O29" s="32"/>
      <x:c r="P29" s="32" t="str">
        <x:f>IF(OR(I29="",O29=""),"",I29*O29)</x:f>
      </x:c>
      <x:c r="Q29" s="32" t="str">
        <x:f>IF(P29="","",P29-H29)</x:f>
      </x:c>
      <x:c r="R29" s="29"/>
    </x:row>
    <x:row r="30">
      <x:c r="A30" s="27"/>
      <x:c r="B30" s="27"/>
      <x:c r="C30" s="27"/>
      <x:c r="D30" s="27"/>
      <x:c r="E30" s="27"/>
      <x:c r="F30" s="30"/>
      <x:c r="G30" s="32"/>
      <x:c r="H30" s="32"/>
      <x:c r="I30" s="27" t="str">
        <x:f>IFERROR(H30/G30,"")</x:f>
      </x:c>
      <x:c r="J30" s="32"/>
      <x:c r="K30" s="32" t="str">
        <x:f>IF(OR(I30="",J30=""),"",I30*J30)</x:f>
      </x:c>
      <x:c r="L30" s="32" t="str">
        <x:f>IF(K30="","",K30-H30)</x:f>
      </x:c>
      <x:c r="M30" s="31" t="str">
        <x:f>IFERROR(L30/H30,"")</x:f>
      </x:c>
      <x:c r="N30" s="30"/>
      <x:c r="O30" s="32"/>
      <x:c r="P30" s="32" t="str">
        <x:f>IF(OR(I30="",O30=""),"",I30*O30)</x:f>
      </x:c>
      <x:c r="Q30" s="32" t="str">
        <x:f>IF(P30="","",P30-H30)</x:f>
      </x:c>
      <x:c r="R30" s="29"/>
    </x:row>
    <x:row r="31">
      <x:c r="A31" s="27"/>
      <x:c r="B31" s="27"/>
      <x:c r="C31" s="27"/>
      <x:c r="D31" s="27"/>
      <x:c r="E31" s="27"/>
      <x:c r="F31" s="30"/>
      <x:c r="G31" s="32"/>
      <x:c r="H31" s="32"/>
      <x:c r="I31" s="27" t="str">
        <x:f>IFERROR(H31/G31,"")</x:f>
      </x:c>
      <x:c r="J31" s="32"/>
      <x:c r="K31" s="32" t="str">
        <x:f>IF(OR(I31="",J31=""),"",I31*J31)</x:f>
      </x:c>
      <x:c r="L31" s="32" t="str">
        <x:f>IF(K31="","",K31-H31)</x:f>
      </x:c>
      <x:c r="M31" s="31" t="str">
        <x:f>IFERROR(L31/H31,"")</x:f>
      </x:c>
      <x:c r="N31" s="30"/>
      <x:c r="O31" s="32"/>
      <x:c r="P31" s="32" t="str">
        <x:f>IF(OR(I31="",O31=""),"",I31*O31)</x:f>
      </x:c>
      <x:c r="Q31" s="32" t="str">
        <x:f>IF(P31="","",P31-H31)</x:f>
      </x:c>
      <x:c r="R31" s="29"/>
    </x:row>
    <x:row r="32">
      <x:c r="A32" s="27"/>
      <x:c r="B32" s="27"/>
      <x:c r="C32" s="27"/>
      <x:c r="D32" s="27"/>
      <x:c r="E32" s="27"/>
      <x:c r="F32" s="30"/>
      <x:c r="G32" s="32"/>
      <x:c r="H32" s="32"/>
      <x:c r="I32" s="27" t="str">
        <x:f>IFERROR(H32/G32,"")</x:f>
      </x:c>
      <x:c r="J32" s="32"/>
      <x:c r="K32" s="32" t="str">
        <x:f>IF(OR(I32="",J32=""),"",I32*J32)</x:f>
      </x:c>
      <x:c r="L32" s="32" t="str">
        <x:f>IF(K32="","",K32-H32)</x:f>
      </x:c>
      <x:c r="M32" s="31" t="str">
        <x:f>IFERROR(L32/H32,"")</x:f>
      </x:c>
      <x:c r="N32" s="30"/>
      <x:c r="O32" s="32"/>
      <x:c r="P32" s="32" t="str">
        <x:f>IF(OR(I32="",O32=""),"",I32*O32)</x:f>
      </x:c>
      <x:c r="Q32" s="32" t="str">
        <x:f>IF(P32="","",P32-H32)</x:f>
      </x:c>
      <x:c r="R32" s="29"/>
    </x:row>
    <x:row r="33">
      <x:c r="A33" s="27"/>
      <x:c r="B33" s="27"/>
      <x:c r="C33" s="27"/>
      <x:c r="D33" s="27"/>
      <x:c r="E33" s="27"/>
      <x:c r="F33" s="30"/>
      <x:c r="G33" s="32"/>
      <x:c r="H33" s="32"/>
      <x:c r="I33" s="27" t="str">
        <x:f>IFERROR(H33/G33,"")</x:f>
      </x:c>
      <x:c r="J33" s="32"/>
      <x:c r="K33" s="32" t="str">
        <x:f>IF(OR(I33="",J33=""),"",I33*J33)</x:f>
      </x:c>
      <x:c r="L33" s="32" t="str">
        <x:f>IF(K33="","",K33-H33)</x:f>
      </x:c>
      <x:c r="M33" s="31" t="str">
        <x:f>IFERROR(L33/H33,"")</x:f>
      </x:c>
      <x:c r="N33" s="30"/>
      <x:c r="O33" s="32"/>
      <x:c r="P33" s="32" t="str">
        <x:f>IF(OR(I33="",O33=""),"",I33*O33)</x:f>
      </x:c>
      <x:c r="Q33" s="32" t="str">
        <x:f>IF(P33="","",P33-H33)</x:f>
      </x:c>
      <x:c r="R33" s="29"/>
    </x:row>
    <x:row r="34">
      <x:c r="A34" s="27"/>
      <x:c r="B34" s="27"/>
      <x:c r="C34" s="27"/>
      <x:c r="D34" s="27"/>
      <x:c r="E34" s="27"/>
      <x:c r="F34" s="30"/>
      <x:c r="G34" s="32"/>
      <x:c r="H34" s="32"/>
      <x:c r="I34" s="27" t="str">
        <x:f>IFERROR(H34/G34,"")</x:f>
      </x:c>
      <x:c r="J34" s="32"/>
      <x:c r="K34" s="32" t="str">
        <x:f>IF(OR(I34="",J34=""),"",I34*J34)</x:f>
      </x:c>
      <x:c r="L34" s="32" t="str">
        <x:f>IF(K34="","",K34-H34)</x:f>
      </x:c>
      <x:c r="M34" s="31" t="str">
        <x:f>IFERROR(L34/H34,"")</x:f>
      </x:c>
      <x:c r="N34" s="30"/>
      <x:c r="O34" s="32"/>
      <x:c r="P34" s="32" t="str">
        <x:f>IF(OR(I34="",O34=""),"",I34*O34)</x:f>
      </x:c>
      <x:c r="Q34" s="32" t="str">
        <x:f>IF(P34="","",P34-H34)</x:f>
      </x:c>
      <x:c r="R34" s="29"/>
    </x:row>
    <x:row r="35">
      <x:c r="A35" s="27"/>
      <x:c r="B35" s="27"/>
      <x:c r="C35" s="27"/>
      <x:c r="D35" s="27"/>
      <x:c r="E35" s="27"/>
      <x:c r="F35" s="30"/>
      <x:c r="G35" s="32"/>
      <x:c r="H35" s="32"/>
      <x:c r="I35" s="27" t="str">
        <x:f>IFERROR(H35/G35,"")</x:f>
      </x:c>
      <x:c r="J35" s="32"/>
      <x:c r="K35" s="32" t="str">
        <x:f>IF(OR(I35="",J35=""),"",I35*J35)</x:f>
      </x:c>
      <x:c r="L35" s="32" t="str">
        <x:f>IF(K35="","",K35-H35)</x:f>
      </x:c>
      <x:c r="M35" s="31" t="str">
        <x:f>IFERROR(L35/H35,"")</x:f>
      </x:c>
      <x:c r="N35" s="30"/>
      <x:c r="O35" s="32"/>
      <x:c r="P35" s="32" t="str">
        <x:f>IF(OR(I35="",O35=""),"",I35*O35)</x:f>
      </x:c>
      <x:c r="Q35" s="32" t="str">
        <x:f>IF(P35="","",P35-H35)</x:f>
      </x:c>
      <x:c r="R35" s="29"/>
    </x:row>
    <x:row r="36">
      <x:c r="A36" s="27"/>
      <x:c r="B36" s="27"/>
      <x:c r="C36" s="27"/>
      <x:c r="D36" s="27"/>
      <x:c r="E36" s="27"/>
      <x:c r="F36" s="30"/>
      <x:c r="G36" s="32"/>
      <x:c r="H36" s="32"/>
      <x:c r="I36" s="27" t="str">
        <x:f>IFERROR(H36/G36,"")</x:f>
      </x:c>
      <x:c r="J36" s="32"/>
      <x:c r="K36" s="32" t="str">
        <x:f>IF(OR(I36="",J36=""),"",I36*J36)</x:f>
      </x:c>
      <x:c r="L36" s="32" t="str">
        <x:f>IF(K36="","",K36-H36)</x:f>
      </x:c>
      <x:c r="M36" s="31" t="str">
        <x:f>IFERROR(L36/H36,"")</x:f>
      </x:c>
      <x:c r="N36" s="30"/>
      <x:c r="O36" s="32"/>
      <x:c r="P36" s="32" t="str">
        <x:f>IF(OR(I36="",O36=""),"",I36*O36)</x:f>
      </x:c>
      <x:c r="Q36" s="32" t="str">
        <x:f>IF(P36="","",P36-H36)</x:f>
      </x:c>
      <x:c r="R36" s="29"/>
    </x:row>
    <x:row r="37">
      <x:c r="A37" s="27"/>
      <x:c r="B37" s="27"/>
      <x:c r="C37" s="27"/>
      <x:c r="D37" s="27"/>
      <x:c r="E37" s="27"/>
      <x:c r="F37" s="30"/>
      <x:c r="G37" s="32"/>
      <x:c r="H37" s="32"/>
      <x:c r="I37" s="27" t="str">
        <x:f>IFERROR(H37/G37,"")</x:f>
      </x:c>
      <x:c r="J37" s="32"/>
      <x:c r="K37" s="32" t="str">
        <x:f>IF(OR(I37="",J37=""),"",I37*J37)</x:f>
      </x:c>
      <x:c r="L37" s="32" t="str">
        <x:f>IF(K37="","",K37-H37)</x:f>
      </x:c>
      <x:c r="M37" s="31" t="str">
        <x:f>IFERROR(L37/H37,"")</x:f>
      </x:c>
      <x:c r="N37" s="30"/>
      <x:c r="O37" s="32"/>
      <x:c r="P37" s="32" t="str">
        <x:f>IF(OR(I37="",O37=""),"",I37*O37)</x:f>
      </x:c>
      <x:c r="Q37" s="32" t="str">
        <x:f>IF(P37="","",P37-H37)</x:f>
      </x:c>
      <x:c r="R37" s="29"/>
    </x:row>
    <x:row r="38">
      <x:c r="A38" s="27"/>
      <x:c r="B38" s="27"/>
      <x:c r="C38" s="27"/>
      <x:c r="D38" s="27"/>
      <x:c r="E38" s="27"/>
      <x:c r="F38" s="30"/>
      <x:c r="G38" s="32"/>
      <x:c r="H38" s="32"/>
      <x:c r="I38" s="27" t="str">
        <x:f>IFERROR(H38/G38,"")</x:f>
      </x:c>
      <x:c r="J38" s="32"/>
      <x:c r="K38" s="32" t="str">
        <x:f>IF(OR(I38="",J38=""),"",I38*J38)</x:f>
      </x:c>
      <x:c r="L38" s="32" t="str">
        <x:f>IF(K38="","",K38-H38)</x:f>
      </x:c>
      <x:c r="M38" s="31" t="str">
        <x:f>IFERROR(L38/H38,"")</x:f>
      </x:c>
      <x:c r="N38" s="30"/>
      <x:c r="O38" s="32"/>
      <x:c r="P38" s="32" t="str">
        <x:f>IF(OR(I38="",O38=""),"",I38*O38)</x:f>
      </x:c>
      <x:c r="Q38" s="32" t="str">
        <x:f>IF(P38="","",P38-H38)</x:f>
      </x:c>
      <x:c r="R38" s="29"/>
    </x:row>
    <x:row r="39">
      <x:c r="A39" s="27"/>
      <x:c r="B39" s="27"/>
      <x:c r="C39" s="27"/>
      <x:c r="D39" s="27"/>
      <x:c r="E39" s="27"/>
      <x:c r="F39" s="30"/>
      <x:c r="G39" s="32"/>
      <x:c r="H39" s="32"/>
      <x:c r="I39" s="27" t="str">
        <x:f>IFERROR(H39/G39,"")</x:f>
      </x:c>
      <x:c r="J39" s="32"/>
      <x:c r="K39" s="32" t="str">
        <x:f>IF(OR(I39="",J39=""),"",I39*J39)</x:f>
      </x:c>
      <x:c r="L39" s="32" t="str">
        <x:f>IF(K39="","",K39-H39)</x:f>
      </x:c>
      <x:c r="M39" s="31" t="str">
        <x:f>IFERROR(L39/H39,"")</x:f>
      </x:c>
      <x:c r="N39" s="30"/>
      <x:c r="O39" s="32"/>
      <x:c r="P39" s="32" t="str">
        <x:f>IF(OR(I39="",O39=""),"",I39*O39)</x:f>
      </x:c>
      <x:c r="Q39" s="32" t="str">
        <x:f>IF(P39="","",P39-H39)</x:f>
      </x:c>
      <x:c r="R39" s="29"/>
    </x:row>
    <x:row r="40">
      <x:c r="A40" s="27"/>
      <x:c r="B40" s="27"/>
      <x:c r="C40" s="27"/>
      <x:c r="D40" s="27"/>
      <x:c r="E40" s="27"/>
      <x:c r="F40" s="30"/>
      <x:c r="G40" s="32"/>
      <x:c r="H40" s="32"/>
      <x:c r="I40" s="27" t="str">
        <x:f>IFERROR(H40/G40,"")</x:f>
      </x:c>
      <x:c r="J40" s="32"/>
      <x:c r="K40" s="32" t="str">
        <x:f>IF(OR(I40="",J40=""),"",I40*J40)</x:f>
      </x:c>
      <x:c r="L40" s="32" t="str">
        <x:f>IF(K40="","",K40-H40)</x:f>
      </x:c>
      <x:c r="M40" s="31" t="str">
        <x:f>IFERROR(L40/H40,"")</x:f>
      </x:c>
      <x:c r="N40" s="30"/>
      <x:c r="O40" s="32"/>
      <x:c r="P40" s="32" t="str">
        <x:f>IF(OR(I40="",O40=""),"",I40*O40)</x:f>
      </x:c>
      <x:c r="Q40" s="32" t="str">
        <x:f>IF(P40="","",P40-H40)</x:f>
      </x:c>
      <x:c r="R40" s="29"/>
    </x:row>
    <x:row r="41">
      <x:c r="A41" s="27"/>
      <x:c r="B41" s="27"/>
      <x:c r="C41" s="27"/>
      <x:c r="D41" s="27"/>
      <x:c r="E41" s="27"/>
      <x:c r="F41" s="30"/>
      <x:c r="G41" s="32"/>
      <x:c r="H41" s="32"/>
      <x:c r="I41" s="27" t="str">
        <x:f>IFERROR(H41/G41,"")</x:f>
      </x:c>
      <x:c r="J41" s="32"/>
      <x:c r="K41" s="32" t="str">
        <x:f>IF(OR(I41="",J41=""),"",I41*J41)</x:f>
      </x:c>
      <x:c r="L41" s="32" t="str">
        <x:f>IF(K41="","",K41-H41)</x:f>
      </x:c>
      <x:c r="M41" s="31" t="str">
        <x:f>IFERROR(L41/H41,"")</x:f>
      </x:c>
      <x:c r="N41" s="30"/>
      <x:c r="O41" s="32"/>
      <x:c r="P41" s="32" t="str">
        <x:f>IF(OR(I41="",O41=""),"",I41*O41)</x:f>
      </x:c>
      <x:c r="Q41" s="32" t="str">
        <x:f>IF(P41="","",P41-H41)</x:f>
      </x:c>
      <x:c r="R41" s="29"/>
    </x:row>
    <x:row r="42">
      <x:c r="A42" s="27"/>
      <x:c r="B42" s="27"/>
      <x:c r="C42" s="27"/>
      <x:c r="D42" s="27"/>
      <x:c r="E42" s="27"/>
      <x:c r="F42" s="30"/>
      <x:c r="G42" s="32"/>
      <x:c r="H42" s="32"/>
      <x:c r="I42" s="27" t="str">
        <x:f>IFERROR(H42/G42,"")</x:f>
      </x:c>
      <x:c r="J42" s="32"/>
      <x:c r="K42" s="32" t="str">
        <x:f>IF(OR(I42="",J42=""),"",I42*J42)</x:f>
      </x:c>
      <x:c r="L42" s="32" t="str">
        <x:f>IF(K42="","",K42-H42)</x:f>
      </x:c>
      <x:c r="M42" s="31" t="str">
        <x:f>IFERROR(L42/H42,"")</x:f>
      </x:c>
      <x:c r="N42" s="30"/>
      <x:c r="O42" s="32"/>
      <x:c r="P42" s="32" t="str">
        <x:f>IF(OR(I42="",O42=""),"",I42*O42)</x:f>
      </x:c>
      <x:c r="Q42" s="32" t="str">
        <x:f>IF(P42="","",P42-H42)</x:f>
      </x:c>
      <x:c r="R42" s="29"/>
    </x:row>
    <x:row r="43">
      <x:c r="A43" s="27"/>
      <x:c r="B43" s="27"/>
      <x:c r="C43" s="27"/>
      <x:c r="D43" s="27"/>
      <x:c r="E43" s="27"/>
      <x:c r="F43" s="30"/>
      <x:c r="G43" s="32"/>
      <x:c r="H43" s="32"/>
      <x:c r="I43" s="27" t="str">
        <x:f>IFERROR(H43/G43,"")</x:f>
      </x:c>
      <x:c r="J43" s="32"/>
      <x:c r="K43" s="32" t="str">
        <x:f>IF(OR(I43="",J43=""),"",I43*J43)</x:f>
      </x:c>
      <x:c r="L43" s="32" t="str">
        <x:f>IF(K43="","",K43-H43)</x:f>
      </x:c>
      <x:c r="M43" s="31" t="str">
        <x:f>IFERROR(L43/H43,"")</x:f>
      </x:c>
      <x:c r="N43" s="30"/>
      <x:c r="O43" s="32"/>
      <x:c r="P43" s="32" t="str">
        <x:f>IF(OR(I43="",O43=""),"",I43*O43)</x:f>
      </x:c>
      <x:c r="Q43" s="32" t="str">
        <x:f>IF(P43="","",P43-H43)</x:f>
      </x:c>
      <x:c r="R43" s="29"/>
    </x:row>
    <x:row r="44">
      <x:c r="A44" s="27"/>
      <x:c r="B44" s="27"/>
      <x:c r="C44" s="27"/>
      <x:c r="D44" s="27"/>
      <x:c r="E44" s="27"/>
      <x:c r="F44" s="30"/>
      <x:c r="G44" s="32"/>
      <x:c r="H44" s="32"/>
      <x:c r="I44" s="27" t="str">
        <x:f>IFERROR(H44/G44,"")</x:f>
      </x:c>
      <x:c r="J44" s="32"/>
      <x:c r="K44" s="32" t="str">
        <x:f>IF(OR(I44="",J44=""),"",I44*J44)</x:f>
      </x:c>
      <x:c r="L44" s="32" t="str">
        <x:f>IF(K44="","",K44-H44)</x:f>
      </x:c>
      <x:c r="M44" s="31" t="str">
        <x:f>IFERROR(L44/H44,"")</x:f>
      </x:c>
      <x:c r="N44" s="30"/>
      <x:c r="O44" s="32"/>
      <x:c r="P44" s="32" t="str">
        <x:f>IF(OR(I44="",O44=""),"",I44*O44)</x:f>
      </x:c>
      <x:c r="Q44" s="32" t="str">
        <x:f>IF(P44="","",P44-H44)</x:f>
      </x:c>
      <x:c r="R44" s="29"/>
    </x:row>
    <x:row r="45">
      <x:c r="A45" s="27"/>
      <x:c r="B45" s="27"/>
      <x:c r="C45" s="27"/>
      <x:c r="D45" s="27"/>
      <x:c r="E45" s="27"/>
      <x:c r="F45" s="30"/>
      <x:c r="G45" s="32"/>
      <x:c r="H45" s="32"/>
      <x:c r="I45" s="27" t="str">
        <x:f>IFERROR(H45/G45,"")</x:f>
      </x:c>
      <x:c r="J45" s="32"/>
      <x:c r="K45" s="32" t="str">
        <x:f>IF(OR(I45="",J45=""),"",I45*J45)</x:f>
      </x:c>
      <x:c r="L45" s="32" t="str">
        <x:f>IF(K45="","",K45-H45)</x:f>
      </x:c>
      <x:c r="M45" s="31" t="str">
        <x:f>IFERROR(L45/H45,"")</x:f>
      </x:c>
      <x:c r="N45" s="30"/>
      <x:c r="O45" s="32"/>
      <x:c r="P45" s="32" t="str">
        <x:f>IF(OR(I45="",O45=""),"",I45*O45)</x:f>
      </x:c>
      <x:c r="Q45" s="32" t="str">
        <x:f>IF(P45="","",P45-H45)</x:f>
      </x:c>
      <x:c r="R45" s="29"/>
    </x:row>
    <x:row r="46">
      <x:c r="A46" s="27"/>
      <x:c r="B46" s="27"/>
      <x:c r="C46" s="27"/>
      <x:c r="D46" s="27"/>
      <x:c r="E46" s="27"/>
      <x:c r="F46" s="30"/>
      <x:c r="G46" s="32"/>
      <x:c r="H46" s="32"/>
      <x:c r="I46" s="27" t="str">
        <x:f>IFERROR(H46/G46,"")</x:f>
      </x:c>
      <x:c r="J46" s="32"/>
      <x:c r="K46" s="32" t="str">
        <x:f>IF(OR(I46="",J46=""),"",I46*J46)</x:f>
      </x:c>
      <x:c r="L46" s="32" t="str">
        <x:f>IF(K46="","",K46-H46)</x:f>
      </x:c>
      <x:c r="M46" s="31" t="str">
        <x:f>IFERROR(L46/H46,"")</x:f>
      </x:c>
      <x:c r="N46" s="30"/>
      <x:c r="O46" s="32"/>
      <x:c r="P46" s="32" t="str">
        <x:f>IF(OR(I46="",O46=""),"",I46*O46)</x:f>
      </x:c>
      <x:c r="Q46" s="32" t="str">
        <x:f>IF(P46="","",P46-H46)</x:f>
      </x:c>
      <x:c r="R46" s="29"/>
    </x:row>
    <x:row r="47">
      <x:c r="A47" s="27"/>
      <x:c r="B47" s="27"/>
      <x:c r="C47" s="27"/>
      <x:c r="D47" s="27"/>
      <x:c r="E47" s="27"/>
      <x:c r="F47" s="30"/>
      <x:c r="G47" s="32"/>
      <x:c r="H47" s="32"/>
      <x:c r="I47" s="27" t="str">
        <x:f>IFERROR(H47/G47,"")</x:f>
      </x:c>
      <x:c r="J47" s="32"/>
      <x:c r="K47" s="32" t="str">
        <x:f>IF(OR(I47="",J47=""),"",I47*J47)</x:f>
      </x:c>
      <x:c r="L47" s="32" t="str">
        <x:f>IF(K47="","",K47-H47)</x:f>
      </x:c>
      <x:c r="M47" s="31" t="str">
        <x:f>IFERROR(L47/H47,"")</x:f>
      </x:c>
      <x:c r="N47" s="30"/>
      <x:c r="O47" s="32"/>
      <x:c r="P47" s="32" t="str">
        <x:f>IF(OR(I47="",O47=""),"",I47*O47)</x:f>
      </x:c>
      <x:c r="Q47" s="32" t="str">
        <x:f>IF(P47="","",P47-H47)</x:f>
      </x:c>
      <x:c r="R47" s="29"/>
    </x:row>
    <x:row r="48">
      <x:c r="A48" s="27"/>
      <x:c r="B48" s="27"/>
      <x:c r="C48" s="27"/>
      <x:c r="D48" s="27"/>
      <x:c r="E48" s="27"/>
      <x:c r="F48" s="30"/>
      <x:c r="G48" s="32"/>
      <x:c r="H48" s="32"/>
      <x:c r="I48" s="27" t="str">
        <x:f>IFERROR(H48/G48,"")</x:f>
      </x:c>
      <x:c r="J48" s="32"/>
      <x:c r="K48" s="32" t="str">
        <x:f>IF(OR(I48="",J48=""),"",I48*J48)</x:f>
      </x:c>
      <x:c r="L48" s="32" t="str">
        <x:f>IF(K48="","",K48-H48)</x:f>
      </x:c>
      <x:c r="M48" s="31" t="str">
        <x:f>IFERROR(L48/H48,"")</x:f>
      </x:c>
      <x:c r="N48" s="30"/>
      <x:c r="O48" s="32"/>
      <x:c r="P48" s="32" t="str">
        <x:f>IF(OR(I48="",O48=""),"",I48*O48)</x:f>
      </x:c>
      <x:c r="Q48" s="32" t="str">
        <x:f>IF(P48="","",P48-H48)</x:f>
      </x:c>
      <x:c r="R48" s="29"/>
    </x:row>
    <x:row r="49">
      <x:c r="A49" s="27"/>
      <x:c r="B49" s="27"/>
      <x:c r="C49" s="27"/>
      <x:c r="D49" s="27"/>
      <x:c r="E49" s="27"/>
      <x:c r="F49" s="30"/>
      <x:c r="G49" s="32"/>
      <x:c r="H49" s="32"/>
      <x:c r="I49" s="27" t="str">
        <x:f>IFERROR(H49/G49,"")</x:f>
      </x:c>
      <x:c r="J49" s="32"/>
      <x:c r="K49" s="32" t="str">
        <x:f>IF(OR(I49="",J49=""),"",I49*J49)</x:f>
      </x:c>
      <x:c r="L49" s="32" t="str">
        <x:f>IF(K49="","",K49-H49)</x:f>
      </x:c>
      <x:c r="M49" s="31" t="str">
        <x:f>IFERROR(L49/H49,"")</x:f>
      </x:c>
      <x:c r="N49" s="30"/>
      <x:c r="O49" s="32"/>
      <x:c r="P49" s="32" t="str">
        <x:f>IF(OR(I49="",O49=""),"",I49*O49)</x:f>
      </x:c>
      <x:c r="Q49" s="32" t="str">
        <x:f>IF(P49="","",P49-H49)</x:f>
      </x:c>
      <x:c r="R49" s="29"/>
    </x:row>
    <x:row r="50">
      <x:c r="A50" s="27"/>
      <x:c r="B50" s="27"/>
      <x:c r="C50" s="27"/>
      <x:c r="D50" s="27"/>
      <x:c r="E50" s="27"/>
      <x:c r="F50" s="30"/>
      <x:c r="G50" s="32"/>
      <x:c r="H50" s="32"/>
      <x:c r="I50" s="27" t="str">
        <x:f>IFERROR(H50/G50,"")</x:f>
      </x:c>
      <x:c r="J50" s="32"/>
      <x:c r="K50" s="32" t="str">
        <x:f>IF(OR(I50="",J50=""),"",I50*J50)</x:f>
      </x:c>
      <x:c r="L50" s="32" t="str">
        <x:f>IF(K50="","",K50-H50)</x:f>
      </x:c>
      <x:c r="M50" s="31" t="str">
        <x:f>IFERROR(L50/H50,"")</x:f>
      </x:c>
      <x:c r="N50" s="30"/>
      <x:c r="O50" s="32"/>
      <x:c r="P50" s="32" t="str">
        <x:f>IF(OR(I50="",O50=""),"",I50*O50)</x:f>
      </x:c>
      <x:c r="Q50" s="32" t="str">
        <x:f>IF(P50="","",P50-H50)</x:f>
      </x:c>
      <x:c r="R50" s="29"/>
    </x:row>
    <x:row r="51">
      <x:c r="F51" s="18"/>
      <x:c r="G51" s="23"/>
      <x:c r="H51" s="23"/>
      <x:c r="I51" t="str">
        <x:f>IFERROR(H51/G51,"")</x:f>
      </x:c>
      <x:c r="J51" s="23"/>
      <x:c r="K51" s="23" t="str">
        <x:f>IF(OR(I51="",J51=""),"",I51*J51)</x:f>
      </x:c>
      <x:c r="L51" s="23" t="str">
        <x:f>IF(K51="","",K51-H51)</x:f>
      </x:c>
      <x:c r="M51" s="19" t="str">
        <x:f>IFERROR(L51/H51,"")</x:f>
      </x:c>
      <x:c r="N51" s="18"/>
      <x:c r="O51" s="23"/>
      <x:c r="P51" s="23" t="str">
        <x:f>IF(OR(I51="",O51=""),"",I51*O51)</x:f>
      </x:c>
      <x:c r="Q51" s="23" t="str">
        <x:f>IF(P51="","",P51-H51)</x:f>
      </x:c>
      <x:c r="R51" s="44"/>
    </x:row>
    <x:row r="52">
      <x:c r="F52" s="18"/>
      <x:c r="G52" s="23"/>
      <x:c r="H52" s="23"/>
      <x:c r="I52" t="str">
        <x:f>IFERROR(H52/G52,"")</x:f>
      </x:c>
      <x:c r="J52" s="23"/>
      <x:c r="K52" s="23" t="str">
        <x:f>IF(OR(I52="",J52=""),"",I52*J52)</x:f>
      </x:c>
      <x:c r="L52" s="23" t="str">
        <x:f>IF(K52="","",K52-H52)</x:f>
      </x:c>
      <x:c r="M52" s="19" t="str">
        <x:f>IFERROR(L52/H52,"")</x:f>
      </x:c>
      <x:c r="N52" s="18"/>
      <x:c r="O52" s="23"/>
      <x:c r="P52" s="23" t="str">
        <x:f>IF(OR(I52="",O52=""),"",I52*O52)</x:f>
      </x:c>
      <x:c r="Q52" s="23" t="str">
        <x:f>IF(P52="","",P52-H52)</x:f>
      </x:c>
      <x:c r="R52" s="44"/>
    </x:row>
    <x:row r="53">
      <x:c r="F53" s="18"/>
      <x:c r="G53" s="23"/>
      <x:c r="H53" s="23"/>
      <x:c r="I53" t="str">
        <x:f>IFERROR(H53/G53,"")</x:f>
      </x:c>
      <x:c r="J53" s="23"/>
      <x:c r="K53" s="23" t="str">
        <x:f>IF(OR(I53="",J53=""),"",I53*J53)</x:f>
      </x:c>
      <x:c r="L53" s="23" t="str">
        <x:f>IF(K53="","",K53-H53)</x:f>
      </x:c>
      <x:c r="M53" s="19" t="str">
        <x:f>IFERROR(L53/H53,"")</x:f>
      </x:c>
      <x:c r="N53" s="18"/>
      <x:c r="O53" s="23"/>
      <x:c r="P53" s="23" t="str">
        <x:f>IF(OR(I53="",O53=""),"",I53*O53)</x:f>
      </x:c>
      <x:c r="Q53" s="23" t="str">
        <x:f>IF(P53="","",P53-H53)</x:f>
      </x:c>
      <x:c r="R53" s="44"/>
    </x:row>
    <x:row r="54">
      <x:c r="F54" s="18"/>
      <x:c r="G54" s="23"/>
      <x:c r="H54" s="23"/>
      <x:c r="I54" t="str">
        <x:f>IFERROR(H54/G54,"")</x:f>
      </x:c>
      <x:c r="J54" s="23"/>
      <x:c r="K54" s="23" t="str">
        <x:f>IF(OR(I54="",J54=""),"",I54*J54)</x:f>
      </x:c>
      <x:c r="L54" s="23" t="str">
        <x:f>IF(K54="","",K54-H54)</x:f>
      </x:c>
      <x:c r="M54" s="19" t="str">
        <x:f>IFERROR(L54/H54,"")</x:f>
      </x:c>
      <x:c r="N54" s="18"/>
      <x:c r="O54" s="23"/>
      <x:c r="P54" s="23" t="str">
        <x:f>IF(OR(I54="",O54=""),"",I54*O54)</x:f>
      </x:c>
      <x:c r="Q54" s="23" t="str">
        <x:f>IF(P54="","",P54-H54)</x:f>
      </x:c>
      <x:c r="R54" s="44"/>
    </x:row>
    <x:row r="55">
      <x:c r="F55" s="18"/>
      <x:c r="G55" s="23"/>
      <x:c r="H55" s="23"/>
      <x:c r="I55" t="str">
        <x:f>IFERROR(H55/G55,"")</x:f>
      </x:c>
      <x:c r="J55" s="23"/>
      <x:c r="K55" s="23" t="str">
        <x:f>IF(OR(I55="",J55=""),"",I55*J55)</x:f>
      </x:c>
      <x:c r="L55" s="23" t="str">
        <x:f>IF(K55="","",K55-H55)</x:f>
      </x:c>
      <x:c r="M55" s="19" t="str">
        <x:f>IFERROR(L55/H55,"")</x:f>
      </x:c>
      <x:c r="N55" s="18"/>
      <x:c r="O55" s="23"/>
      <x:c r="P55" s="23" t="str">
        <x:f>IF(OR(I55="",O55=""),"",I55*O55)</x:f>
      </x:c>
      <x:c r="Q55" s="23" t="str">
        <x:f>IF(P55="","",P55-H55)</x:f>
      </x:c>
      <x:c r="R55" s="44"/>
    </x:row>
    <x:row r="56">
      <x:c r="F56" s="18"/>
      <x:c r="G56" s="23"/>
      <x:c r="H56" s="23"/>
      <x:c r="I56" t="str">
        <x:f>IFERROR(H56/G56,"")</x:f>
      </x:c>
      <x:c r="J56" s="23"/>
      <x:c r="K56" s="23" t="str">
        <x:f>IF(OR(I56="",J56=""),"",I56*J56)</x:f>
      </x:c>
      <x:c r="L56" s="23" t="str">
        <x:f>IF(K56="","",K56-H56)</x:f>
      </x:c>
      <x:c r="M56" s="19" t="str">
        <x:f>IFERROR(L56/H56,"")</x:f>
      </x:c>
      <x:c r="N56" s="18"/>
      <x:c r="O56" s="23"/>
      <x:c r="P56" s="23" t="str">
        <x:f>IF(OR(I56="",O56=""),"",I56*O56)</x:f>
      </x:c>
      <x:c r="Q56" s="23" t="str">
        <x:f>IF(P56="","",P56-H56)</x:f>
      </x:c>
      <x:c r="R56" s="44"/>
    </x:row>
    <x:row r="57">
      <x:c r="F57" s="18"/>
      <x:c r="G57" s="23"/>
      <x:c r="H57" s="23"/>
      <x:c r="I57" t="str">
        <x:f>IFERROR(H57/G57,"")</x:f>
      </x:c>
      <x:c r="J57" s="23"/>
      <x:c r="K57" s="23" t="str">
        <x:f>IF(OR(I57="",J57=""),"",I57*J57)</x:f>
      </x:c>
      <x:c r="L57" s="23" t="str">
        <x:f>IF(K57="","",K57-H57)</x:f>
      </x:c>
      <x:c r="M57" s="19" t="str">
        <x:f>IFERROR(L57/H57,"")</x:f>
      </x:c>
      <x:c r="N57" s="18"/>
      <x:c r="O57" s="23"/>
      <x:c r="P57" s="23" t="str">
        <x:f>IF(OR(I57="",O57=""),"",I57*O57)</x:f>
      </x:c>
      <x:c r="Q57" s="23" t="str">
        <x:f>IF(P57="","",P57-H57)</x:f>
      </x:c>
      <x:c r="R57" s="44"/>
    </x:row>
    <x:row r="58">
      <x:c r="F58" s="18"/>
      <x:c r="G58" s="23"/>
      <x:c r="H58" s="23"/>
      <x:c r="I58" t="str">
        <x:f>IFERROR(H58/G58,"")</x:f>
      </x:c>
      <x:c r="J58" s="23"/>
      <x:c r="K58" s="23" t="str">
        <x:f>IF(OR(I58="",J58=""),"",I58*J58)</x:f>
      </x:c>
      <x:c r="L58" s="23" t="str">
        <x:f>IF(K58="","",K58-H58)</x:f>
      </x:c>
      <x:c r="M58" s="19" t="str">
        <x:f>IFERROR(L58/H58,"")</x:f>
      </x:c>
      <x:c r="N58" s="18"/>
      <x:c r="O58" s="23"/>
      <x:c r="P58" s="23" t="str">
        <x:f>IF(OR(I58="",O58=""),"",I58*O58)</x:f>
      </x:c>
      <x:c r="Q58" s="23" t="str">
        <x:f>IF(P58="","",P58-H58)</x:f>
      </x:c>
      <x:c r="R58" s="44"/>
    </x:row>
    <x:row r="59">
      <x:c r="F59" s="18"/>
      <x:c r="G59" s="23"/>
      <x:c r="H59" s="23"/>
      <x:c r="I59" t="str">
        <x:f>IFERROR(H59/G59,"")</x:f>
      </x:c>
      <x:c r="J59" s="23"/>
      <x:c r="K59" s="23" t="str">
        <x:f>IF(OR(I59="",J59=""),"",I59*J59)</x:f>
      </x:c>
      <x:c r="L59" s="23" t="str">
        <x:f>IF(K59="","",K59-H59)</x:f>
      </x:c>
      <x:c r="M59" s="19" t="str">
        <x:f>IFERROR(L59/H59,"")</x:f>
      </x:c>
      <x:c r="N59" s="18"/>
      <x:c r="O59" s="23"/>
      <x:c r="P59" s="23" t="str">
        <x:f>IF(OR(I59="",O59=""),"",I59*O59)</x:f>
      </x:c>
      <x:c r="Q59" s="23" t="str">
        <x:f>IF(P59="","",P59-H59)</x:f>
      </x:c>
      <x:c r="R59" s="44"/>
    </x:row>
    <x:row r="60">
      <x:c r="F60" s="18"/>
      <x:c r="G60" s="23"/>
      <x:c r="H60" s="23"/>
      <x:c r="I60" t="str">
        <x:f>IFERROR(H60/G60,"")</x:f>
      </x:c>
      <x:c r="J60" s="23"/>
      <x:c r="K60" s="23" t="str">
        <x:f>IF(OR(I60="",J60=""),"",I60*J60)</x:f>
      </x:c>
      <x:c r="L60" s="23" t="str">
        <x:f>IF(K60="","",K60-H60)</x:f>
      </x:c>
      <x:c r="M60" s="19" t="str">
        <x:f>IFERROR(L60/H60,"")</x:f>
      </x:c>
      <x:c r="N60" s="18"/>
      <x:c r="O60" s="23"/>
      <x:c r="P60" s="23" t="str">
        <x:f>IF(OR(I60="",O60=""),"",I60*O60)</x:f>
      </x:c>
      <x:c r="Q60" s="23" t="str">
        <x:f>IF(P60="","",P60-H60)</x:f>
      </x:c>
      <x:c r="R60" s="44"/>
    </x:row>
    <x:row r="61">
      <x:c r="F61" s="18"/>
      <x:c r="G61" s="23"/>
      <x:c r="H61" s="23"/>
      <x:c r="I61" t="str">
        <x:f>IFERROR(H61/G61,"")</x:f>
      </x:c>
      <x:c r="J61" s="23"/>
      <x:c r="K61" s="23" t="str">
        <x:f>IF(OR(I61="",J61=""),"",I61*J61)</x:f>
      </x:c>
      <x:c r="L61" s="23" t="str">
        <x:f>IF(K61="","",K61-H61)</x:f>
      </x:c>
      <x:c r="M61" s="19" t="str">
        <x:f>IFERROR(L61/H61,"")</x:f>
      </x:c>
      <x:c r="N61" s="18"/>
      <x:c r="O61" s="23"/>
      <x:c r="P61" s="23" t="str">
        <x:f>IF(OR(I61="",O61=""),"",I61*O61)</x:f>
      </x:c>
      <x:c r="Q61" s="23" t="str">
        <x:f>IF(P61="","",P61-H61)</x:f>
      </x:c>
      <x:c r="R61" s="44"/>
    </x:row>
    <x:row r="62">
      <x:c r="F62" s="18"/>
      <x:c r="G62" s="23"/>
      <x:c r="H62" s="23"/>
      <x:c r="I62" t="str">
        <x:f>IFERROR(H62/G62,"")</x:f>
      </x:c>
      <x:c r="J62" s="23"/>
      <x:c r="K62" s="23" t="str">
        <x:f>IF(OR(I62="",J62=""),"",I62*J62)</x:f>
      </x:c>
      <x:c r="L62" s="23" t="str">
        <x:f>IF(K62="","",K62-H62)</x:f>
      </x:c>
      <x:c r="M62" s="19" t="str">
        <x:f>IFERROR(L62/H62,"")</x:f>
      </x:c>
      <x:c r="N62" s="18"/>
      <x:c r="O62" s="23"/>
      <x:c r="P62" s="23" t="str">
        <x:f>IF(OR(I62="",O62=""),"",I62*O62)</x:f>
      </x:c>
      <x:c r="Q62" s="23" t="str">
        <x:f>IF(P62="","",P62-H62)</x:f>
      </x:c>
      <x:c r="R62" s="44"/>
    </x:row>
    <x:row r="63">
      <x:c r="F63" s="18"/>
      <x:c r="G63" s="23"/>
      <x:c r="H63" s="23"/>
      <x:c r="I63" t="str">
        <x:f>IFERROR(H63/G63,"")</x:f>
      </x:c>
      <x:c r="J63" s="23"/>
      <x:c r="K63" s="23" t="str">
        <x:f>IF(OR(I63="",J63=""),"",I63*J63)</x:f>
      </x:c>
      <x:c r="L63" s="23" t="str">
        <x:f>IF(K63="","",K63-H63)</x:f>
      </x:c>
      <x:c r="M63" s="19" t="str">
        <x:f>IFERROR(L63/H63,"")</x:f>
      </x:c>
      <x:c r="N63" s="18"/>
      <x:c r="O63" s="23"/>
      <x:c r="P63" s="23" t="str">
        <x:f>IF(OR(I63="",O63=""),"",I63*O63)</x:f>
      </x:c>
      <x:c r="Q63" s="23" t="str">
        <x:f>IF(P63="","",P63-H63)</x:f>
      </x:c>
      <x:c r="R63" s="44"/>
    </x:row>
    <x:row r="64">
      <x:c r="F64" s="18"/>
      <x:c r="G64" s="23"/>
      <x:c r="H64" s="23"/>
      <x:c r="I64" t="str">
        <x:f>IFERROR(H64/G64,"")</x:f>
      </x:c>
      <x:c r="J64" s="23"/>
      <x:c r="K64" s="23" t="str">
        <x:f>IF(OR(I64="",J64=""),"",I64*J64)</x:f>
      </x:c>
      <x:c r="L64" s="23" t="str">
        <x:f>IF(K64="","",K64-H64)</x:f>
      </x:c>
      <x:c r="M64" s="19" t="str">
        <x:f>IFERROR(L64/H64,"")</x:f>
      </x:c>
      <x:c r="N64" s="18"/>
      <x:c r="O64" s="23"/>
      <x:c r="P64" s="23" t="str">
        <x:f>IF(OR(I64="",O64=""),"",I64*O64)</x:f>
      </x:c>
      <x:c r="Q64" s="23" t="str">
        <x:f>IF(P64="","",P64-H64)</x:f>
      </x:c>
      <x:c r="R64" s="44"/>
    </x:row>
    <x:row r="65">
      <x:c r="F65" s="18"/>
      <x:c r="G65" s="23"/>
      <x:c r="H65" s="23"/>
      <x:c r="I65" t="str">
        <x:f>IFERROR(H65/G65,"")</x:f>
      </x:c>
      <x:c r="J65" s="23"/>
      <x:c r="K65" s="23" t="str">
        <x:f>IF(OR(I65="",J65=""),"",I65*J65)</x:f>
      </x:c>
      <x:c r="L65" s="23" t="str">
        <x:f>IF(K65="","",K65-H65)</x:f>
      </x:c>
      <x:c r="M65" s="19" t="str">
        <x:f>IFERROR(L65/H65,"")</x:f>
      </x:c>
      <x:c r="N65" s="18"/>
      <x:c r="O65" s="23"/>
      <x:c r="P65" s="23" t="str">
        <x:f>IF(OR(I65="",O65=""),"",I65*O65)</x:f>
      </x:c>
      <x:c r="Q65" s="23" t="str">
        <x:f>IF(P65="","",P65-H65)</x:f>
      </x:c>
      <x:c r="R65" s="44"/>
    </x:row>
    <x:row r="66">
      <x:c r="F66" s="18"/>
      <x:c r="G66" s="23"/>
      <x:c r="H66" s="23"/>
      <x:c r="I66" t="str">
        <x:f>IFERROR(H66/G66,"")</x:f>
      </x:c>
      <x:c r="J66" s="23"/>
      <x:c r="K66" s="23" t="str">
        <x:f>IF(OR(I66="",J66=""),"",I66*J66)</x:f>
      </x:c>
      <x:c r="L66" s="23" t="str">
        <x:f>IF(K66="","",K66-H66)</x:f>
      </x:c>
      <x:c r="M66" s="19" t="str">
        <x:f>IFERROR(L66/H66,"")</x:f>
      </x:c>
      <x:c r="N66" s="18"/>
      <x:c r="O66" s="23"/>
      <x:c r="P66" s="23" t="str">
        <x:f>IF(OR(I66="",O66=""),"",I66*O66)</x:f>
      </x:c>
      <x:c r="Q66" s="23" t="str">
        <x:f>IF(P66="","",P66-H66)</x:f>
      </x:c>
      <x:c r="R66" s="44"/>
    </x:row>
    <x:row r="67">
      <x:c r="F67" s="18"/>
      <x:c r="G67" s="23"/>
      <x:c r="H67" s="23"/>
      <x:c r="I67" t="str">
        <x:f>IFERROR(H67/G67,"")</x:f>
      </x:c>
      <x:c r="J67" s="23"/>
      <x:c r="K67" s="23" t="str">
        <x:f>IF(OR(I67="",J67=""),"",I67*J67)</x:f>
      </x:c>
      <x:c r="L67" s="23" t="str">
        <x:f>IF(K67="","",K67-H67)</x:f>
      </x:c>
      <x:c r="M67" s="19" t="str">
        <x:f>IFERROR(L67/H67,"")</x:f>
      </x:c>
      <x:c r="N67" s="18"/>
      <x:c r="O67" s="23"/>
      <x:c r="P67" s="23" t="str">
        <x:f>IF(OR(I67="",O67=""),"",I67*O67)</x:f>
      </x:c>
      <x:c r="Q67" s="23" t="str">
        <x:f>IF(P67="","",P67-H67)</x:f>
      </x:c>
      <x:c r="R67" s="44"/>
    </x:row>
    <x:row r="68">
      <x:c r="F68" s="18"/>
      <x:c r="G68" s="23"/>
      <x:c r="H68" s="23"/>
      <x:c r="I68" t="str">
        <x:f>IFERROR(H68/G68,"")</x:f>
      </x:c>
      <x:c r="J68" s="23"/>
      <x:c r="K68" s="23" t="str">
        <x:f>IF(OR(I68="",J68=""),"",I68*J68)</x:f>
      </x:c>
      <x:c r="L68" s="23" t="str">
        <x:f>IF(K68="","",K68-H68)</x:f>
      </x:c>
      <x:c r="M68" s="19" t="str">
        <x:f>IFERROR(L68/H68,"")</x:f>
      </x:c>
      <x:c r="N68" s="18"/>
      <x:c r="O68" s="23"/>
      <x:c r="P68" s="23" t="str">
        <x:f>IF(OR(I68="",O68=""),"",I68*O68)</x:f>
      </x:c>
      <x:c r="Q68" s="23" t="str">
        <x:f>IF(P68="","",P68-H68)</x:f>
      </x:c>
      <x:c r="R68" s="44"/>
    </x:row>
    <x:row r="69">
      <x:c r="F69" s="18"/>
      <x:c r="G69" s="23"/>
      <x:c r="H69" s="23"/>
      <x:c r="I69" t="str">
        <x:f>IFERROR(H69/G69,"")</x:f>
      </x:c>
      <x:c r="J69" s="23"/>
      <x:c r="K69" s="23" t="str">
        <x:f>IF(OR(I69="",J69=""),"",I69*J69)</x:f>
      </x:c>
      <x:c r="L69" s="23" t="str">
        <x:f>IF(K69="","",K69-H69)</x:f>
      </x:c>
      <x:c r="M69" s="19" t="str">
        <x:f>IFERROR(L69/H69,"")</x:f>
      </x:c>
      <x:c r="N69" s="18"/>
      <x:c r="O69" s="23"/>
      <x:c r="P69" s="23" t="str">
        <x:f>IF(OR(I69="",O69=""),"",I69*O69)</x:f>
      </x:c>
      <x:c r="Q69" s="23" t="str">
        <x:f>IF(P69="","",P69-H69)</x:f>
      </x:c>
      <x:c r="R69" s="44"/>
    </x:row>
    <x:row r="70">
      <x:c r="F70" s="18"/>
      <x:c r="G70" s="23"/>
      <x:c r="H70" s="23"/>
      <x:c r="I70" t="str">
        <x:f>IFERROR(H70/G70,"")</x:f>
      </x:c>
      <x:c r="J70" s="23"/>
      <x:c r="K70" s="23" t="str">
        <x:f>IF(OR(I70="",J70=""),"",I70*J70)</x:f>
      </x:c>
      <x:c r="L70" s="23" t="str">
        <x:f>IF(K70="","",K70-H70)</x:f>
      </x:c>
      <x:c r="M70" s="19" t="str">
        <x:f>IFERROR(L70/H70,"")</x:f>
      </x:c>
      <x:c r="N70" s="18"/>
      <x:c r="O70" s="23"/>
      <x:c r="P70" s="23" t="str">
        <x:f>IF(OR(I70="",O70=""),"",I70*O70)</x:f>
      </x:c>
      <x:c r="Q70" s="23" t="str">
        <x:f>IF(P70="","",P70-H70)</x:f>
      </x:c>
      <x:c r="R70" s="44"/>
    </x:row>
    <x:row r="71">
      <x:c r="F71" s="18"/>
      <x:c r="G71" s="23"/>
      <x:c r="H71" s="23"/>
      <x:c r="I71" t="str">
        <x:f>IFERROR(H71/G71,"")</x:f>
      </x:c>
      <x:c r="J71" s="23"/>
      <x:c r="K71" s="23" t="str">
        <x:f>IF(OR(I71="",J71=""),"",I71*J71)</x:f>
      </x:c>
      <x:c r="L71" s="23" t="str">
        <x:f>IF(K71="","",K71-H71)</x:f>
      </x:c>
      <x:c r="M71" s="19" t="str">
        <x:f>IFERROR(L71/H71,"")</x:f>
      </x:c>
      <x:c r="N71" s="18"/>
      <x:c r="O71" s="23"/>
      <x:c r="P71" s="23" t="str">
        <x:f>IF(OR(I71="",O71=""),"",I71*O71)</x:f>
      </x:c>
      <x:c r="Q71" s="23" t="str">
        <x:f>IF(P71="","",P71-H71)</x:f>
      </x:c>
      <x:c r="R71" s="44"/>
    </x:row>
    <x:row r="72">
      <x:c r="F72" s="18"/>
      <x:c r="G72" s="23"/>
      <x:c r="H72" s="23"/>
      <x:c r="I72" t="str">
        <x:f>IFERROR(H72/G72,"")</x:f>
      </x:c>
      <x:c r="J72" s="23"/>
      <x:c r="K72" s="23" t="str">
        <x:f>IF(OR(I72="",J72=""),"",I72*J72)</x:f>
      </x:c>
      <x:c r="L72" s="23" t="str">
        <x:f>IF(K72="","",K72-H72)</x:f>
      </x:c>
      <x:c r="M72" s="19" t="str">
        <x:f>IFERROR(L72/H72,"")</x:f>
      </x:c>
      <x:c r="N72" s="18"/>
      <x:c r="O72" s="23"/>
      <x:c r="P72" s="23" t="str">
        <x:f>IF(OR(I72="",O72=""),"",I72*O72)</x:f>
      </x:c>
      <x:c r="Q72" s="23" t="str">
        <x:f>IF(P72="","",P72-H72)</x:f>
      </x:c>
      <x:c r="R72" s="44"/>
    </x:row>
    <x:row r="73">
      <x:c r="F73" s="18"/>
      <x:c r="G73" s="23"/>
      <x:c r="H73" s="23"/>
      <x:c r="I73" t="str">
        <x:f>IFERROR(H73/G73,"")</x:f>
      </x:c>
      <x:c r="J73" s="23"/>
      <x:c r="K73" s="23" t="str">
        <x:f>IF(OR(I73="",J73=""),"",I73*J73)</x:f>
      </x:c>
      <x:c r="L73" s="23" t="str">
        <x:f>IF(K73="","",K73-H73)</x:f>
      </x:c>
      <x:c r="M73" s="19" t="str">
        <x:f>IFERROR(L73/H73,"")</x:f>
      </x:c>
      <x:c r="N73" s="18"/>
      <x:c r="O73" s="23"/>
      <x:c r="P73" s="23" t="str">
        <x:f>IF(OR(I73="",O73=""),"",I73*O73)</x:f>
      </x:c>
      <x:c r="Q73" s="23" t="str">
        <x:f>IF(P73="","",P73-H73)</x:f>
      </x:c>
      <x:c r="R73" s="44"/>
    </x:row>
    <x:row r="74">
      <x:c r="F74" s="18"/>
      <x:c r="G74" s="23"/>
      <x:c r="H74" s="23"/>
      <x:c r="I74" t="str">
        <x:f>IFERROR(H74/G74,"")</x:f>
      </x:c>
      <x:c r="J74" s="23"/>
      <x:c r="K74" s="23" t="str">
        <x:f>IF(OR(I74="",J74=""),"",I74*J74)</x:f>
      </x:c>
      <x:c r="L74" s="23" t="str">
        <x:f>IF(K74="","",K74-H74)</x:f>
      </x:c>
      <x:c r="M74" s="19" t="str">
        <x:f>IFERROR(L74/H74,"")</x:f>
      </x:c>
      <x:c r="N74" s="18"/>
      <x:c r="O74" s="23"/>
      <x:c r="P74" s="23" t="str">
        <x:f>IF(OR(I74="",O74=""),"",I74*O74)</x:f>
      </x:c>
      <x:c r="Q74" s="23" t="str">
        <x:f>IF(P74="","",P74-H74)</x:f>
      </x:c>
      <x:c r="R74" s="44"/>
    </x:row>
    <x:row r="75">
      <x:c r="F75" s="18"/>
      <x:c r="G75" s="23"/>
      <x:c r="H75" s="23"/>
      <x:c r="I75" t="str">
        <x:f>IFERROR(H75/G75,"")</x:f>
      </x:c>
      <x:c r="J75" s="23"/>
      <x:c r="K75" s="23" t="str">
        <x:f>IF(OR(I75="",J75=""),"",I75*J75)</x:f>
      </x:c>
      <x:c r="L75" s="23" t="str">
        <x:f>IF(K75="","",K75-H75)</x:f>
      </x:c>
      <x:c r="M75" s="19" t="str">
        <x:f>IFERROR(L75/H75,"")</x:f>
      </x:c>
      <x:c r="N75" s="18"/>
      <x:c r="O75" s="23"/>
      <x:c r="P75" s="23" t="str">
        <x:f>IF(OR(I75="",O75=""),"",I75*O75)</x:f>
      </x:c>
      <x:c r="Q75" s="23" t="str">
        <x:f>IF(P75="","",P75-H75)</x:f>
      </x:c>
      <x:c r="R75" s="44"/>
    </x:row>
    <x:row r="76">
      <x:c r="F76" s="18"/>
      <x:c r="G76" s="23"/>
      <x:c r="H76" s="23"/>
      <x:c r="I76" t="str">
        <x:f>IFERROR(H76/G76,"")</x:f>
      </x:c>
      <x:c r="J76" s="23"/>
      <x:c r="K76" s="23" t="str">
        <x:f>IF(OR(I76="",J76=""),"",I76*J76)</x:f>
      </x:c>
      <x:c r="L76" s="23" t="str">
        <x:f>IF(K76="","",K76-H76)</x:f>
      </x:c>
      <x:c r="M76" s="19" t="str">
        <x:f>IFERROR(L76/H76,"")</x:f>
      </x:c>
      <x:c r="N76" s="18"/>
      <x:c r="O76" s="23"/>
      <x:c r="P76" s="23" t="str">
        <x:f>IF(OR(I76="",O76=""),"",I76*O76)</x:f>
      </x:c>
      <x:c r="Q76" s="23" t="str">
        <x:f>IF(P76="","",P76-H76)</x:f>
      </x:c>
      <x:c r="R76" s="44"/>
    </x:row>
    <x:row r="77">
      <x:c r="F77" s="18"/>
      <x:c r="G77" s="23"/>
      <x:c r="H77" s="23"/>
      <x:c r="I77" t="str">
        <x:f>IFERROR(H77/G77,"")</x:f>
      </x:c>
      <x:c r="J77" s="23"/>
      <x:c r="K77" s="23" t="str">
        <x:f>IF(OR(I77="",J77=""),"",I77*J77)</x:f>
      </x:c>
      <x:c r="L77" s="23" t="str">
        <x:f>IF(K77="","",K77-H77)</x:f>
      </x:c>
      <x:c r="M77" s="19" t="str">
        <x:f>IFERROR(L77/H77,"")</x:f>
      </x:c>
      <x:c r="N77" s="18"/>
      <x:c r="O77" s="23"/>
      <x:c r="P77" s="23" t="str">
        <x:f>IF(OR(I77="",O77=""),"",I77*O77)</x:f>
      </x:c>
      <x:c r="Q77" s="23" t="str">
        <x:f>IF(P77="","",P77-H77)</x:f>
      </x:c>
      <x:c r="R77" s="44"/>
    </x:row>
    <x:row r="78">
      <x:c r="F78" s="18"/>
      <x:c r="G78" s="23"/>
      <x:c r="H78" s="23"/>
      <x:c r="I78" t="str">
        <x:f>IFERROR(H78/G78,"")</x:f>
      </x:c>
      <x:c r="J78" s="23"/>
      <x:c r="K78" s="23" t="str">
        <x:f>IF(OR(I78="",J78=""),"",I78*J78)</x:f>
      </x:c>
      <x:c r="L78" s="23" t="str">
        <x:f>IF(K78="","",K78-H78)</x:f>
      </x:c>
      <x:c r="M78" s="19" t="str">
        <x:f>IFERROR(L78/H78,"")</x:f>
      </x:c>
      <x:c r="N78" s="18"/>
      <x:c r="O78" s="23"/>
      <x:c r="P78" s="23" t="str">
        <x:f>IF(OR(I78="",O78=""),"",I78*O78)</x:f>
      </x:c>
      <x:c r="Q78" s="23" t="str">
        <x:f>IF(P78="","",P78-H78)</x:f>
      </x:c>
      <x:c r="R78" s="44"/>
    </x:row>
    <x:row r="79">
      <x:c r="F79" s="18"/>
      <x:c r="G79" s="23"/>
      <x:c r="H79" s="23"/>
      <x:c r="I79" t="str">
        <x:f>IFERROR(H79/G79,"")</x:f>
      </x:c>
      <x:c r="J79" s="23"/>
      <x:c r="K79" s="23" t="str">
        <x:f>IF(OR(I79="",J79=""),"",I79*J79)</x:f>
      </x:c>
      <x:c r="L79" s="23" t="str">
        <x:f>IF(K79="","",K79-H79)</x:f>
      </x:c>
      <x:c r="M79" s="19" t="str">
        <x:f>IFERROR(L79/H79,"")</x:f>
      </x:c>
      <x:c r="N79" s="18"/>
      <x:c r="O79" s="23"/>
      <x:c r="P79" s="23" t="str">
        <x:f>IF(OR(I79="",O79=""),"",I79*O79)</x:f>
      </x:c>
      <x:c r="Q79" s="23" t="str">
        <x:f>IF(P79="","",P79-H79)</x:f>
      </x:c>
      <x:c r="R79" s="44"/>
    </x:row>
    <x:row r="80">
      <x:c r="F80" s="18"/>
      <x:c r="G80" s="23"/>
      <x:c r="H80" s="23"/>
      <x:c r="I80" t="str">
        <x:f>IFERROR(H80/G80,"")</x:f>
      </x:c>
      <x:c r="J80" s="23"/>
      <x:c r="K80" s="23" t="str">
        <x:f>IF(OR(I80="",J80=""),"",I80*J80)</x:f>
      </x:c>
      <x:c r="L80" s="23" t="str">
        <x:f>IF(K80="","",K80-H80)</x:f>
      </x:c>
      <x:c r="M80" s="19" t="str">
        <x:f>IFERROR(L80/H80,"")</x:f>
      </x:c>
      <x:c r="N80" s="18"/>
      <x:c r="O80" s="23"/>
      <x:c r="P80" s="23" t="str">
        <x:f>IF(OR(I80="",O80=""),"",I80*O80)</x:f>
      </x:c>
      <x:c r="Q80" s="23" t="str">
        <x:f>IF(P80="","",P80-H80)</x:f>
      </x:c>
      <x:c r="R80" s="44"/>
    </x:row>
    <x:row r="81">
      <x:c r="F81" s="18"/>
      <x:c r="G81" s="23"/>
      <x:c r="H81" s="23"/>
      <x:c r="I81" t="str">
        <x:f>IFERROR(H81/G81,"")</x:f>
      </x:c>
      <x:c r="J81" s="23"/>
      <x:c r="K81" s="23" t="str">
        <x:f>IF(OR(I81="",J81=""),"",I81*J81)</x:f>
      </x:c>
      <x:c r="L81" s="23" t="str">
        <x:f>IF(K81="","",K81-H81)</x:f>
      </x:c>
      <x:c r="M81" s="19" t="str">
        <x:f>IFERROR(L81/H81,"")</x:f>
      </x:c>
      <x:c r="N81" s="18"/>
      <x:c r="O81" s="23"/>
      <x:c r="P81" s="23" t="str">
        <x:f>IF(OR(I81="",O81=""),"",I81*O81)</x:f>
      </x:c>
      <x:c r="Q81" s="23" t="str">
        <x:f>IF(P81="","",P81-H81)</x:f>
      </x:c>
      <x:c r="R81" s="44"/>
    </x:row>
    <x:row r="82">
      <x:c r="F82" s="18"/>
      <x:c r="G82" s="23"/>
      <x:c r="H82" s="23"/>
      <x:c r="I82" t="str">
        <x:f>IFERROR(H82/G82,"")</x:f>
      </x:c>
      <x:c r="J82" s="23"/>
      <x:c r="K82" s="23" t="str">
        <x:f>IF(OR(I82="",J82=""),"",I82*J82)</x:f>
      </x:c>
      <x:c r="L82" s="23" t="str">
        <x:f>IF(K82="","",K82-H82)</x:f>
      </x:c>
      <x:c r="M82" s="19" t="str">
        <x:f>IFERROR(L82/H82,"")</x:f>
      </x:c>
      <x:c r="N82" s="18"/>
      <x:c r="O82" s="23"/>
      <x:c r="P82" s="23" t="str">
        <x:f>IF(OR(I82="",O82=""),"",I82*O82)</x:f>
      </x:c>
      <x:c r="Q82" s="23" t="str">
        <x:f>IF(P82="","",P82-H82)</x:f>
      </x:c>
      <x:c r="R82" s="44"/>
    </x:row>
    <x:row r="83">
      <x:c r="F83" s="18"/>
      <x:c r="G83" s="23"/>
      <x:c r="H83" s="23"/>
      <x:c r="I83" t="str">
        <x:f>IFERROR(H83/G83,"")</x:f>
      </x:c>
      <x:c r="J83" s="23"/>
      <x:c r="K83" s="23" t="str">
        <x:f>IF(OR(I83="",J83=""),"",I83*J83)</x:f>
      </x:c>
      <x:c r="L83" s="23" t="str">
        <x:f>IF(K83="","",K83-H83)</x:f>
      </x:c>
      <x:c r="M83" s="19" t="str">
        <x:f>IFERROR(L83/H83,"")</x:f>
      </x:c>
      <x:c r="N83" s="18"/>
      <x:c r="O83" s="23"/>
      <x:c r="P83" s="23" t="str">
        <x:f>IF(OR(I83="",O83=""),"",I83*O83)</x:f>
      </x:c>
      <x:c r="Q83" s="23" t="str">
        <x:f>IF(P83="","",P83-H83)</x:f>
      </x:c>
      <x:c r="R83" s="44"/>
    </x:row>
    <x:row r="84">
      <x:c r="F84" s="18"/>
      <x:c r="G84" s="23"/>
      <x:c r="H84" s="23"/>
      <x:c r="I84" t="str">
        <x:f>IFERROR(H84/G84,"")</x:f>
      </x:c>
      <x:c r="J84" s="23"/>
      <x:c r="K84" s="23" t="str">
        <x:f>IF(OR(I84="",J84=""),"",I84*J84)</x:f>
      </x:c>
      <x:c r="L84" s="23" t="str">
        <x:f>IF(K84="","",K84-H84)</x:f>
      </x:c>
      <x:c r="M84" s="19" t="str">
        <x:f>IFERROR(L84/H84,"")</x:f>
      </x:c>
      <x:c r="N84" s="18"/>
      <x:c r="O84" s="23"/>
      <x:c r="P84" s="23" t="str">
        <x:f>IF(OR(I84="",O84=""),"",I84*O84)</x:f>
      </x:c>
      <x:c r="Q84" s="23" t="str">
        <x:f>IF(P84="","",P84-H84)</x:f>
      </x:c>
      <x:c r="R84" s="44"/>
    </x:row>
    <x:row r="85">
      <x:c r="F85" s="18"/>
      <x:c r="G85" s="23"/>
      <x:c r="H85" s="23"/>
      <x:c r="I85" t="str">
        <x:f>IFERROR(H85/G85,"")</x:f>
      </x:c>
      <x:c r="J85" s="23"/>
      <x:c r="K85" s="23" t="str">
        <x:f>IF(OR(I85="",J85=""),"",I85*J85)</x:f>
      </x:c>
      <x:c r="L85" s="23" t="str">
        <x:f>IF(K85="","",K85-H85)</x:f>
      </x:c>
      <x:c r="M85" s="19" t="str">
        <x:f>IFERROR(L85/H85,"")</x:f>
      </x:c>
      <x:c r="N85" s="18"/>
      <x:c r="O85" s="23"/>
      <x:c r="P85" s="23" t="str">
        <x:f>IF(OR(I85="",O85=""),"",I85*O85)</x:f>
      </x:c>
      <x:c r="Q85" s="23" t="str">
        <x:f>IF(P85="","",P85-H85)</x:f>
      </x:c>
      <x:c r="R85" s="44"/>
    </x:row>
    <x:row r="86">
      <x:c r="F86" s="18"/>
      <x:c r="G86" s="23"/>
      <x:c r="H86" s="23"/>
      <x:c r="I86" t="str">
        <x:f>IFERROR(H86/G86,"")</x:f>
      </x:c>
      <x:c r="J86" s="23"/>
      <x:c r="K86" s="23" t="str">
        <x:f>IF(OR(I86="",J86=""),"",I86*J86)</x:f>
      </x:c>
      <x:c r="L86" s="23" t="str">
        <x:f>IF(K86="","",K86-H86)</x:f>
      </x:c>
      <x:c r="M86" s="19" t="str">
        <x:f>IFERROR(L86/H86,"")</x:f>
      </x:c>
      <x:c r="N86" s="18"/>
      <x:c r="O86" s="23"/>
      <x:c r="P86" s="23" t="str">
        <x:f>IF(OR(I86="",O86=""),"",I86*O86)</x:f>
      </x:c>
      <x:c r="Q86" s="23" t="str">
        <x:f>IF(P86="","",P86-H86)</x:f>
      </x:c>
      <x:c r="R86" s="44"/>
    </x:row>
    <x:row r="87">
      <x:c r="F87" s="18"/>
      <x:c r="G87" s="23"/>
      <x:c r="H87" s="23"/>
      <x:c r="I87" t="str">
        <x:f>IFERROR(H87/G87,"")</x:f>
      </x:c>
      <x:c r="J87" s="23"/>
      <x:c r="K87" s="23" t="str">
        <x:f>IF(OR(I87="",J87=""),"",I87*J87)</x:f>
      </x:c>
      <x:c r="L87" s="23" t="str">
        <x:f>IF(K87="","",K87-H87)</x:f>
      </x:c>
      <x:c r="M87" s="19" t="str">
        <x:f>IFERROR(L87/H87,"")</x:f>
      </x:c>
      <x:c r="N87" s="18"/>
      <x:c r="O87" s="23"/>
      <x:c r="P87" s="23" t="str">
        <x:f>IF(OR(I87="",O87=""),"",I87*O87)</x:f>
      </x:c>
      <x:c r="Q87" s="23" t="str">
        <x:f>IF(P87="","",P87-H87)</x:f>
      </x:c>
      <x:c r="R87" s="44"/>
    </x:row>
    <x:row r="88">
      <x:c r="F88" s="18"/>
      <x:c r="G88" s="23"/>
      <x:c r="H88" s="23"/>
      <x:c r="I88" t="str">
        <x:f>IFERROR(H88/G88,"")</x:f>
      </x:c>
      <x:c r="J88" s="23"/>
      <x:c r="K88" s="23" t="str">
        <x:f>IF(OR(I88="",J88=""),"",I88*J88)</x:f>
      </x:c>
      <x:c r="L88" s="23" t="str">
        <x:f>IF(K88="","",K88-H88)</x:f>
      </x:c>
      <x:c r="M88" s="19" t="str">
        <x:f>IFERROR(L88/H88,"")</x:f>
      </x:c>
      <x:c r="N88" s="18"/>
      <x:c r="O88" s="23"/>
      <x:c r="P88" s="23" t="str">
        <x:f>IF(OR(I88="",O88=""),"",I88*O88)</x:f>
      </x:c>
      <x:c r="Q88" s="23" t="str">
        <x:f>IF(P88="","",P88-H88)</x:f>
      </x:c>
      <x:c r="R88" s="44"/>
    </x:row>
    <x:row r="89">
      <x:c r="F89" s="18"/>
      <x:c r="G89" s="23"/>
      <x:c r="H89" s="23"/>
      <x:c r="I89" t="str">
        <x:f>IFERROR(H89/G89,"")</x:f>
      </x:c>
      <x:c r="J89" s="23"/>
      <x:c r="K89" s="23" t="str">
        <x:f>IF(OR(I89="",J89=""),"",I89*J89)</x:f>
      </x:c>
      <x:c r="L89" s="23" t="str">
        <x:f>IF(K89="","",K89-H89)</x:f>
      </x:c>
      <x:c r="M89" s="19" t="str">
        <x:f>IFERROR(L89/H89,"")</x:f>
      </x:c>
      <x:c r="N89" s="18"/>
      <x:c r="O89" s="23"/>
      <x:c r="P89" s="23" t="str">
        <x:f>IF(OR(I89="",O89=""),"",I89*O89)</x:f>
      </x:c>
      <x:c r="Q89" s="23" t="str">
        <x:f>IF(P89="","",P89-H89)</x:f>
      </x:c>
      <x:c r="R89" s="44"/>
    </x:row>
    <x:row r="90">
      <x:c r="F90" s="18"/>
      <x:c r="G90" s="23"/>
      <x:c r="H90" s="23"/>
      <x:c r="I90" t="str">
        <x:f>IFERROR(H90/G90,"")</x:f>
      </x:c>
      <x:c r="J90" s="23"/>
      <x:c r="K90" s="23" t="str">
        <x:f>IF(OR(I90="",J90=""),"",I90*J90)</x:f>
      </x:c>
      <x:c r="L90" s="23" t="str">
        <x:f>IF(K90="","",K90-H90)</x:f>
      </x:c>
      <x:c r="M90" s="19" t="str">
        <x:f>IFERROR(L90/H90,"")</x:f>
      </x:c>
      <x:c r="N90" s="18"/>
      <x:c r="O90" s="23"/>
      <x:c r="P90" s="23" t="str">
        <x:f>IF(OR(I90="",O90=""),"",I90*O90)</x:f>
      </x:c>
      <x:c r="Q90" s="23" t="str">
        <x:f>IF(P90="","",P90-H90)</x:f>
      </x:c>
      <x:c r="R90" s="44"/>
    </x:row>
    <x:row r="91">
      <x:c r="F91" s="18"/>
      <x:c r="G91" s="23"/>
      <x:c r="H91" s="23"/>
      <x:c r="I91" t="str">
        <x:f>IFERROR(H91/G91,"")</x:f>
      </x:c>
      <x:c r="J91" s="23"/>
      <x:c r="K91" s="23" t="str">
        <x:f>IF(OR(I91="",J91=""),"",I91*J91)</x:f>
      </x:c>
      <x:c r="L91" s="23" t="str">
        <x:f>IF(K91="","",K91-H91)</x:f>
      </x:c>
      <x:c r="M91" s="19" t="str">
        <x:f>IFERROR(L91/H91,"")</x:f>
      </x:c>
      <x:c r="N91" s="18"/>
      <x:c r="O91" s="23"/>
      <x:c r="P91" s="23" t="str">
        <x:f>IF(OR(I91="",O91=""),"",I91*O91)</x:f>
      </x:c>
      <x:c r="Q91" s="23" t="str">
        <x:f>IF(P91="","",P91-H91)</x:f>
      </x:c>
      <x:c r="R91" s="44"/>
    </x:row>
    <x:row r="92">
      <x:c r="F92" s="18"/>
      <x:c r="G92" s="23"/>
      <x:c r="H92" s="23"/>
      <x:c r="I92" t="str">
        <x:f>IFERROR(H92/G92,"")</x:f>
      </x:c>
      <x:c r="J92" s="23"/>
      <x:c r="K92" s="23" t="str">
        <x:f>IF(OR(I92="",J92=""),"",I92*J92)</x:f>
      </x:c>
      <x:c r="L92" s="23" t="str">
        <x:f>IF(K92="","",K92-H92)</x:f>
      </x:c>
      <x:c r="M92" s="19" t="str">
        <x:f>IFERROR(L92/H92,"")</x:f>
      </x:c>
      <x:c r="N92" s="18"/>
      <x:c r="O92" s="23"/>
      <x:c r="P92" s="23" t="str">
        <x:f>IF(OR(I92="",O92=""),"",I92*O92)</x:f>
      </x:c>
      <x:c r="Q92" s="23" t="str">
        <x:f>IF(P92="","",P92-H92)</x:f>
      </x:c>
      <x:c r="R92" s="44"/>
    </x:row>
    <x:row r="93">
      <x:c r="F93" s="18"/>
      <x:c r="G93" s="23"/>
      <x:c r="H93" s="23"/>
      <x:c r="I93" t="str">
        <x:f>IFERROR(H93/G93,"")</x:f>
      </x:c>
      <x:c r="J93" s="23"/>
      <x:c r="K93" s="23" t="str">
        <x:f>IF(OR(I93="",J93=""),"",I93*J93)</x:f>
      </x:c>
      <x:c r="L93" s="23" t="str">
        <x:f>IF(K93="","",K93-H93)</x:f>
      </x:c>
      <x:c r="M93" s="19" t="str">
        <x:f>IFERROR(L93/H93,"")</x:f>
      </x:c>
      <x:c r="N93" s="18"/>
      <x:c r="O93" s="23"/>
      <x:c r="P93" s="23" t="str">
        <x:f>IF(OR(I93="",O93=""),"",I93*O93)</x:f>
      </x:c>
      <x:c r="Q93" s="23" t="str">
        <x:f>IF(P93="","",P93-H93)</x:f>
      </x:c>
      <x:c r="R93" s="44"/>
    </x:row>
    <x:row r="94">
      <x:c r="F94" s="18"/>
      <x:c r="G94" s="23"/>
      <x:c r="H94" s="23"/>
      <x:c r="I94" t="str">
        <x:f>IFERROR(H94/G94,"")</x:f>
      </x:c>
      <x:c r="J94" s="23"/>
      <x:c r="K94" s="23" t="str">
        <x:f>IF(OR(I94="",J94=""),"",I94*J94)</x:f>
      </x:c>
      <x:c r="L94" s="23" t="str">
        <x:f>IF(K94="","",K94-H94)</x:f>
      </x:c>
      <x:c r="M94" s="19" t="str">
        <x:f>IFERROR(L94/H94,"")</x:f>
      </x:c>
      <x:c r="N94" s="18"/>
      <x:c r="O94" s="23"/>
      <x:c r="P94" s="23" t="str">
        <x:f>IF(OR(I94="",O94=""),"",I94*O94)</x:f>
      </x:c>
      <x:c r="Q94" s="23" t="str">
        <x:f>IF(P94="","",P94-H94)</x:f>
      </x:c>
      <x:c r="R94" s="44"/>
    </x:row>
    <x:row r="95">
      <x:c r="F95" s="18"/>
      <x:c r="G95" s="23"/>
      <x:c r="H95" s="23"/>
      <x:c r="I95" t="str">
        <x:f>IFERROR(H95/G95,"")</x:f>
      </x:c>
      <x:c r="J95" s="23"/>
      <x:c r="K95" s="23" t="str">
        <x:f>IF(OR(I95="",J95=""),"",I95*J95)</x:f>
      </x:c>
      <x:c r="L95" s="23" t="str">
        <x:f>IF(K95="","",K95-H95)</x:f>
      </x:c>
      <x:c r="M95" s="19" t="str">
        <x:f>IFERROR(L95/H95,"")</x:f>
      </x:c>
      <x:c r="N95" s="18"/>
      <x:c r="O95" s="23"/>
      <x:c r="P95" s="23" t="str">
        <x:f>IF(OR(I95="",O95=""),"",I95*O95)</x:f>
      </x:c>
      <x:c r="Q95" s="23" t="str">
        <x:f>IF(P95="","",P95-H95)</x:f>
      </x:c>
      <x:c r="R95" s="44"/>
    </x:row>
    <x:row r="96">
      <x:c r="F96" s="18"/>
      <x:c r="G96" s="23"/>
      <x:c r="H96" s="23"/>
      <x:c r="I96" t="str">
        <x:f>IFERROR(H96/G96,"")</x:f>
      </x:c>
      <x:c r="J96" s="23"/>
      <x:c r="K96" s="23" t="str">
        <x:f>IF(OR(I96="",J96=""),"",I96*J96)</x:f>
      </x:c>
      <x:c r="L96" s="23" t="str">
        <x:f>IF(K96="","",K96-H96)</x:f>
      </x:c>
      <x:c r="M96" s="19" t="str">
        <x:f>IFERROR(L96/H96,"")</x:f>
      </x:c>
      <x:c r="N96" s="18"/>
      <x:c r="O96" s="23"/>
      <x:c r="P96" s="23" t="str">
        <x:f>IF(OR(I96="",O96=""),"",I96*O96)</x:f>
      </x:c>
      <x:c r="Q96" s="23" t="str">
        <x:f>IF(P96="","",P96-H96)</x:f>
      </x:c>
      <x:c r="R96" s="44"/>
    </x:row>
    <x:row r="97">
      <x:c r="F97" s="18"/>
      <x:c r="G97" s="23"/>
      <x:c r="H97" s="23"/>
      <x:c r="I97" t="str">
        <x:f>IFERROR(H97/G97,"")</x:f>
      </x:c>
      <x:c r="J97" s="23"/>
      <x:c r="K97" s="23" t="str">
        <x:f>IF(OR(I97="",J97=""),"",I97*J97)</x:f>
      </x:c>
      <x:c r="L97" s="23" t="str">
        <x:f>IF(K97="","",K97-H97)</x:f>
      </x:c>
      <x:c r="M97" s="19" t="str">
        <x:f>IFERROR(L97/H97,"")</x:f>
      </x:c>
      <x:c r="N97" s="18"/>
      <x:c r="O97" s="23"/>
      <x:c r="P97" s="23" t="str">
        <x:f>IF(OR(I97="",O97=""),"",I97*O97)</x:f>
      </x:c>
      <x:c r="Q97" s="23" t="str">
        <x:f>IF(P97="","",P97-H97)</x:f>
      </x:c>
      <x:c r="R97" s="44"/>
    </x:row>
    <x:row r="98">
      <x:c r="F98" s="18"/>
      <x:c r="G98" s="23"/>
      <x:c r="H98" s="23"/>
      <x:c r="I98" t="str">
        <x:f>IFERROR(H98/G98,"")</x:f>
      </x:c>
      <x:c r="J98" s="23"/>
      <x:c r="K98" s="23" t="str">
        <x:f>IF(OR(I98="",J98=""),"",I98*J98)</x:f>
      </x:c>
      <x:c r="L98" s="23" t="str">
        <x:f>IF(K98="","",K98-H98)</x:f>
      </x:c>
      <x:c r="M98" s="19" t="str">
        <x:f>IFERROR(L98/H98,"")</x:f>
      </x:c>
      <x:c r="N98" s="18"/>
      <x:c r="O98" s="23"/>
      <x:c r="P98" s="23" t="str">
        <x:f>IF(OR(I98="",O98=""),"",I98*O98)</x:f>
      </x:c>
      <x:c r="Q98" s="23" t="str">
        <x:f>IF(P98="","",P98-H98)</x:f>
      </x:c>
      <x:c r="R98" s="44"/>
    </x:row>
    <x:row r="99">
      <x:c r="F99" s="18"/>
      <x:c r="G99" s="23"/>
      <x:c r="H99" s="23"/>
      <x:c r="I99" t="str">
        <x:f>IFERROR(H99/G99,"")</x:f>
      </x:c>
      <x:c r="J99" s="23"/>
      <x:c r="K99" s="23" t="str">
        <x:f>IF(OR(I99="",J99=""),"",I99*J99)</x:f>
      </x:c>
      <x:c r="L99" s="23" t="str">
        <x:f>IF(K99="","",K99-H99)</x:f>
      </x:c>
      <x:c r="M99" s="19" t="str">
        <x:f>IFERROR(L99/H99,"")</x:f>
      </x:c>
      <x:c r="N99" s="18"/>
      <x:c r="O99" s="23"/>
      <x:c r="P99" s="23" t="str">
        <x:f>IF(OR(I99="",O99=""),"",I99*O99)</x:f>
      </x:c>
      <x:c r="Q99" s="23" t="str">
        <x:f>IF(P99="","",P99-H99)</x:f>
      </x:c>
      <x:c r="R99" s="44"/>
    </x:row>
    <x:row r="100">
      <x:c r="F100" s="18"/>
      <x:c r="G100" s="23"/>
      <x:c r="H100" s="23"/>
      <x:c r="I100" t="str">
        <x:f>IFERROR(H100/G100,"")</x:f>
      </x:c>
      <x:c r="J100" s="23"/>
      <x:c r="K100" s="23" t="str">
        <x:f>IF(OR(I100="",J100=""),"",I100*J100)</x:f>
      </x:c>
      <x:c r="L100" s="23" t="str">
        <x:f>IF(K100="","",K100-H100)</x:f>
      </x:c>
      <x:c r="M100" s="19" t="str">
        <x:f>IFERROR(L100/H100,"")</x:f>
      </x:c>
      <x:c r="N100" s="18"/>
      <x:c r="O100" s="23"/>
      <x:c r="P100" s="23" t="str">
        <x:f>IF(OR(I100="",O100=""),"",I100*O100)</x:f>
      </x:c>
      <x:c r="Q100" s="23" t="str">
        <x:f>IF(P100="","",P100-H100)</x:f>
      </x:c>
      <x:c r="R100" s="44"/>
    </x:row>
    <x:row r="101">
      <x:c r="F101" s="18"/>
      <x:c r="G101" s="23"/>
      <x:c r="H101" s="23"/>
      <x:c r="I101" t="str">
        <x:f>IFERROR(H101/G101,"")</x:f>
      </x:c>
      <x:c r="J101" s="23"/>
      <x:c r="K101" s="23" t="str">
        <x:f>IF(OR(I101="",J101=""),"",I101*J101)</x:f>
      </x:c>
      <x:c r="L101" s="23" t="str">
        <x:f>IF(K101="","",K101-H101)</x:f>
      </x:c>
      <x:c r="M101" s="19" t="str">
        <x:f>IFERROR(L101/H101,"")</x:f>
      </x:c>
      <x:c r="N101" s="18"/>
      <x:c r="O101" s="23"/>
      <x:c r="P101" s="23" t="str">
        <x:f>IF(OR(I101="",O101=""),"",I101*O101)</x:f>
      </x:c>
      <x:c r="Q101" s="23" t="str">
        <x:f>IF(P101="","",P101-H101)</x:f>
      </x:c>
      <x:c r="R101" s="44"/>
    </x:row>
    <x:row r="102">
      <x:c r="F102" s="18"/>
      <x:c r="G102" s="23"/>
      <x:c r="H102" s="23"/>
      <x:c r="I102" t="str">
        <x:f>IFERROR(H102/G102,"")</x:f>
      </x:c>
      <x:c r="J102" s="23"/>
      <x:c r="K102" s="23" t="str">
        <x:f>IF(OR(I102="",J102=""),"",I102*J102)</x:f>
      </x:c>
      <x:c r="L102" s="23" t="str">
        <x:f>IF(K102="","",K102-H102)</x:f>
      </x:c>
      <x:c r="M102" s="19" t="str">
        <x:f>IFERROR(L102/H102,"")</x:f>
      </x:c>
      <x:c r="N102" s="18"/>
      <x:c r="O102" s="23"/>
      <x:c r="P102" s="23" t="str">
        <x:f>IF(OR(I102="",O102=""),"",I102*O102)</x:f>
      </x:c>
      <x:c r="Q102" s="23" t="str">
        <x:f>IF(P102="","",P102-H102)</x:f>
      </x:c>
      <x:c r="R102" s="44"/>
    </x:row>
    <x:row r="103">
      <x:c r="F103" s="18"/>
      <x:c r="G103" s="23"/>
      <x:c r="H103" s="23"/>
      <x:c r="I103" t="str">
        <x:f>IFERROR(H103/G103,"")</x:f>
      </x:c>
      <x:c r="J103" s="23"/>
      <x:c r="K103" s="23" t="str">
        <x:f>IF(OR(I103="",J103=""),"",I103*J103)</x:f>
      </x:c>
      <x:c r="L103" s="23" t="str">
        <x:f>IF(K103="","",K103-H103)</x:f>
      </x:c>
      <x:c r="M103" s="19" t="str">
        <x:f>IFERROR(L103/H103,"")</x:f>
      </x:c>
      <x:c r="N103" s="18"/>
      <x:c r="O103" s="23"/>
      <x:c r="P103" s="23" t="str">
        <x:f>IF(OR(I103="",O103=""),"",I103*O103)</x:f>
      </x:c>
      <x:c r="Q103" s="23" t="str">
        <x:f>IF(P103="","",P103-H103)</x:f>
      </x:c>
      <x:c r="R103" s="44"/>
    </x:row>
    <x:row r="104">
      <x:c r="F104" s="18"/>
      <x:c r="G104" s="23"/>
      <x:c r="H104" s="23"/>
      <x:c r="I104" t="str">
        <x:f>IFERROR(H104/G104,"")</x:f>
      </x:c>
      <x:c r="J104" s="23"/>
      <x:c r="K104" s="23" t="str">
        <x:f>IF(OR(I104="",J104=""),"",I104*J104)</x:f>
      </x:c>
      <x:c r="L104" s="23" t="str">
        <x:f>IF(K104="","",K104-H104)</x:f>
      </x:c>
      <x:c r="M104" s="19" t="str">
        <x:f>IFERROR(L104/H104,"")</x:f>
      </x:c>
      <x:c r="N104" s="18"/>
      <x:c r="O104" s="23"/>
      <x:c r="P104" s="23" t="str">
        <x:f>IF(OR(I104="",O104=""),"",I104*O104)</x:f>
      </x:c>
      <x:c r="Q104" s="23" t="str">
        <x:f>IF(P104="","",P104-H104)</x:f>
      </x:c>
      <x:c r="R104" s="44"/>
    </x:row>
    <x:row r="105">
      <x:c r="F105" s="18"/>
      <x:c r="G105" s="23"/>
      <x:c r="H105" s="23"/>
      <x:c r="I105" t="str">
        <x:f>IFERROR(H105/G105,"")</x:f>
      </x:c>
      <x:c r="J105" s="23"/>
      <x:c r="K105" s="23" t="str">
        <x:f>IF(OR(I105="",J105=""),"",I105*J105)</x:f>
      </x:c>
      <x:c r="L105" s="23" t="str">
        <x:f>IF(K105="","",K105-H105)</x:f>
      </x:c>
      <x:c r="M105" s="19" t="str">
        <x:f>IFERROR(L105/H105,"")</x:f>
      </x:c>
      <x:c r="N105" s="18"/>
      <x:c r="O105" s="23"/>
      <x:c r="P105" s="23" t="str">
        <x:f>IF(OR(I105="",O105=""),"",I105*O105)</x:f>
      </x:c>
      <x:c r="Q105" s="23" t="str">
        <x:f>IF(P105="","",P105-H105)</x:f>
      </x:c>
      <x:c r="R105" s="44"/>
    </x:row>
    <x:row r="106">
      <x:c r="F106" s="18"/>
      <x:c r="G106" s="23"/>
      <x:c r="H106" s="23"/>
      <x:c r="I106" t="str">
        <x:f>IFERROR(H106/G106,"")</x:f>
      </x:c>
      <x:c r="J106" s="23"/>
      <x:c r="K106" s="23" t="str">
        <x:f>IF(OR(I106="",J106=""),"",I106*J106)</x:f>
      </x:c>
      <x:c r="L106" s="23" t="str">
        <x:f>IF(K106="","",K106-H106)</x:f>
      </x:c>
      <x:c r="M106" s="19" t="str">
        <x:f>IFERROR(L106/H106,"")</x:f>
      </x:c>
      <x:c r="N106" s="18"/>
      <x:c r="O106" s="23"/>
      <x:c r="P106" s="23" t="str">
        <x:f>IF(OR(I106="",O106=""),"",I106*O106)</x:f>
      </x:c>
      <x:c r="Q106" s="23" t="str">
        <x:f>IF(P106="","",P106-H106)</x:f>
      </x:c>
      <x:c r="R106" s="44"/>
    </x:row>
    <x:row r="107">
      <x:c r="F107" s="18"/>
      <x:c r="G107" s="23"/>
      <x:c r="H107" s="23"/>
      <x:c r="I107" t="str">
        <x:f>IFERROR(H107/G107,"")</x:f>
      </x:c>
      <x:c r="J107" s="23"/>
      <x:c r="K107" s="23" t="str">
        <x:f>IF(OR(I107="",J107=""),"",I107*J107)</x:f>
      </x:c>
      <x:c r="L107" s="23" t="str">
        <x:f>IF(K107="","",K107-H107)</x:f>
      </x:c>
      <x:c r="M107" s="19" t="str">
        <x:f>IFERROR(L107/H107,"")</x:f>
      </x:c>
      <x:c r="N107" s="18"/>
      <x:c r="O107" s="23"/>
      <x:c r="P107" s="23" t="str">
        <x:f>IF(OR(I107="",O107=""),"",I107*O107)</x:f>
      </x:c>
      <x:c r="Q107" s="23" t="str">
        <x:f>IF(P107="","",P107-H107)</x:f>
      </x:c>
      <x:c r="R107" s="44"/>
    </x:row>
    <x:row r="108">
      <x:c r="F108" s="18"/>
      <x:c r="G108" s="23"/>
      <x:c r="H108" s="23"/>
      <x:c r="I108" t="str">
        <x:f>IFERROR(H108/G108,"")</x:f>
      </x:c>
      <x:c r="J108" s="23"/>
      <x:c r="K108" s="23" t="str">
        <x:f>IF(OR(I108="",J108=""),"",I108*J108)</x:f>
      </x:c>
      <x:c r="L108" s="23" t="str">
        <x:f>IF(K108="","",K108-H108)</x:f>
      </x:c>
      <x:c r="M108" s="19" t="str">
        <x:f>IFERROR(L108/H108,"")</x:f>
      </x:c>
      <x:c r="N108" s="18"/>
      <x:c r="O108" s="23"/>
      <x:c r="P108" s="23" t="str">
        <x:f>IF(OR(I108="",O108=""),"",I108*O108)</x:f>
      </x:c>
      <x:c r="Q108" s="23" t="str">
        <x:f>IF(P108="","",P108-H108)</x:f>
      </x:c>
      <x:c r="R108" s="44"/>
    </x:row>
    <x:row r="109">
      <x:c r="F109" s="18"/>
      <x:c r="G109" s="23"/>
      <x:c r="H109" s="23"/>
      <x:c r="I109" t="str">
        <x:f>IFERROR(H109/G109,"")</x:f>
      </x:c>
      <x:c r="J109" s="23"/>
      <x:c r="K109" s="23" t="str">
        <x:f>IF(OR(I109="",J109=""),"",I109*J109)</x:f>
      </x:c>
      <x:c r="L109" s="23" t="str">
        <x:f>IF(K109="","",K109-H109)</x:f>
      </x:c>
      <x:c r="M109" s="19" t="str">
        <x:f>IFERROR(L109/H109,"")</x:f>
      </x:c>
      <x:c r="N109" s="18"/>
      <x:c r="O109" s="23"/>
      <x:c r="P109" s="23" t="str">
        <x:f>IF(OR(I109="",O109=""),"",I109*O109)</x:f>
      </x:c>
      <x:c r="Q109" s="23" t="str">
        <x:f>IF(P109="","",P109-H109)</x:f>
      </x:c>
      <x:c r="R109" s="44"/>
    </x:row>
    <x:row r="110">
      <x:c r="F110" s="18"/>
      <x:c r="G110" s="23"/>
      <x:c r="H110" s="23"/>
      <x:c r="I110" t="str">
        <x:f>IFERROR(H110/G110,"")</x:f>
      </x:c>
      <x:c r="J110" s="23"/>
      <x:c r="K110" s="23" t="str">
        <x:f>IF(OR(I110="",J110=""),"",I110*J110)</x:f>
      </x:c>
      <x:c r="L110" s="23" t="str">
        <x:f>IF(K110="","",K110-H110)</x:f>
      </x:c>
      <x:c r="M110" s="19" t="str">
        <x:f>IFERROR(L110/H110,"")</x:f>
      </x:c>
      <x:c r="N110" s="18"/>
      <x:c r="O110" s="23"/>
      <x:c r="P110" s="23" t="str">
        <x:f>IF(OR(I110="",O110=""),"",I110*O110)</x:f>
      </x:c>
      <x:c r="Q110" s="23" t="str">
        <x:f>IF(P110="","",P110-H110)</x:f>
      </x:c>
      <x:c r="R110" s="44"/>
    </x:row>
    <x:row r="111">
      <x:c r="F111" s="18"/>
      <x:c r="G111" s="23"/>
      <x:c r="H111" s="23"/>
      <x:c r="I111" t="str">
        <x:f>IFERROR(H111/G111,"")</x:f>
      </x:c>
      <x:c r="J111" s="23"/>
      <x:c r="K111" s="23" t="str">
        <x:f>IF(OR(I111="",J111=""),"",I111*J111)</x:f>
      </x:c>
      <x:c r="L111" s="23" t="str">
        <x:f>IF(K111="","",K111-H111)</x:f>
      </x:c>
      <x:c r="M111" s="19" t="str">
        <x:f>IFERROR(L111/H111,"")</x:f>
      </x:c>
      <x:c r="N111" s="18"/>
      <x:c r="O111" s="23"/>
      <x:c r="P111" s="23" t="str">
        <x:f>IF(OR(I111="",O111=""),"",I111*O111)</x:f>
      </x:c>
      <x:c r="Q111" s="23" t="str">
        <x:f>IF(P111="","",P111-H111)</x:f>
      </x:c>
      <x:c r="R111" s="44"/>
    </x:row>
    <x:row r="112">
      <x:c r="F112" s="18"/>
      <x:c r="G112" s="23"/>
      <x:c r="H112" s="23"/>
      <x:c r="I112" t="str">
        <x:f>IFERROR(H112/G112,"")</x:f>
      </x:c>
      <x:c r="J112" s="23"/>
      <x:c r="K112" s="23" t="str">
        <x:f>IF(OR(I112="",J112=""),"",I112*J112)</x:f>
      </x:c>
      <x:c r="L112" s="23" t="str">
        <x:f>IF(K112="","",K112-H112)</x:f>
      </x:c>
      <x:c r="M112" s="19" t="str">
        <x:f>IFERROR(L112/H112,"")</x:f>
      </x:c>
      <x:c r="N112" s="18"/>
      <x:c r="O112" s="23"/>
      <x:c r="P112" s="23" t="str">
        <x:f>IF(OR(I112="",O112=""),"",I112*O112)</x:f>
      </x:c>
      <x:c r="Q112" s="23" t="str">
        <x:f>IF(P112="","",P112-H112)</x:f>
      </x:c>
      <x:c r="R112" s="44"/>
    </x:row>
    <x:row r="113">
      <x:c r="F113" s="18"/>
      <x:c r="G113" s="23"/>
      <x:c r="H113" s="23"/>
      <x:c r="I113" t="str">
        <x:f>IFERROR(H113/G113,"")</x:f>
      </x:c>
      <x:c r="J113" s="23"/>
      <x:c r="K113" s="23" t="str">
        <x:f>IF(OR(I113="",J113=""),"",I113*J113)</x:f>
      </x:c>
      <x:c r="L113" s="23" t="str">
        <x:f>IF(K113="","",K113-H113)</x:f>
      </x:c>
      <x:c r="M113" s="19" t="str">
        <x:f>IFERROR(L113/H113,"")</x:f>
      </x:c>
      <x:c r="N113" s="18"/>
      <x:c r="O113" s="23"/>
      <x:c r="P113" s="23" t="str">
        <x:f>IF(OR(I113="",O113=""),"",I113*O113)</x:f>
      </x:c>
      <x:c r="Q113" s="23" t="str">
        <x:f>IF(P113="","",P113-H113)</x:f>
      </x:c>
      <x:c r="R113" s="44"/>
    </x:row>
    <x:row r="114">
      <x:c r="F114" s="18"/>
      <x:c r="G114" s="23"/>
      <x:c r="H114" s="23"/>
      <x:c r="I114" t="str">
        <x:f>IFERROR(H114/G114,"")</x:f>
      </x:c>
      <x:c r="J114" s="23"/>
      <x:c r="K114" s="23" t="str">
        <x:f>IF(OR(I114="",J114=""),"",I114*J114)</x:f>
      </x:c>
      <x:c r="L114" s="23" t="str">
        <x:f>IF(K114="","",K114-H114)</x:f>
      </x:c>
      <x:c r="M114" s="19" t="str">
        <x:f>IFERROR(L114/H114,"")</x:f>
      </x:c>
      <x:c r="N114" s="18"/>
      <x:c r="O114" s="23"/>
      <x:c r="P114" s="23" t="str">
        <x:f>IF(OR(I114="",O114=""),"",I114*O114)</x:f>
      </x:c>
      <x:c r="Q114" s="23" t="str">
        <x:f>IF(P114="","",P114-H114)</x:f>
      </x:c>
      <x:c r="R114" s="44"/>
    </x:row>
    <x:row r="115">
      <x:c r="F115" s="18"/>
      <x:c r="G115" s="23"/>
      <x:c r="H115" s="23"/>
      <x:c r="I115" t="str">
        <x:f>IFERROR(H115/G115,"")</x:f>
      </x:c>
      <x:c r="J115" s="23"/>
      <x:c r="K115" s="23" t="str">
        <x:f>IF(OR(I115="",J115=""),"",I115*J115)</x:f>
      </x:c>
      <x:c r="L115" s="23" t="str">
        <x:f>IF(K115="","",K115-H115)</x:f>
      </x:c>
      <x:c r="M115" s="19" t="str">
        <x:f>IFERROR(L115/H115,"")</x:f>
      </x:c>
      <x:c r="N115" s="18"/>
      <x:c r="O115" s="23"/>
      <x:c r="P115" s="23" t="str">
        <x:f>IF(OR(I115="",O115=""),"",I115*O115)</x:f>
      </x:c>
      <x:c r="Q115" s="23" t="str">
        <x:f>IF(P115="","",P115-H115)</x:f>
      </x:c>
      <x:c r="R115" s="44"/>
    </x:row>
    <x:row r="116">
      <x:c r="F116" s="18"/>
      <x:c r="G116" s="23"/>
      <x:c r="H116" s="23"/>
      <x:c r="I116" t="str">
        <x:f>IFERROR(H116/G116,"")</x:f>
      </x:c>
      <x:c r="J116" s="23"/>
      <x:c r="K116" s="23" t="str">
        <x:f>IF(OR(I116="",J116=""),"",I116*J116)</x:f>
      </x:c>
      <x:c r="L116" s="23" t="str">
        <x:f>IF(K116="","",K116-H116)</x:f>
      </x:c>
      <x:c r="M116" s="19" t="str">
        <x:f>IFERROR(L116/H116,"")</x:f>
      </x:c>
      <x:c r="N116" s="18"/>
      <x:c r="O116" s="23"/>
      <x:c r="P116" s="23" t="str">
        <x:f>IF(OR(I116="",O116=""),"",I116*O116)</x:f>
      </x:c>
      <x:c r="Q116" s="23" t="str">
        <x:f>IF(P116="","",P116-H116)</x:f>
      </x:c>
      <x:c r="R116" s="44"/>
    </x:row>
    <x:row r="117">
      <x:c r="F117" s="18"/>
      <x:c r="G117" s="23"/>
      <x:c r="H117" s="23"/>
      <x:c r="I117" t="str">
        <x:f>IFERROR(H117/G117,"")</x:f>
      </x:c>
      <x:c r="J117" s="23"/>
      <x:c r="K117" s="23" t="str">
        <x:f>IF(OR(I117="",J117=""),"",I117*J117)</x:f>
      </x:c>
      <x:c r="L117" s="23" t="str">
        <x:f>IF(K117="","",K117-H117)</x:f>
      </x:c>
      <x:c r="M117" s="19" t="str">
        <x:f>IFERROR(L117/H117,"")</x:f>
      </x:c>
      <x:c r="N117" s="18"/>
      <x:c r="O117" s="23"/>
      <x:c r="P117" s="23" t="str">
        <x:f>IF(OR(I117="",O117=""),"",I117*O117)</x:f>
      </x:c>
      <x:c r="Q117" s="23" t="str">
        <x:f>IF(P117="","",P117-H117)</x:f>
      </x:c>
      <x:c r="R117" s="44"/>
    </x:row>
    <x:row r="118">
      <x:c r="F118" s="18"/>
      <x:c r="G118" s="23"/>
      <x:c r="H118" s="23"/>
      <x:c r="I118" t="str">
        <x:f>IFERROR(H118/G118,"")</x:f>
      </x:c>
      <x:c r="J118" s="23"/>
      <x:c r="K118" s="23" t="str">
        <x:f>IF(OR(I118="",J118=""),"",I118*J118)</x:f>
      </x:c>
      <x:c r="L118" s="23" t="str">
        <x:f>IF(K118="","",K118-H118)</x:f>
      </x:c>
      <x:c r="M118" s="19" t="str">
        <x:f>IFERROR(L118/H118,"")</x:f>
      </x:c>
      <x:c r="N118" s="18"/>
      <x:c r="O118" s="23"/>
      <x:c r="P118" s="23" t="str">
        <x:f>IF(OR(I118="",O118=""),"",I118*O118)</x:f>
      </x:c>
      <x:c r="Q118" s="23" t="str">
        <x:f>IF(P118="","",P118-H118)</x:f>
      </x:c>
      <x:c r="R118" s="44"/>
    </x:row>
    <x:row r="119">
      <x:c r="F119" s="18"/>
      <x:c r="G119" s="23"/>
      <x:c r="H119" s="23"/>
      <x:c r="I119" t="str">
        <x:f>IFERROR(H119/G119,"")</x:f>
      </x:c>
      <x:c r="J119" s="23"/>
      <x:c r="K119" s="23" t="str">
        <x:f>IF(OR(I119="",J119=""),"",I119*J119)</x:f>
      </x:c>
      <x:c r="L119" s="23" t="str">
        <x:f>IF(K119="","",K119-H119)</x:f>
      </x:c>
      <x:c r="M119" s="19" t="str">
        <x:f>IFERROR(L119/H119,"")</x:f>
      </x:c>
      <x:c r="N119" s="18"/>
      <x:c r="O119" s="23"/>
      <x:c r="P119" s="23" t="str">
        <x:f>IF(OR(I119="",O119=""),"",I119*O119)</x:f>
      </x:c>
      <x:c r="Q119" s="23" t="str">
        <x:f>IF(P119="","",P119-H119)</x:f>
      </x:c>
      <x:c r="R119" s="44"/>
    </x:row>
    <x:row r="120">
      <x:c r="F120" s="18"/>
      <x:c r="G120" s="23"/>
      <x:c r="H120" s="23"/>
      <x:c r="I120" t="str">
        <x:f>IFERROR(H120/G120,"")</x:f>
      </x:c>
      <x:c r="J120" s="23"/>
      <x:c r="K120" s="23" t="str">
        <x:f>IF(OR(I120="",J120=""),"",I120*J120)</x:f>
      </x:c>
      <x:c r="L120" s="23" t="str">
        <x:f>IF(K120="","",K120-H120)</x:f>
      </x:c>
      <x:c r="M120" s="19" t="str">
        <x:f>IFERROR(L120/H120,"")</x:f>
      </x:c>
      <x:c r="N120" s="18"/>
      <x:c r="O120" s="23"/>
      <x:c r="P120" s="23" t="str">
        <x:f>IF(OR(I120="",O120=""),"",I120*O120)</x:f>
      </x:c>
      <x:c r="Q120" s="23" t="str">
        <x:f>IF(P120="","",P120-H120)</x:f>
      </x:c>
      <x:c r="R120" s="44"/>
    </x:row>
    <x:row r="121">
      <x:c r="F121" s="18"/>
      <x:c r="G121" s="23"/>
      <x:c r="H121" s="23"/>
      <x:c r="I121" t="str">
        <x:f>IFERROR(H121/G121,"")</x:f>
      </x:c>
      <x:c r="J121" s="23"/>
      <x:c r="K121" s="23" t="str">
        <x:f>IF(OR(I121="",J121=""),"",I121*J121)</x:f>
      </x:c>
      <x:c r="L121" s="23" t="str">
        <x:f>IF(K121="","",K121-H121)</x:f>
      </x:c>
      <x:c r="M121" s="19" t="str">
        <x:f>IFERROR(L121/H121,"")</x:f>
      </x:c>
      <x:c r="N121" s="18"/>
      <x:c r="O121" s="23"/>
      <x:c r="P121" s="23" t="str">
        <x:f>IF(OR(I121="",O121=""),"",I121*O121)</x:f>
      </x:c>
      <x:c r="Q121" s="23" t="str">
        <x:f>IF(P121="","",P121-H121)</x:f>
      </x:c>
      <x:c r="R121" s="44"/>
    </x:row>
    <x:row r="122">
      <x:c r="F122" s="18"/>
      <x:c r="G122" s="23"/>
      <x:c r="H122" s="23"/>
      <x:c r="I122" t="str">
        <x:f>IFERROR(H122/G122,"")</x:f>
      </x:c>
      <x:c r="J122" s="23"/>
      <x:c r="K122" s="23" t="str">
        <x:f>IF(OR(I122="",J122=""),"",I122*J122)</x:f>
      </x:c>
      <x:c r="L122" s="23" t="str">
        <x:f>IF(K122="","",K122-H122)</x:f>
      </x:c>
      <x:c r="M122" s="19" t="str">
        <x:f>IFERROR(L122/H122,"")</x:f>
      </x:c>
      <x:c r="N122" s="18"/>
      <x:c r="O122" s="23"/>
      <x:c r="P122" s="23" t="str">
        <x:f>IF(OR(I122="",O122=""),"",I122*O122)</x:f>
      </x:c>
      <x:c r="Q122" s="23" t="str">
        <x:f>IF(P122="","",P122-H122)</x:f>
      </x:c>
      <x:c r="R122" s="44"/>
    </x:row>
    <x:row r="123">
      <x:c r="F123" s="18"/>
      <x:c r="G123" s="23"/>
      <x:c r="H123" s="23"/>
      <x:c r="I123" t="str">
        <x:f>IFERROR(H123/G123,"")</x:f>
      </x:c>
      <x:c r="J123" s="23"/>
      <x:c r="K123" s="23" t="str">
        <x:f>IF(OR(I123="",J123=""),"",I123*J123)</x:f>
      </x:c>
      <x:c r="L123" s="23" t="str">
        <x:f>IF(K123="","",K123-H123)</x:f>
      </x:c>
      <x:c r="M123" s="19" t="str">
        <x:f>IFERROR(L123/H123,"")</x:f>
      </x:c>
      <x:c r="N123" s="18"/>
      <x:c r="O123" s="23"/>
      <x:c r="P123" s="23" t="str">
        <x:f>IF(OR(I123="",O123=""),"",I123*O123)</x:f>
      </x:c>
      <x:c r="Q123" s="23" t="str">
        <x:f>IF(P123="","",P123-H123)</x:f>
      </x:c>
      <x:c r="R123" s="44"/>
    </x:row>
    <x:row r="124">
      <x:c r="F124" s="18"/>
      <x:c r="G124" s="23"/>
      <x:c r="H124" s="23"/>
      <x:c r="I124" t="str">
        <x:f>IFERROR(H124/G124,"")</x:f>
      </x:c>
      <x:c r="J124" s="23"/>
      <x:c r="K124" s="23" t="str">
        <x:f>IF(OR(I124="",J124=""),"",I124*J124)</x:f>
      </x:c>
      <x:c r="L124" s="23" t="str">
        <x:f>IF(K124="","",K124-H124)</x:f>
      </x:c>
      <x:c r="M124" s="19" t="str">
        <x:f>IFERROR(L124/H124,"")</x:f>
      </x:c>
      <x:c r="N124" s="18"/>
      <x:c r="O124" s="23"/>
      <x:c r="P124" s="23" t="str">
        <x:f>IF(OR(I124="",O124=""),"",I124*O124)</x:f>
      </x:c>
      <x:c r="Q124" s="23" t="str">
        <x:f>IF(P124="","",P124-H124)</x:f>
      </x:c>
      <x:c r="R124" s="44"/>
    </x:row>
    <x:row r="125">
      <x:c r="F125" s="18"/>
      <x:c r="G125" s="23"/>
      <x:c r="H125" s="23"/>
      <x:c r="I125" t="str">
        <x:f>IFERROR(H125/G125,"")</x:f>
      </x:c>
      <x:c r="J125" s="23"/>
      <x:c r="K125" s="23" t="str">
        <x:f>IF(OR(I125="",J125=""),"",I125*J125)</x:f>
      </x:c>
      <x:c r="L125" s="23" t="str">
        <x:f>IF(K125="","",K125-H125)</x:f>
      </x:c>
      <x:c r="M125" s="19" t="str">
        <x:f>IFERROR(L125/H125,"")</x:f>
      </x:c>
      <x:c r="N125" s="18"/>
      <x:c r="O125" s="23"/>
      <x:c r="P125" s="23" t="str">
        <x:f>IF(OR(I125="",O125=""),"",I125*O125)</x:f>
      </x:c>
      <x:c r="Q125" s="23" t="str">
        <x:f>IF(P125="","",P125-H125)</x:f>
      </x:c>
      <x:c r="R125" s="44"/>
    </x:row>
    <x:row r="126">
      <x:c r="F126" s="18"/>
      <x:c r="G126" s="23"/>
      <x:c r="H126" s="23"/>
      <x:c r="I126" t="str">
        <x:f>IFERROR(H126/G126,"")</x:f>
      </x:c>
      <x:c r="J126" s="23"/>
      <x:c r="K126" s="23" t="str">
        <x:f>IF(OR(I126="",J126=""),"",I126*J126)</x:f>
      </x:c>
      <x:c r="L126" s="23" t="str">
        <x:f>IF(K126="","",K126-H126)</x:f>
      </x:c>
      <x:c r="M126" s="19" t="str">
        <x:f>IFERROR(L126/H126,"")</x:f>
      </x:c>
      <x:c r="N126" s="18"/>
      <x:c r="O126" s="23"/>
      <x:c r="P126" s="23" t="str">
        <x:f>IF(OR(I126="",O126=""),"",I126*O126)</x:f>
      </x:c>
      <x:c r="Q126" s="23" t="str">
        <x:f>IF(P126="","",P126-H126)</x:f>
      </x:c>
      <x:c r="R126" s="44"/>
    </x:row>
    <x:row r="127">
      <x:c r="F127" s="18"/>
      <x:c r="G127" s="23"/>
      <x:c r="H127" s="23"/>
      <x:c r="I127" t="str">
        <x:f>IFERROR(H127/G127,"")</x:f>
      </x:c>
      <x:c r="J127" s="23"/>
      <x:c r="K127" s="23" t="str">
        <x:f>IF(OR(I127="",J127=""),"",I127*J127)</x:f>
      </x:c>
      <x:c r="L127" s="23" t="str">
        <x:f>IF(K127="","",K127-H127)</x:f>
      </x:c>
      <x:c r="M127" s="19" t="str">
        <x:f>IFERROR(L127/H127,"")</x:f>
      </x:c>
      <x:c r="N127" s="18"/>
      <x:c r="O127" s="23"/>
      <x:c r="P127" s="23" t="str">
        <x:f>IF(OR(I127="",O127=""),"",I127*O127)</x:f>
      </x:c>
      <x:c r="Q127" s="23" t="str">
        <x:f>IF(P127="","",P127-H127)</x:f>
      </x:c>
      <x:c r="R127" s="44"/>
    </x:row>
    <x:row r="128">
      <x:c r="F128" s="18"/>
      <x:c r="G128" s="23"/>
      <x:c r="H128" s="23"/>
      <x:c r="I128" t="str">
        <x:f>IFERROR(H128/G128,"")</x:f>
      </x:c>
      <x:c r="J128" s="23"/>
      <x:c r="K128" s="23" t="str">
        <x:f>IF(OR(I128="",J128=""),"",I128*J128)</x:f>
      </x:c>
      <x:c r="L128" s="23" t="str">
        <x:f>IF(K128="","",K128-H128)</x:f>
      </x:c>
      <x:c r="M128" s="19" t="str">
        <x:f>IFERROR(L128/H128,"")</x:f>
      </x:c>
      <x:c r="N128" s="18"/>
      <x:c r="O128" s="23"/>
      <x:c r="P128" s="23" t="str">
        <x:f>IF(OR(I128="",O128=""),"",I128*O128)</x:f>
      </x:c>
      <x:c r="Q128" s="23" t="str">
        <x:f>IF(P128="","",P128-H128)</x:f>
      </x:c>
      <x:c r="R128" s="44"/>
    </x:row>
    <x:row r="129">
      <x:c r="F129" s="18"/>
      <x:c r="G129" s="23"/>
      <x:c r="H129" s="23"/>
      <x:c r="I129" t="str">
        <x:f>IFERROR(H129/G129,"")</x:f>
      </x:c>
      <x:c r="J129" s="23"/>
      <x:c r="K129" s="23" t="str">
        <x:f>IF(OR(I129="",J129=""),"",I129*J129)</x:f>
      </x:c>
      <x:c r="L129" s="23" t="str">
        <x:f>IF(K129="","",K129-H129)</x:f>
      </x:c>
      <x:c r="M129" s="19" t="str">
        <x:f>IFERROR(L129/H129,"")</x:f>
      </x:c>
      <x:c r="N129" s="18"/>
      <x:c r="O129" s="23"/>
      <x:c r="P129" s="23" t="str">
        <x:f>IF(OR(I129="",O129=""),"",I129*O129)</x:f>
      </x:c>
      <x:c r="Q129" s="23" t="str">
        <x:f>IF(P129="","",P129-H129)</x:f>
      </x:c>
      <x:c r="R129" s="44"/>
    </x:row>
    <x:row r="130">
      <x:c r="F130" s="18"/>
      <x:c r="G130" s="23"/>
      <x:c r="H130" s="23"/>
      <x:c r="I130" t="str">
        <x:f>IFERROR(H130/G130,"")</x:f>
      </x:c>
      <x:c r="J130" s="23"/>
      <x:c r="K130" s="23" t="str">
        <x:f>IF(OR(I130="",J130=""),"",I130*J130)</x:f>
      </x:c>
      <x:c r="L130" s="23" t="str">
        <x:f>IF(K130="","",K130-H130)</x:f>
      </x:c>
      <x:c r="M130" s="19" t="str">
        <x:f>IFERROR(L130/H130,"")</x:f>
      </x:c>
      <x:c r="N130" s="18"/>
      <x:c r="O130" s="23"/>
      <x:c r="P130" s="23" t="str">
        <x:f>IF(OR(I130="",O130=""),"",I130*O130)</x:f>
      </x:c>
      <x:c r="Q130" s="23" t="str">
        <x:f>IF(P130="","",P130-H130)</x:f>
      </x:c>
      <x:c r="R130" s="44"/>
    </x:row>
    <x:row r="131">
      <x:c r="F131" s="18"/>
      <x:c r="G131" s="23"/>
      <x:c r="H131" s="23"/>
      <x:c r="I131" t="str">
        <x:f>IFERROR(H131/G131,"")</x:f>
      </x:c>
      <x:c r="J131" s="23"/>
      <x:c r="K131" s="23" t="str">
        <x:f>IF(OR(I131="",J131=""),"",I131*J131)</x:f>
      </x:c>
      <x:c r="L131" s="23" t="str">
        <x:f>IF(K131="","",K131-H131)</x:f>
      </x:c>
      <x:c r="M131" s="19" t="str">
        <x:f>IFERROR(L131/H131,"")</x:f>
      </x:c>
      <x:c r="N131" s="18"/>
      <x:c r="O131" s="23"/>
      <x:c r="P131" s="23" t="str">
        <x:f>IF(OR(I131="",O131=""),"",I131*O131)</x:f>
      </x:c>
      <x:c r="Q131" s="23" t="str">
        <x:f>IF(P131="","",P131-H131)</x:f>
      </x:c>
      <x:c r="R131" s="44"/>
    </x:row>
    <x:row r="132">
      <x:c r="F132" s="18"/>
      <x:c r="G132" s="23"/>
      <x:c r="H132" s="23"/>
      <x:c r="I132" t="str">
        <x:f>IFERROR(H132/G132,"")</x:f>
      </x:c>
      <x:c r="J132" s="23"/>
      <x:c r="K132" s="23" t="str">
        <x:f>IF(OR(I132="",J132=""),"",I132*J132)</x:f>
      </x:c>
      <x:c r="L132" s="23" t="str">
        <x:f>IF(K132="","",K132-H132)</x:f>
      </x:c>
      <x:c r="M132" s="19" t="str">
        <x:f>IFERROR(L132/H132,"")</x:f>
      </x:c>
      <x:c r="N132" s="18"/>
      <x:c r="O132" s="23"/>
      <x:c r="P132" s="23" t="str">
        <x:f>IF(OR(I132="",O132=""),"",I132*O132)</x:f>
      </x:c>
      <x:c r="Q132" s="23" t="str">
        <x:f>IF(P132="","",P132-H132)</x:f>
      </x:c>
      <x:c r="R132" s="44"/>
    </x:row>
    <x:row r="133">
      <x:c r="F133" s="18"/>
      <x:c r="G133" s="23"/>
      <x:c r="H133" s="23"/>
      <x:c r="I133" t="str">
        <x:f>IFERROR(H133/G133,"")</x:f>
      </x:c>
      <x:c r="J133" s="23"/>
      <x:c r="K133" s="23" t="str">
        <x:f>IF(OR(I133="",J133=""),"",I133*J133)</x:f>
      </x:c>
      <x:c r="L133" s="23" t="str">
        <x:f>IF(K133="","",K133-H133)</x:f>
      </x:c>
      <x:c r="M133" s="19" t="str">
        <x:f>IFERROR(L133/H133,"")</x:f>
      </x:c>
      <x:c r="N133" s="18"/>
      <x:c r="O133" s="23"/>
      <x:c r="P133" s="23" t="str">
        <x:f>IF(OR(I133="",O133=""),"",I133*O133)</x:f>
      </x:c>
      <x:c r="Q133" s="23" t="str">
        <x:f>IF(P133="","",P133-H133)</x:f>
      </x:c>
      <x:c r="R133" s="44"/>
    </x:row>
    <x:row r="134">
      <x:c r="F134" s="18"/>
      <x:c r="G134" s="23"/>
      <x:c r="H134" s="23"/>
      <x:c r="I134" t="str">
        <x:f>IFERROR(H134/G134,"")</x:f>
      </x:c>
      <x:c r="J134" s="23"/>
      <x:c r="K134" s="23" t="str">
        <x:f>IF(OR(I134="",J134=""),"",I134*J134)</x:f>
      </x:c>
      <x:c r="L134" s="23" t="str">
        <x:f>IF(K134="","",K134-H134)</x:f>
      </x:c>
      <x:c r="M134" s="19" t="str">
        <x:f>IFERROR(L134/H134,"")</x:f>
      </x:c>
      <x:c r="N134" s="18"/>
      <x:c r="O134" s="23"/>
      <x:c r="P134" s="23" t="str">
        <x:f>IF(OR(I134="",O134=""),"",I134*O134)</x:f>
      </x:c>
      <x:c r="Q134" s="23" t="str">
        <x:f>IF(P134="","",P134-H134)</x:f>
      </x:c>
      <x:c r="R134" s="44"/>
    </x:row>
    <x:row r="135">
      <x:c r="F135" s="18"/>
      <x:c r="G135" s="23"/>
      <x:c r="H135" s="23"/>
      <x:c r="I135" t="str">
        <x:f>IFERROR(H135/G135,"")</x:f>
      </x:c>
      <x:c r="J135" s="23"/>
      <x:c r="K135" s="23" t="str">
        <x:f>IF(OR(I135="",J135=""),"",I135*J135)</x:f>
      </x:c>
      <x:c r="L135" s="23" t="str">
        <x:f>IF(K135="","",K135-H135)</x:f>
      </x:c>
      <x:c r="M135" s="19" t="str">
        <x:f>IFERROR(L135/H135,"")</x:f>
      </x:c>
      <x:c r="N135" s="18"/>
      <x:c r="O135" s="23"/>
      <x:c r="P135" s="23" t="str">
        <x:f>IF(OR(I135="",O135=""),"",I135*O135)</x:f>
      </x:c>
      <x:c r="Q135" s="23" t="str">
        <x:f>IF(P135="","",P135-H135)</x:f>
      </x:c>
      <x:c r="R135" s="44"/>
    </x:row>
    <x:row r="136">
      <x:c r="F136" s="18"/>
      <x:c r="G136" s="23"/>
      <x:c r="H136" s="23"/>
      <x:c r="I136" t="str">
        <x:f>IFERROR(H136/G136,"")</x:f>
      </x:c>
      <x:c r="J136" s="23"/>
      <x:c r="K136" s="23" t="str">
        <x:f>IF(OR(I136="",J136=""),"",I136*J136)</x:f>
      </x:c>
      <x:c r="L136" s="23" t="str">
        <x:f>IF(K136="","",K136-H136)</x:f>
      </x:c>
      <x:c r="M136" s="19" t="str">
        <x:f>IFERROR(L136/H136,"")</x:f>
      </x:c>
      <x:c r="N136" s="18"/>
      <x:c r="O136" s="23"/>
      <x:c r="P136" s="23" t="str">
        <x:f>IF(OR(I136="",O136=""),"",I136*O136)</x:f>
      </x:c>
      <x:c r="Q136" s="23" t="str">
        <x:f>IF(P136="","",P136-H136)</x:f>
      </x:c>
      <x:c r="R136" s="44"/>
    </x:row>
    <x:row r="137">
      <x:c r="F137" s="18"/>
      <x:c r="G137" s="23"/>
      <x:c r="H137" s="23"/>
      <x:c r="I137" t="str">
        <x:f>IFERROR(H137/G137,"")</x:f>
      </x:c>
      <x:c r="J137" s="23"/>
      <x:c r="K137" s="23" t="str">
        <x:f>IF(OR(I137="",J137=""),"",I137*J137)</x:f>
      </x:c>
      <x:c r="L137" s="23" t="str">
        <x:f>IF(K137="","",K137-H137)</x:f>
      </x:c>
      <x:c r="M137" s="19" t="str">
        <x:f>IFERROR(L137/H137,"")</x:f>
      </x:c>
      <x:c r="N137" s="18"/>
      <x:c r="O137" s="23"/>
      <x:c r="P137" s="23" t="str">
        <x:f>IF(OR(I137="",O137=""),"",I137*O137)</x:f>
      </x:c>
      <x:c r="Q137" s="23" t="str">
        <x:f>IF(P137="","",P137-H137)</x:f>
      </x:c>
      <x:c r="R137" s="44"/>
    </x:row>
    <x:row r="138">
      <x:c r="F138" s="18"/>
      <x:c r="G138" s="23"/>
      <x:c r="H138" s="23"/>
      <x:c r="I138" t="str">
        <x:f>IFERROR(H138/G138,"")</x:f>
      </x:c>
      <x:c r="J138" s="23"/>
      <x:c r="K138" s="23" t="str">
        <x:f>IF(OR(I138="",J138=""),"",I138*J138)</x:f>
      </x:c>
      <x:c r="L138" s="23" t="str">
        <x:f>IF(K138="","",K138-H138)</x:f>
      </x:c>
      <x:c r="M138" s="19" t="str">
        <x:f>IFERROR(L138/H138,"")</x:f>
      </x:c>
      <x:c r="N138" s="18"/>
      <x:c r="O138" s="23"/>
      <x:c r="P138" s="23" t="str">
        <x:f>IF(OR(I138="",O138=""),"",I138*O138)</x:f>
      </x:c>
      <x:c r="Q138" s="23" t="str">
        <x:f>IF(P138="","",P138-H138)</x:f>
      </x:c>
      <x:c r="R138" s="44"/>
    </x:row>
    <x:row r="139">
      <x:c r="F139" s="18"/>
      <x:c r="G139" s="23"/>
      <x:c r="H139" s="23"/>
      <x:c r="I139" t="str">
        <x:f>IFERROR(H139/G139,"")</x:f>
      </x:c>
      <x:c r="J139" s="23"/>
      <x:c r="K139" s="23" t="str">
        <x:f>IF(OR(I139="",J139=""),"",I139*J139)</x:f>
      </x:c>
      <x:c r="L139" s="23" t="str">
        <x:f>IF(K139="","",K139-H139)</x:f>
      </x:c>
      <x:c r="M139" s="19" t="str">
        <x:f>IFERROR(L139/H139,"")</x:f>
      </x:c>
      <x:c r="N139" s="18"/>
      <x:c r="O139" s="23"/>
      <x:c r="P139" s="23" t="str">
        <x:f>IF(OR(I139="",O139=""),"",I139*O139)</x:f>
      </x:c>
      <x:c r="Q139" s="23" t="str">
        <x:f>IF(P139="","",P139-H139)</x:f>
      </x:c>
      <x:c r="R139" s="44"/>
    </x:row>
    <x:row r="140">
      <x:c r="F140" s="18"/>
      <x:c r="G140" s="23"/>
      <x:c r="H140" s="23"/>
      <x:c r="I140" t="str">
        <x:f>IFERROR(H140/G140,"")</x:f>
      </x:c>
      <x:c r="J140" s="23"/>
      <x:c r="K140" s="23" t="str">
        <x:f>IF(OR(I140="",J140=""),"",I140*J140)</x:f>
      </x:c>
      <x:c r="L140" s="23" t="str">
        <x:f>IF(K140="","",K140-H140)</x:f>
      </x:c>
      <x:c r="M140" s="19" t="str">
        <x:f>IFERROR(L140/H140,"")</x:f>
      </x:c>
      <x:c r="N140" s="18"/>
      <x:c r="O140" s="23"/>
      <x:c r="P140" s="23" t="str">
        <x:f>IF(OR(I140="",O140=""),"",I140*O140)</x:f>
      </x:c>
      <x:c r="Q140" s="23" t="str">
        <x:f>IF(P140="","",P140-H140)</x:f>
      </x:c>
      <x:c r="R140" s="44"/>
    </x:row>
    <x:row r="141">
      <x:c r="F141" s="18"/>
      <x:c r="G141" s="23"/>
      <x:c r="H141" s="23"/>
      <x:c r="I141" t="str">
        <x:f>IFERROR(H141/G141,"")</x:f>
      </x:c>
      <x:c r="J141" s="23"/>
      <x:c r="K141" s="23" t="str">
        <x:f>IF(OR(I141="",J141=""),"",I141*J141)</x:f>
      </x:c>
      <x:c r="L141" s="23" t="str">
        <x:f>IF(K141="","",K141-H141)</x:f>
      </x:c>
      <x:c r="M141" s="19" t="str">
        <x:f>IFERROR(L141/H141,"")</x:f>
      </x:c>
      <x:c r="N141" s="18"/>
      <x:c r="O141" s="23"/>
      <x:c r="P141" s="23" t="str">
        <x:f>IF(OR(I141="",O141=""),"",I141*O141)</x:f>
      </x:c>
      <x:c r="Q141" s="23" t="str">
        <x:f>IF(P141="","",P141-H141)</x:f>
      </x:c>
      <x:c r="R141" s="44"/>
    </x:row>
    <x:row r="142">
      <x:c r="F142" s="18"/>
      <x:c r="G142" s="23"/>
      <x:c r="H142" s="23"/>
      <x:c r="I142" t="str">
        <x:f>IFERROR(H142/G142,"")</x:f>
      </x:c>
      <x:c r="J142" s="23"/>
      <x:c r="K142" s="23" t="str">
        <x:f>IF(OR(I142="",J142=""),"",I142*J142)</x:f>
      </x:c>
      <x:c r="L142" s="23" t="str">
        <x:f>IF(K142="","",K142-H142)</x:f>
      </x:c>
      <x:c r="M142" s="19" t="str">
        <x:f>IFERROR(L142/H142,"")</x:f>
      </x:c>
      <x:c r="N142" s="18"/>
      <x:c r="O142" s="23"/>
      <x:c r="P142" s="23" t="str">
        <x:f>IF(OR(I142="",O142=""),"",I142*O142)</x:f>
      </x:c>
      <x:c r="Q142" s="23" t="str">
        <x:f>IF(P142="","",P142-H142)</x:f>
      </x:c>
      <x:c r="R142" s="44"/>
    </x:row>
    <x:row r="143">
      <x:c r="F143" s="18"/>
      <x:c r="G143" s="23"/>
      <x:c r="H143" s="23"/>
      <x:c r="I143" t="str">
        <x:f>IFERROR(H143/G143,"")</x:f>
      </x:c>
      <x:c r="J143" s="23"/>
      <x:c r="K143" s="23" t="str">
        <x:f>IF(OR(I143="",J143=""),"",I143*J143)</x:f>
      </x:c>
      <x:c r="L143" s="23" t="str">
        <x:f>IF(K143="","",K143-H143)</x:f>
      </x:c>
      <x:c r="M143" s="19" t="str">
        <x:f>IFERROR(L143/H143,"")</x:f>
      </x:c>
      <x:c r="N143" s="18"/>
      <x:c r="O143" s="23"/>
      <x:c r="P143" s="23" t="str">
        <x:f>IF(OR(I143="",O143=""),"",I143*O143)</x:f>
      </x:c>
      <x:c r="Q143" s="23" t="str">
        <x:f>IF(P143="","",P143-H143)</x:f>
      </x:c>
      <x:c r="R143" s="44"/>
    </x:row>
    <x:row r="144">
      <x:c r="F144" s="18"/>
      <x:c r="G144" s="23"/>
      <x:c r="H144" s="23"/>
      <x:c r="I144" t="str">
        <x:f>IFERROR(H144/G144,"")</x:f>
      </x:c>
      <x:c r="J144" s="23"/>
      <x:c r="K144" s="23" t="str">
        <x:f>IF(OR(I144="",J144=""),"",I144*J144)</x:f>
      </x:c>
      <x:c r="L144" s="23" t="str">
        <x:f>IF(K144="","",K144-H144)</x:f>
      </x:c>
      <x:c r="M144" s="19" t="str">
        <x:f>IFERROR(L144/H144,"")</x:f>
      </x:c>
      <x:c r="N144" s="18"/>
      <x:c r="O144" s="23"/>
      <x:c r="P144" s="23" t="str">
        <x:f>IF(OR(I144="",O144=""),"",I144*O144)</x:f>
      </x:c>
      <x:c r="Q144" s="23" t="str">
        <x:f>IF(P144="","",P144-H144)</x:f>
      </x:c>
      <x:c r="R144" s="44"/>
    </x:row>
    <x:row r="145">
      <x:c r="F145" s="18"/>
      <x:c r="G145" s="23"/>
      <x:c r="H145" s="23"/>
      <x:c r="I145" t="str">
        <x:f>IFERROR(H145/G145,"")</x:f>
      </x:c>
      <x:c r="J145" s="23"/>
      <x:c r="K145" s="23" t="str">
        <x:f>IF(OR(I145="",J145=""),"",I145*J145)</x:f>
      </x:c>
      <x:c r="L145" s="23" t="str">
        <x:f>IF(K145="","",K145-H145)</x:f>
      </x:c>
      <x:c r="M145" s="19" t="str">
        <x:f>IFERROR(L145/H145,"")</x:f>
      </x:c>
      <x:c r="N145" s="18"/>
      <x:c r="O145" s="23"/>
      <x:c r="P145" s="23" t="str">
        <x:f>IF(OR(I145="",O145=""),"",I145*O145)</x:f>
      </x:c>
      <x:c r="Q145" s="23" t="str">
        <x:f>IF(P145="","",P145-H145)</x:f>
      </x:c>
      <x:c r="R145" s="44"/>
    </x:row>
    <x:row r="146">
      <x:c r="F146" s="18"/>
      <x:c r="G146" s="23"/>
      <x:c r="H146" s="23"/>
      <x:c r="I146" t="str">
        <x:f>IFERROR(H146/G146,"")</x:f>
      </x:c>
      <x:c r="J146" s="23"/>
      <x:c r="K146" s="23" t="str">
        <x:f>IF(OR(I146="",J146=""),"",I146*J146)</x:f>
      </x:c>
      <x:c r="L146" s="23" t="str">
        <x:f>IF(K146="","",K146-H146)</x:f>
      </x:c>
      <x:c r="M146" s="19" t="str">
        <x:f>IFERROR(L146/H146,"")</x:f>
      </x:c>
      <x:c r="N146" s="18"/>
      <x:c r="O146" s="23"/>
      <x:c r="P146" s="23" t="str">
        <x:f>IF(OR(I146="",O146=""),"",I146*O146)</x:f>
      </x:c>
      <x:c r="Q146" s="23" t="str">
        <x:f>IF(P146="","",P146-H146)</x:f>
      </x:c>
      <x:c r="R146" s="44"/>
    </x:row>
    <x:row r="147">
      <x:c r="F147" s="18"/>
      <x:c r="G147" s="23"/>
      <x:c r="H147" s="23"/>
      <x:c r="I147" t="str">
        <x:f>IFERROR(H147/G147,"")</x:f>
      </x:c>
      <x:c r="J147" s="23"/>
      <x:c r="K147" s="23" t="str">
        <x:f>IF(OR(I147="",J147=""),"",I147*J147)</x:f>
      </x:c>
      <x:c r="L147" s="23" t="str">
        <x:f>IF(K147="","",K147-H147)</x:f>
      </x:c>
      <x:c r="M147" s="19" t="str">
        <x:f>IFERROR(L147/H147,"")</x:f>
      </x:c>
      <x:c r="N147" s="18"/>
      <x:c r="O147" s="23"/>
      <x:c r="P147" s="23" t="str">
        <x:f>IF(OR(I147="",O147=""),"",I147*O147)</x:f>
      </x:c>
      <x:c r="Q147" s="23" t="str">
        <x:f>IF(P147="","",P147-H147)</x:f>
      </x:c>
      <x:c r="R147" s="44"/>
    </x:row>
    <x:row r="148">
      <x:c r="F148" s="18"/>
      <x:c r="G148" s="23"/>
      <x:c r="H148" s="23"/>
      <x:c r="I148" t="str">
        <x:f>IFERROR(H148/G148,"")</x:f>
      </x:c>
      <x:c r="J148" s="23"/>
      <x:c r="K148" s="23" t="str">
        <x:f>IF(OR(I148="",J148=""),"",I148*J148)</x:f>
      </x:c>
      <x:c r="L148" s="23" t="str">
        <x:f>IF(K148="","",K148-H148)</x:f>
      </x:c>
      <x:c r="M148" s="19" t="str">
        <x:f>IFERROR(L148/H148,"")</x:f>
      </x:c>
      <x:c r="N148" s="18"/>
      <x:c r="O148" s="23"/>
      <x:c r="P148" s="23" t="str">
        <x:f>IF(OR(I148="",O148=""),"",I148*O148)</x:f>
      </x:c>
      <x:c r="Q148" s="23" t="str">
        <x:f>IF(P148="","",P148-H148)</x:f>
      </x:c>
      <x:c r="R148" s="44"/>
    </x:row>
    <x:row r="149">
      <x:c r="F149" s="18"/>
      <x:c r="G149" s="23"/>
      <x:c r="H149" s="23"/>
      <x:c r="I149" t="str">
        <x:f>IFERROR(H149/G149,"")</x:f>
      </x:c>
      <x:c r="J149" s="23"/>
      <x:c r="K149" s="23" t="str">
        <x:f>IF(OR(I149="",J149=""),"",I149*J149)</x:f>
      </x:c>
      <x:c r="L149" s="23" t="str">
        <x:f>IF(K149="","",K149-H149)</x:f>
      </x:c>
      <x:c r="M149" s="19" t="str">
        <x:f>IFERROR(L149/H149,"")</x:f>
      </x:c>
      <x:c r="N149" s="18"/>
      <x:c r="O149" s="23"/>
      <x:c r="P149" s="23" t="str">
        <x:f>IF(OR(I149="",O149=""),"",I149*O149)</x:f>
      </x:c>
      <x:c r="Q149" s="23" t="str">
        <x:f>IF(P149="","",P149-H149)</x:f>
      </x:c>
      <x:c r="R149" s="44"/>
    </x:row>
    <x:row r="150">
      <x:c r="F150" s="18"/>
      <x:c r="G150" s="23"/>
      <x:c r="H150" s="23"/>
      <x:c r="I150" t="str">
        <x:f>IFERROR(H150/G150,"")</x:f>
      </x:c>
      <x:c r="J150" s="23"/>
      <x:c r="K150" s="23" t="str">
        <x:f>IF(OR(I150="",J150=""),"",I150*J150)</x:f>
      </x:c>
      <x:c r="L150" s="23" t="str">
        <x:f>IF(K150="","",K150-H150)</x:f>
      </x:c>
      <x:c r="M150" s="19" t="str">
        <x:f>IFERROR(L150/H150,"")</x:f>
      </x:c>
      <x:c r="N150" s="18"/>
      <x:c r="O150" s="23"/>
      <x:c r="P150" s="23" t="str">
        <x:f>IF(OR(I150="",O150=""),"",I150*O150)</x:f>
      </x:c>
      <x:c r="Q150" s="23" t="str">
        <x:f>IF(P150="","",P150-H150)</x:f>
      </x:c>
      <x:c r="R150" s="44"/>
    </x:row>
    <x:row r="151">
      <x:c r="F151" s="18"/>
      <x:c r="G151" s="23"/>
      <x:c r="H151" s="23"/>
      <x:c r="I151" t="str">
        <x:f>IFERROR(H151/G151,"")</x:f>
      </x:c>
      <x:c r="J151" s="23"/>
      <x:c r="K151" s="23" t="str">
        <x:f>IF(OR(I151="",J151=""),"",I151*J151)</x:f>
      </x:c>
      <x:c r="L151" s="23" t="str">
        <x:f>IF(K151="","",K151-H151)</x:f>
      </x:c>
      <x:c r="M151" s="19" t="str">
        <x:f>IFERROR(L151/H151,"")</x:f>
      </x:c>
      <x:c r="N151" s="18"/>
      <x:c r="O151" s="23"/>
      <x:c r="P151" s="23" t="str">
        <x:f>IF(OR(I151="",O151=""),"",I151*O151)</x:f>
      </x:c>
      <x:c r="Q151" s="23" t="str">
        <x:f>IF(P151="","",P151-H151)</x:f>
      </x:c>
      <x:c r="R151" s="44"/>
    </x:row>
    <x:row r="152">
      <x:c r="F152" s="18"/>
      <x:c r="G152" s="23"/>
      <x:c r="H152" s="23"/>
      <x:c r="I152" t="str">
        <x:f>IFERROR(H152/G152,"")</x:f>
      </x:c>
      <x:c r="J152" s="23"/>
      <x:c r="K152" s="23" t="str">
        <x:f>IF(OR(I152="",J152=""),"",I152*J152)</x:f>
      </x:c>
      <x:c r="L152" s="23" t="str">
        <x:f>IF(K152="","",K152-H152)</x:f>
      </x:c>
      <x:c r="M152" s="19" t="str">
        <x:f>IFERROR(L152/H152,"")</x:f>
      </x:c>
      <x:c r="N152" s="18"/>
      <x:c r="O152" s="23"/>
      <x:c r="P152" s="23" t="str">
        <x:f>IF(OR(I152="",O152=""),"",I152*O152)</x:f>
      </x:c>
      <x:c r="Q152" s="23" t="str">
        <x:f>IF(P152="","",P152-H152)</x:f>
      </x:c>
      <x:c r="R152" s="44"/>
    </x:row>
    <x:row r="153">
      <x:c r="F153" s="18"/>
      <x:c r="G153" s="23"/>
      <x:c r="H153" s="23"/>
      <x:c r="I153" t="str">
        <x:f>IFERROR(H153/G153,"")</x:f>
      </x:c>
      <x:c r="J153" s="23"/>
      <x:c r="K153" s="23" t="str">
        <x:f>IF(OR(I153="",J153=""),"",I153*J153)</x:f>
      </x:c>
      <x:c r="L153" s="23" t="str">
        <x:f>IF(K153="","",K153-H153)</x:f>
      </x:c>
      <x:c r="M153" s="19" t="str">
        <x:f>IFERROR(L153/H153,"")</x:f>
      </x:c>
      <x:c r="N153" s="18"/>
      <x:c r="O153" s="23"/>
      <x:c r="P153" s="23" t="str">
        <x:f>IF(OR(I153="",O153=""),"",I153*O153)</x:f>
      </x:c>
      <x:c r="Q153" s="23" t="str">
        <x:f>IF(P153="","",P153-H153)</x:f>
      </x:c>
      <x:c r="R153" s="44"/>
    </x:row>
    <x:row r="154">
      <x:c r="F154" s="18"/>
      <x:c r="G154" s="23"/>
      <x:c r="H154" s="23"/>
      <x:c r="I154" t="str">
        <x:f>IFERROR(H154/G154,"")</x:f>
      </x:c>
      <x:c r="J154" s="23"/>
      <x:c r="K154" s="23" t="str">
        <x:f>IF(OR(I154="",J154=""),"",I154*J154)</x:f>
      </x:c>
      <x:c r="L154" s="23" t="str">
        <x:f>IF(K154="","",K154-H154)</x:f>
      </x:c>
      <x:c r="M154" s="19" t="str">
        <x:f>IFERROR(L154/H154,"")</x:f>
      </x:c>
      <x:c r="N154" s="18"/>
      <x:c r="O154" s="23"/>
      <x:c r="P154" s="23" t="str">
        <x:f>IF(OR(I154="",O154=""),"",I154*O154)</x:f>
      </x:c>
      <x:c r="Q154" s="23" t="str">
        <x:f>IF(P154="","",P154-H154)</x:f>
      </x:c>
      <x:c r="R154" s="44"/>
    </x:row>
    <x:row r="155">
      <x:c r="F155" s="18"/>
      <x:c r="G155" s="23"/>
      <x:c r="H155" s="23"/>
      <x:c r="I155" t="str">
        <x:f>IFERROR(H155/G155,"")</x:f>
      </x:c>
      <x:c r="J155" s="23"/>
      <x:c r="K155" s="23" t="str">
        <x:f>IF(OR(I155="",J155=""),"",I155*J155)</x:f>
      </x:c>
      <x:c r="L155" s="23" t="str">
        <x:f>IF(K155="","",K155-H155)</x:f>
      </x:c>
      <x:c r="M155" s="19" t="str">
        <x:f>IFERROR(L155/H155,"")</x:f>
      </x:c>
      <x:c r="N155" s="18"/>
      <x:c r="O155" s="23"/>
      <x:c r="P155" s="23" t="str">
        <x:f>IF(OR(I155="",O155=""),"",I155*O155)</x:f>
      </x:c>
      <x:c r="Q155" s="23" t="str">
        <x:f>IF(P155="","",P155-H155)</x:f>
      </x:c>
      <x:c r="R155" s="44"/>
    </x:row>
    <x:row r="156">
      <x:c r="F156" s="18"/>
      <x:c r="G156" s="23"/>
      <x:c r="H156" s="23"/>
      <x:c r="I156" t="str">
        <x:f>IFERROR(H156/G156,"")</x:f>
      </x:c>
      <x:c r="J156" s="23"/>
      <x:c r="K156" s="23" t="str">
        <x:f>IF(OR(I156="",J156=""),"",I156*J156)</x:f>
      </x:c>
      <x:c r="L156" s="23" t="str">
        <x:f>IF(K156="","",K156-H156)</x:f>
      </x:c>
      <x:c r="M156" s="19" t="str">
        <x:f>IFERROR(L156/H156,"")</x:f>
      </x:c>
      <x:c r="N156" s="18"/>
      <x:c r="O156" s="23"/>
      <x:c r="P156" s="23" t="str">
        <x:f>IF(OR(I156="",O156=""),"",I156*O156)</x:f>
      </x:c>
      <x:c r="Q156" s="23" t="str">
        <x:f>IF(P156="","",P156-H156)</x:f>
      </x:c>
      <x:c r="R156" s="44"/>
    </x:row>
    <x:row r="157">
      <x:c r="F157" s="18"/>
      <x:c r="G157" s="23"/>
      <x:c r="H157" s="23"/>
      <x:c r="I157" t="str">
        <x:f>IFERROR(H157/G157,"")</x:f>
      </x:c>
      <x:c r="J157" s="23"/>
      <x:c r="K157" s="23" t="str">
        <x:f>IF(OR(I157="",J157=""),"",I157*J157)</x:f>
      </x:c>
      <x:c r="L157" s="23" t="str">
        <x:f>IF(K157="","",K157-H157)</x:f>
      </x:c>
      <x:c r="M157" s="19" t="str">
        <x:f>IFERROR(L157/H157,"")</x:f>
      </x:c>
      <x:c r="N157" s="18"/>
      <x:c r="O157" s="23"/>
      <x:c r="P157" s="23" t="str">
        <x:f>IF(OR(I157="",O157=""),"",I157*O157)</x:f>
      </x:c>
      <x:c r="Q157" s="23" t="str">
        <x:f>IF(P157="","",P157-H157)</x:f>
      </x:c>
      <x:c r="R157" s="44"/>
    </x:row>
    <x:row r="158">
      <x:c r="F158" s="18"/>
      <x:c r="G158" s="23"/>
      <x:c r="H158" s="23"/>
      <x:c r="I158" t="str">
        <x:f>IFERROR(H158/G158,"")</x:f>
      </x:c>
      <x:c r="J158" s="23"/>
      <x:c r="K158" s="23" t="str">
        <x:f>IF(OR(I158="",J158=""),"",I158*J158)</x:f>
      </x:c>
      <x:c r="L158" s="23" t="str">
        <x:f>IF(K158="","",K158-H158)</x:f>
      </x:c>
      <x:c r="M158" s="19" t="str">
        <x:f>IFERROR(L158/H158,"")</x:f>
      </x:c>
      <x:c r="N158" s="18"/>
      <x:c r="O158" s="23"/>
      <x:c r="P158" s="23" t="str">
        <x:f>IF(OR(I158="",O158=""),"",I158*O158)</x:f>
      </x:c>
      <x:c r="Q158" s="23" t="str">
        <x:f>IF(P158="","",P158-H158)</x:f>
      </x:c>
      <x:c r="R158" s="44"/>
    </x:row>
    <x:row r="159">
      <x:c r="F159" s="18"/>
      <x:c r="G159" s="23"/>
      <x:c r="H159" s="23"/>
      <x:c r="I159" t="str">
        <x:f>IFERROR(H159/G159,"")</x:f>
      </x:c>
      <x:c r="J159" s="23"/>
      <x:c r="K159" s="23" t="str">
        <x:f>IF(OR(I159="",J159=""),"",I159*J159)</x:f>
      </x:c>
      <x:c r="L159" s="23" t="str">
        <x:f>IF(K159="","",K159-H159)</x:f>
      </x:c>
      <x:c r="M159" s="19" t="str">
        <x:f>IFERROR(L159/H159,"")</x:f>
      </x:c>
      <x:c r="N159" s="18"/>
      <x:c r="O159" s="23"/>
      <x:c r="P159" s="23" t="str">
        <x:f>IF(OR(I159="",O159=""),"",I159*O159)</x:f>
      </x:c>
      <x:c r="Q159" s="23" t="str">
        <x:f>IF(P159="","",P159-H159)</x:f>
      </x:c>
      <x:c r="R159" s="44"/>
    </x:row>
    <x:row r="160">
      <x:c r="F160" s="18"/>
      <x:c r="G160" s="23"/>
      <x:c r="H160" s="23"/>
      <x:c r="I160" t="str">
        <x:f>IFERROR(H160/G160,"")</x:f>
      </x:c>
      <x:c r="J160" s="23"/>
      <x:c r="K160" s="23" t="str">
        <x:f>IF(OR(I160="",J160=""),"",I160*J160)</x:f>
      </x:c>
      <x:c r="L160" s="23" t="str">
        <x:f>IF(K160="","",K160-H160)</x:f>
      </x:c>
      <x:c r="M160" s="19" t="str">
        <x:f>IFERROR(L160/H160,"")</x:f>
      </x:c>
      <x:c r="N160" s="18"/>
      <x:c r="O160" s="23"/>
      <x:c r="P160" s="23" t="str">
        <x:f>IF(OR(I160="",O160=""),"",I160*O160)</x:f>
      </x:c>
      <x:c r="Q160" s="23" t="str">
        <x:f>IF(P160="","",P160-H160)</x:f>
      </x:c>
      <x:c r="R160" s="44"/>
    </x:row>
    <x:row r="161">
      <x:c r="F161" s="18"/>
      <x:c r="G161" s="23"/>
      <x:c r="H161" s="23"/>
      <x:c r="I161" t="str">
        <x:f>IFERROR(H161/G161,"")</x:f>
      </x:c>
      <x:c r="J161" s="23"/>
      <x:c r="K161" s="23" t="str">
        <x:f>IF(OR(I161="",J161=""),"",I161*J161)</x:f>
      </x:c>
      <x:c r="L161" s="23" t="str">
        <x:f>IF(K161="","",K161-H161)</x:f>
      </x:c>
      <x:c r="M161" s="19" t="str">
        <x:f>IFERROR(L161/H161,"")</x:f>
      </x:c>
      <x:c r="N161" s="18"/>
      <x:c r="O161" s="23"/>
      <x:c r="P161" s="23" t="str">
        <x:f>IF(OR(I161="",O161=""),"",I161*O161)</x:f>
      </x:c>
      <x:c r="Q161" s="23" t="str">
        <x:f>IF(P161="","",P161-H161)</x:f>
      </x:c>
      <x:c r="R161" s="44"/>
    </x:row>
    <x:row r="162">
      <x:c r="F162" s="18"/>
      <x:c r="G162" s="23"/>
      <x:c r="H162" s="23"/>
      <x:c r="I162" t="str">
        <x:f>IFERROR(H162/G162,"")</x:f>
      </x:c>
      <x:c r="J162" s="23"/>
      <x:c r="K162" s="23" t="str">
        <x:f>IF(OR(I162="",J162=""),"",I162*J162)</x:f>
      </x:c>
      <x:c r="L162" s="23" t="str">
        <x:f>IF(K162="","",K162-H162)</x:f>
      </x:c>
      <x:c r="M162" s="19" t="str">
        <x:f>IFERROR(L162/H162,"")</x:f>
      </x:c>
      <x:c r="N162" s="18"/>
      <x:c r="O162" s="23"/>
      <x:c r="P162" s="23" t="str">
        <x:f>IF(OR(I162="",O162=""),"",I162*O162)</x:f>
      </x:c>
      <x:c r="Q162" s="23" t="str">
        <x:f>IF(P162="","",P162-H162)</x:f>
      </x:c>
      <x:c r="R162" s="44"/>
    </x:row>
    <x:row r="163">
      <x:c r="F163" s="18"/>
      <x:c r="G163" s="23"/>
      <x:c r="H163" s="23"/>
      <x:c r="I163" t="str">
        <x:f>IFERROR(H163/G163,"")</x:f>
      </x:c>
      <x:c r="J163" s="23"/>
      <x:c r="K163" s="23" t="str">
        <x:f>IF(OR(I163="",J163=""),"",I163*J163)</x:f>
      </x:c>
      <x:c r="L163" s="23" t="str">
        <x:f>IF(K163="","",K163-H163)</x:f>
      </x:c>
      <x:c r="M163" s="19" t="str">
        <x:f>IFERROR(L163/H163,"")</x:f>
      </x:c>
      <x:c r="N163" s="18"/>
      <x:c r="O163" s="23"/>
      <x:c r="P163" s="23" t="str">
        <x:f>IF(OR(I163="",O163=""),"",I163*O163)</x:f>
      </x:c>
      <x:c r="Q163" s="23" t="str">
        <x:f>IF(P163="","",P163-H163)</x:f>
      </x:c>
      <x:c r="R163" s="44"/>
    </x:row>
    <x:row r="164">
      <x:c r="F164" s="18"/>
      <x:c r="G164" s="23"/>
      <x:c r="H164" s="23"/>
      <x:c r="I164" t="str">
        <x:f>IFERROR(H164/G164,"")</x:f>
      </x:c>
      <x:c r="J164" s="23"/>
      <x:c r="K164" s="23" t="str">
        <x:f>IF(OR(I164="",J164=""),"",I164*J164)</x:f>
      </x:c>
      <x:c r="L164" s="23" t="str">
        <x:f>IF(K164="","",K164-H164)</x:f>
      </x:c>
      <x:c r="M164" s="19" t="str">
        <x:f>IFERROR(L164/H164,"")</x:f>
      </x:c>
      <x:c r="N164" s="18"/>
      <x:c r="O164" s="23"/>
      <x:c r="P164" s="23" t="str">
        <x:f>IF(OR(I164="",O164=""),"",I164*O164)</x:f>
      </x:c>
      <x:c r="Q164" s="23" t="str">
        <x:f>IF(P164="","",P164-H164)</x:f>
      </x:c>
      <x:c r="R164" s="44"/>
    </x:row>
    <x:row r="165">
      <x:c r="F165" s="18"/>
      <x:c r="G165" s="23"/>
      <x:c r="H165" s="23"/>
      <x:c r="I165" t="str">
        <x:f>IFERROR(H165/G165,"")</x:f>
      </x:c>
      <x:c r="J165" s="23"/>
      <x:c r="K165" s="23" t="str">
        <x:f>IF(OR(I165="",J165=""),"",I165*J165)</x:f>
      </x:c>
      <x:c r="L165" s="23" t="str">
        <x:f>IF(K165="","",K165-H165)</x:f>
      </x:c>
      <x:c r="M165" s="19" t="str">
        <x:f>IFERROR(L165/H165,"")</x:f>
      </x:c>
      <x:c r="N165" s="18"/>
      <x:c r="O165" s="23"/>
      <x:c r="P165" s="23" t="str">
        <x:f>IF(OR(I165="",O165=""),"",I165*O165)</x:f>
      </x:c>
      <x:c r="Q165" s="23" t="str">
        <x:f>IF(P165="","",P165-H165)</x:f>
      </x:c>
      <x:c r="R165" s="44"/>
    </x:row>
    <x:row r="166">
      <x:c r="F166" s="18"/>
      <x:c r="G166" s="23"/>
      <x:c r="H166" s="23"/>
      <x:c r="I166" t="str">
        <x:f>IFERROR(H166/G166,"")</x:f>
      </x:c>
      <x:c r="J166" s="23"/>
      <x:c r="K166" s="23" t="str">
        <x:f>IF(OR(I166="",J166=""),"",I166*J166)</x:f>
      </x:c>
      <x:c r="L166" s="23" t="str">
        <x:f>IF(K166="","",K166-H166)</x:f>
      </x:c>
      <x:c r="M166" s="19" t="str">
        <x:f>IFERROR(L166/H166,"")</x:f>
      </x:c>
      <x:c r="N166" s="18"/>
      <x:c r="O166" s="23"/>
      <x:c r="P166" s="23" t="str">
        <x:f>IF(OR(I166="",O166=""),"",I166*O166)</x:f>
      </x:c>
      <x:c r="Q166" s="23" t="str">
        <x:f>IF(P166="","",P166-H166)</x:f>
      </x:c>
      <x:c r="R166" s="44"/>
    </x:row>
    <x:row r="167">
      <x:c r="F167" s="18"/>
      <x:c r="G167" s="23"/>
      <x:c r="H167" s="23"/>
      <x:c r="I167" t="str">
        <x:f>IFERROR(H167/G167,"")</x:f>
      </x:c>
      <x:c r="J167" s="23"/>
      <x:c r="K167" s="23" t="str">
        <x:f>IF(OR(I167="",J167=""),"",I167*J167)</x:f>
      </x:c>
      <x:c r="L167" s="23" t="str">
        <x:f>IF(K167="","",K167-H167)</x:f>
      </x:c>
      <x:c r="M167" s="19" t="str">
        <x:f>IFERROR(L167/H167,"")</x:f>
      </x:c>
      <x:c r="N167" s="18"/>
      <x:c r="O167" s="23"/>
      <x:c r="P167" s="23" t="str">
        <x:f>IF(OR(I167="",O167=""),"",I167*O167)</x:f>
      </x:c>
      <x:c r="Q167" s="23" t="str">
        <x:f>IF(P167="","",P167-H167)</x:f>
      </x:c>
      <x:c r="R167" s="44"/>
    </x:row>
    <x:row r="168">
      <x:c r="F168" s="18"/>
      <x:c r="G168" s="23"/>
      <x:c r="H168" s="23"/>
      <x:c r="I168" t="str">
        <x:f>IFERROR(H168/G168,"")</x:f>
      </x:c>
      <x:c r="J168" s="23"/>
      <x:c r="K168" s="23" t="str">
        <x:f>IF(OR(I168="",J168=""),"",I168*J168)</x:f>
      </x:c>
      <x:c r="L168" s="23" t="str">
        <x:f>IF(K168="","",K168-H168)</x:f>
      </x:c>
      <x:c r="M168" s="19" t="str">
        <x:f>IFERROR(L168/H168,"")</x:f>
      </x:c>
      <x:c r="N168" s="18"/>
      <x:c r="O168" s="23"/>
      <x:c r="P168" s="23" t="str">
        <x:f>IF(OR(I168="",O168=""),"",I168*O168)</x:f>
      </x:c>
      <x:c r="Q168" s="23" t="str">
        <x:f>IF(P168="","",P168-H168)</x:f>
      </x:c>
      <x:c r="R168" s="44"/>
    </x:row>
    <x:row r="169">
      <x:c r="F169" s="18"/>
      <x:c r="G169" s="23"/>
      <x:c r="H169" s="23"/>
      <x:c r="I169" t="str">
        <x:f>IFERROR(H169/G169,"")</x:f>
      </x:c>
      <x:c r="J169" s="23"/>
      <x:c r="K169" s="23" t="str">
        <x:f>IF(OR(I169="",J169=""),"",I169*J169)</x:f>
      </x:c>
      <x:c r="L169" s="23" t="str">
        <x:f>IF(K169="","",K169-H169)</x:f>
      </x:c>
      <x:c r="M169" s="19" t="str">
        <x:f>IFERROR(L169/H169,"")</x:f>
      </x:c>
      <x:c r="N169" s="18"/>
      <x:c r="O169" s="23"/>
      <x:c r="P169" s="23" t="str">
        <x:f>IF(OR(I169="",O169=""),"",I169*O169)</x:f>
      </x:c>
      <x:c r="Q169" s="23" t="str">
        <x:f>IF(P169="","",P169-H169)</x:f>
      </x:c>
      <x:c r="R169" s="44"/>
    </x:row>
    <x:row r="170">
      <x:c r="F170" s="18"/>
      <x:c r="G170" s="23"/>
      <x:c r="H170" s="23"/>
      <x:c r="I170" t="str">
        <x:f>IFERROR(H170/G170,"")</x:f>
      </x:c>
      <x:c r="J170" s="23"/>
      <x:c r="K170" s="23" t="str">
        <x:f>IF(OR(I170="",J170=""),"",I170*J170)</x:f>
      </x:c>
      <x:c r="L170" s="23" t="str">
        <x:f>IF(K170="","",K170-H170)</x:f>
      </x:c>
      <x:c r="M170" s="19" t="str">
        <x:f>IFERROR(L170/H170,"")</x:f>
      </x:c>
      <x:c r="N170" s="18"/>
      <x:c r="O170" s="23"/>
      <x:c r="P170" s="23" t="str">
        <x:f>IF(OR(I170="",O170=""),"",I170*O170)</x:f>
      </x:c>
      <x:c r="Q170" s="23" t="str">
        <x:f>IF(P170="","",P170-H170)</x:f>
      </x:c>
      <x:c r="R170" s="44"/>
    </x:row>
    <x:row r="171">
      <x:c r="F171" s="18"/>
      <x:c r="G171" s="23"/>
      <x:c r="H171" s="23"/>
      <x:c r="I171" t="str">
        <x:f>IFERROR(H171/G171,"")</x:f>
      </x:c>
      <x:c r="J171" s="23"/>
      <x:c r="K171" s="23" t="str">
        <x:f>IF(OR(I171="",J171=""),"",I171*J171)</x:f>
      </x:c>
      <x:c r="L171" s="23" t="str">
        <x:f>IF(K171="","",K171-H171)</x:f>
      </x:c>
      <x:c r="M171" s="19" t="str">
        <x:f>IFERROR(L171/H171,"")</x:f>
      </x:c>
      <x:c r="N171" s="18"/>
      <x:c r="O171" s="23"/>
      <x:c r="P171" s="23" t="str">
        <x:f>IF(OR(I171="",O171=""),"",I171*O171)</x:f>
      </x:c>
      <x:c r="Q171" s="23" t="str">
        <x:f>IF(P171="","",P171-H171)</x:f>
      </x:c>
      <x:c r="R171" s="44"/>
    </x:row>
    <x:row r="172">
      <x:c r="F172" s="18"/>
      <x:c r="G172" s="23"/>
      <x:c r="H172" s="23"/>
      <x:c r="I172" t="str">
        <x:f>IFERROR(H172/G172,"")</x:f>
      </x:c>
      <x:c r="J172" s="23"/>
      <x:c r="K172" s="23" t="str">
        <x:f>IF(OR(I172="",J172=""),"",I172*J172)</x:f>
      </x:c>
      <x:c r="L172" s="23" t="str">
        <x:f>IF(K172="","",K172-H172)</x:f>
      </x:c>
      <x:c r="M172" s="19" t="str">
        <x:f>IFERROR(L172/H172,"")</x:f>
      </x:c>
      <x:c r="N172" s="18"/>
      <x:c r="O172" s="23"/>
      <x:c r="P172" s="23" t="str">
        <x:f>IF(OR(I172="",O172=""),"",I172*O172)</x:f>
      </x:c>
      <x:c r="Q172" s="23" t="str">
        <x:f>IF(P172="","",P172-H172)</x:f>
      </x:c>
      <x:c r="R172" s="44"/>
    </x:row>
    <x:row r="173">
      <x:c r="F173" s="18"/>
      <x:c r="G173" s="23"/>
      <x:c r="H173" s="23"/>
      <x:c r="I173" t="str">
        <x:f>IFERROR(H173/G173,"")</x:f>
      </x:c>
      <x:c r="J173" s="23"/>
      <x:c r="K173" s="23" t="str">
        <x:f>IF(OR(I173="",J173=""),"",I173*J173)</x:f>
      </x:c>
      <x:c r="L173" s="23" t="str">
        <x:f>IF(K173="","",K173-H173)</x:f>
      </x:c>
      <x:c r="M173" s="19" t="str">
        <x:f>IFERROR(L173/H173,"")</x:f>
      </x:c>
      <x:c r="N173" s="18"/>
      <x:c r="O173" s="23"/>
      <x:c r="P173" s="23" t="str">
        <x:f>IF(OR(I173="",O173=""),"",I173*O173)</x:f>
      </x:c>
      <x:c r="Q173" s="23" t="str">
        <x:f>IF(P173="","",P173-H173)</x:f>
      </x:c>
      <x:c r="R173" s="44"/>
    </x:row>
    <x:row r="174">
      <x:c r="F174" s="18"/>
      <x:c r="G174" s="23"/>
      <x:c r="H174" s="23"/>
      <x:c r="I174" t="str">
        <x:f>IFERROR(H174/G174,"")</x:f>
      </x:c>
      <x:c r="J174" s="23"/>
      <x:c r="K174" s="23" t="str">
        <x:f>IF(OR(I174="",J174=""),"",I174*J174)</x:f>
      </x:c>
      <x:c r="L174" s="23" t="str">
        <x:f>IF(K174="","",K174-H174)</x:f>
      </x:c>
      <x:c r="M174" s="19" t="str">
        <x:f>IFERROR(L174/H174,"")</x:f>
      </x:c>
      <x:c r="N174" s="18"/>
      <x:c r="O174" s="23"/>
      <x:c r="P174" s="23" t="str">
        <x:f>IF(OR(I174="",O174=""),"",I174*O174)</x:f>
      </x:c>
      <x:c r="Q174" s="23" t="str">
        <x:f>IF(P174="","",P174-H174)</x:f>
      </x:c>
      <x:c r="R174" s="44"/>
    </x:row>
    <x:row r="175">
      <x:c r="F175" s="18"/>
      <x:c r="G175" s="23"/>
      <x:c r="H175" s="23"/>
      <x:c r="I175" t="str">
        <x:f>IFERROR(H175/G175,"")</x:f>
      </x:c>
      <x:c r="J175" s="23"/>
      <x:c r="K175" s="23" t="str">
        <x:f>IF(OR(I175="",J175=""),"",I175*J175)</x:f>
      </x:c>
      <x:c r="L175" s="23" t="str">
        <x:f>IF(K175="","",K175-H175)</x:f>
      </x:c>
      <x:c r="M175" s="19" t="str">
        <x:f>IFERROR(L175/H175,"")</x:f>
      </x:c>
      <x:c r="N175" s="18"/>
      <x:c r="O175" s="23"/>
      <x:c r="P175" s="23" t="str">
        <x:f>IF(OR(I175="",O175=""),"",I175*O175)</x:f>
      </x:c>
      <x:c r="Q175" s="23" t="str">
        <x:f>IF(P175="","",P175-H175)</x:f>
      </x:c>
      <x:c r="R175" s="44"/>
    </x:row>
    <x:row r="176">
      <x:c r="F176" s="18"/>
      <x:c r="G176" s="23"/>
      <x:c r="H176" s="23"/>
      <x:c r="I176" t="str">
        <x:f>IFERROR(H176/G176,"")</x:f>
      </x:c>
      <x:c r="J176" s="23"/>
      <x:c r="K176" s="23" t="str">
        <x:f>IF(OR(I176="",J176=""),"",I176*J176)</x:f>
      </x:c>
      <x:c r="L176" s="23" t="str">
        <x:f>IF(K176="","",K176-H176)</x:f>
      </x:c>
      <x:c r="M176" s="19" t="str">
        <x:f>IFERROR(L176/H176,"")</x:f>
      </x:c>
      <x:c r="N176" s="18"/>
      <x:c r="O176" s="23"/>
      <x:c r="P176" s="23" t="str">
        <x:f>IF(OR(I176="",O176=""),"",I176*O176)</x:f>
      </x:c>
      <x:c r="Q176" s="23" t="str">
        <x:f>IF(P176="","",P176-H176)</x:f>
      </x:c>
      <x:c r="R176" s="44"/>
    </x:row>
    <x:row r="177">
      <x:c r="F177" s="18"/>
      <x:c r="G177" s="23"/>
      <x:c r="H177" s="23"/>
      <x:c r="I177" t="str">
        <x:f>IFERROR(H177/G177,"")</x:f>
      </x:c>
      <x:c r="J177" s="23"/>
      <x:c r="K177" s="23" t="str">
        <x:f>IF(OR(I177="",J177=""),"",I177*J177)</x:f>
      </x:c>
      <x:c r="L177" s="23" t="str">
        <x:f>IF(K177="","",K177-H177)</x:f>
      </x:c>
      <x:c r="M177" s="19" t="str">
        <x:f>IFERROR(L177/H177,"")</x:f>
      </x:c>
      <x:c r="N177" s="18"/>
      <x:c r="O177" s="23"/>
      <x:c r="P177" s="23" t="str">
        <x:f>IF(OR(I177="",O177=""),"",I177*O177)</x:f>
      </x:c>
      <x:c r="Q177" s="23" t="str">
        <x:f>IF(P177="","",P177-H177)</x:f>
      </x:c>
      <x:c r="R177" s="44"/>
    </x:row>
    <x:row r="178">
      <x:c r="F178" s="18"/>
      <x:c r="G178" s="23"/>
      <x:c r="H178" s="23"/>
      <x:c r="I178" t="str">
        <x:f>IFERROR(H178/G178,"")</x:f>
      </x:c>
      <x:c r="J178" s="23"/>
      <x:c r="K178" s="23" t="str">
        <x:f>IF(OR(I178="",J178=""),"",I178*J178)</x:f>
      </x:c>
      <x:c r="L178" s="23" t="str">
        <x:f>IF(K178="","",K178-H178)</x:f>
      </x:c>
      <x:c r="M178" s="19" t="str">
        <x:f>IFERROR(L178/H178,"")</x:f>
      </x:c>
      <x:c r="N178" s="18"/>
      <x:c r="O178" s="23"/>
      <x:c r="P178" s="23" t="str">
        <x:f>IF(OR(I178="",O178=""),"",I178*O178)</x:f>
      </x:c>
      <x:c r="Q178" s="23" t="str">
        <x:f>IF(P178="","",P178-H178)</x:f>
      </x:c>
      <x:c r="R178" s="44"/>
    </x:row>
    <x:row r="179">
      <x:c r="F179" s="18"/>
      <x:c r="G179" s="23"/>
      <x:c r="H179" s="23"/>
      <x:c r="I179" t="str">
        <x:f>IFERROR(H179/G179,"")</x:f>
      </x:c>
      <x:c r="J179" s="23"/>
      <x:c r="K179" s="23" t="str">
        <x:f>IF(OR(I179="",J179=""),"",I179*J179)</x:f>
      </x:c>
      <x:c r="L179" s="23" t="str">
        <x:f>IF(K179="","",K179-H179)</x:f>
      </x:c>
      <x:c r="M179" s="19" t="str">
        <x:f>IFERROR(L179/H179,"")</x:f>
      </x:c>
      <x:c r="N179" s="18"/>
      <x:c r="O179" s="23"/>
      <x:c r="P179" s="23" t="str">
        <x:f>IF(OR(I179="",O179=""),"",I179*O179)</x:f>
      </x:c>
      <x:c r="Q179" s="23" t="str">
        <x:f>IF(P179="","",P179-H179)</x:f>
      </x:c>
      <x:c r="R179" s="44"/>
    </x:row>
    <x:row r="180">
      <x:c r="F180" s="18"/>
      <x:c r="G180" s="23"/>
      <x:c r="H180" s="23"/>
      <x:c r="I180" t="str">
        <x:f>IFERROR(H180/G180,"")</x:f>
      </x:c>
      <x:c r="J180" s="23"/>
      <x:c r="K180" s="23" t="str">
        <x:f>IF(OR(I180="",J180=""),"",I180*J180)</x:f>
      </x:c>
      <x:c r="L180" s="23" t="str">
        <x:f>IF(K180="","",K180-H180)</x:f>
      </x:c>
      <x:c r="M180" s="19" t="str">
        <x:f>IFERROR(L180/H180,"")</x:f>
      </x:c>
      <x:c r="N180" s="18"/>
      <x:c r="O180" s="23"/>
      <x:c r="P180" s="23" t="str">
        <x:f>IF(OR(I180="",O180=""),"",I180*O180)</x:f>
      </x:c>
      <x:c r="Q180" s="23" t="str">
        <x:f>IF(P180="","",P180-H180)</x:f>
      </x:c>
      <x:c r="R180" s="44"/>
    </x:row>
    <x:row r="181">
      <x:c r="F181" s="18"/>
      <x:c r="G181" s="23"/>
      <x:c r="H181" s="23"/>
      <x:c r="I181" t="str">
        <x:f>IFERROR(H181/G181,"")</x:f>
      </x:c>
      <x:c r="J181" s="23"/>
      <x:c r="K181" s="23" t="str">
        <x:f>IF(OR(I181="",J181=""),"",I181*J181)</x:f>
      </x:c>
      <x:c r="L181" s="23" t="str">
        <x:f>IF(K181="","",K181-H181)</x:f>
      </x:c>
      <x:c r="M181" s="19" t="str">
        <x:f>IFERROR(L181/H181,"")</x:f>
      </x:c>
      <x:c r="N181" s="18"/>
      <x:c r="O181" s="23"/>
      <x:c r="P181" s="23" t="str">
        <x:f>IF(OR(I181="",O181=""),"",I181*O181)</x:f>
      </x:c>
      <x:c r="Q181" s="23" t="str">
        <x:f>IF(P181="","",P181-H181)</x:f>
      </x:c>
      <x:c r="R181" s="44"/>
    </x:row>
    <x:row r="182">
      <x:c r="F182" s="18"/>
      <x:c r="G182" s="23"/>
      <x:c r="H182" s="23"/>
      <x:c r="I182" t="str">
        <x:f>IFERROR(H182/G182,"")</x:f>
      </x:c>
      <x:c r="J182" s="23"/>
      <x:c r="K182" s="23" t="str">
        <x:f>IF(OR(I182="",J182=""),"",I182*J182)</x:f>
      </x:c>
      <x:c r="L182" s="23" t="str">
        <x:f>IF(K182="","",K182-H182)</x:f>
      </x:c>
      <x:c r="M182" s="19" t="str">
        <x:f>IFERROR(L182/H182,"")</x:f>
      </x:c>
      <x:c r="N182" s="18"/>
      <x:c r="O182" s="23"/>
      <x:c r="P182" s="23" t="str">
        <x:f>IF(OR(I182="",O182=""),"",I182*O182)</x:f>
      </x:c>
      <x:c r="Q182" s="23" t="str">
        <x:f>IF(P182="","",P182-H182)</x:f>
      </x:c>
      <x:c r="R182" s="44"/>
    </x:row>
    <x:row r="183">
      <x:c r="F183" s="18"/>
      <x:c r="G183" s="23"/>
      <x:c r="H183" s="23"/>
      <x:c r="I183" t="str">
        <x:f>IFERROR(H183/G183,"")</x:f>
      </x:c>
      <x:c r="J183" s="23"/>
      <x:c r="K183" s="23" t="str">
        <x:f>IF(OR(I183="",J183=""),"",I183*J183)</x:f>
      </x:c>
      <x:c r="L183" s="23" t="str">
        <x:f>IF(K183="","",K183-H183)</x:f>
      </x:c>
      <x:c r="M183" s="19" t="str">
        <x:f>IFERROR(L183/H183,"")</x:f>
      </x:c>
      <x:c r="N183" s="18"/>
      <x:c r="O183" s="23"/>
      <x:c r="P183" s="23" t="str">
        <x:f>IF(OR(I183="",O183=""),"",I183*O183)</x:f>
      </x:c>
      <x:c r="Q183" s="23" t="str">
        <x:f>IF(P183="","",P183-H183)</x:f>
      </x:c>
      <x:c r="R183" s="44"/>
    </x:row>
    <x:row r="184">
      <x:c r="F184" s="18"/>
      <x:c r="G184" s="23"/>
      <x:c r="H184" s="23"/>
      <x:c r="I184" t="str">
        <x:f>IFERROR(H184/G184,"")</x:f>
      </x:c>
      <x:c r="J184" s="23"/>
      <x:c r="K184" s="23" t="str">
        <x:f>IF(OR(I184="",J184=""),"",I184*J184)</x:f>
      </x:c>
      <x:c r="L184" s="23" t="str">
        <x:f>IF(K184="","",K184-H184)</x:f>
      </x:c>
      <x:c r="M184" s="19" t="str">
        <x:f>IFERROR(L184/H184,"")</x:f>
      </x:c>
      <x:c r="N184" s="18"/>
      <x:c r="O184" s="23"/>
      <x:c r="P184" s="23" t="str">
        <x:f>IF(OR(I184="",O184=""),"",I184*O184)</x:f>
      </x:c>
      <x:c r="Q184" s="23" t="str">
        <x:f>IF(P184="","",P184-H184)</x:f>
      </x:c>
      <x:c r="R184" s="44"/>
    </x:row>
    <x:row r="185">
      <x:c r="F185" s="18"/>
      <x:c r="G185" s="23"/>
      <x:c r="H185" s="23"/>
      <x:c r="I185" t="str">
        <x:f>IFERROR(H185/G185,"")</x:f>
      </x:c>
      <x:c r="J185" s="23"/>
      <x:c r="K185" s="23" t="str">
        <x:f>IF(OR(I185="",J185=""),"",I185*J185)</x:f>
      </x:c>
      <x:c r="L185" s="23" t="str">
        <x:f>IF(K185="","",K185-H185)</x:f>
      </x:c>
      <x:c r="M185" s="19" t="str">
        <x:f>IFERROR(L185/H185,"")</x:f>
      </x:c>
      <x:c r="N185" s="18"/>
      <x:c r="O185" s="23"/>
      <x:c r="P185" s="23" t="str">
        <x:f>IF(OR(I185="",O185=""),"",I185*O185)</x:f>
      </x:c>
      <x:c r="Q185" s="23" t="str">
        <x:f>IF(P185="","",P185-H185)</x:f>
      </x:c>
      <x:c r="R185" s="44"/>
    </x:row>
    <x:row r="186">
      <x:c r="F186" s="18"/>
      <x:c r="G186" s="23"/>
      <x:c r="H186" s="23"/>
      <x:c r="I186" t="str">
        <x:f>IFERROR(H186/G186,"")</x:f>
      </x:c>
      <x:c r="J186" s="23"/>
      <x:c r="K186" s="23" t="str">
        <x:f>IF(OR(I186="",J186=""),"",I186*J186)</x:f>
      </x:c>
      <x:c r="L186" s="23" t="str">
        <x:f>IF(K186="","",K186-H186)</x:f>
      </x:c>
      <x:c r="M186" s="19" t="str">
        <x:f>IFERROR(L186/H186,"")</x:f>
      </x:c>
      <x:c r="N186" s="18"/>
      <x:c r="O186" s="23"/>
      <x:c r="P186" s="23" t="str">
        <x:f>IF(OR(I186="",O186=""),"",I186*O186)</x:f>
      </x:c>
      <x:c r="Q186" s="23" t="str">
        <x:f>IF(P186="","",P186-H186)</x:f>
      </x:c>
      <x:c r="R186" s="44"/>
    </x:row>
    <x:row r="187">
      <x:c r="F187" s="18"/>
      <x:c r="G187" s="23"/>
      <x:c r="H187" s="23"/>
      <x:c r="I187" t="str">
        <x:f>IFERROR(H187/G187,"")</x:f>
      </x:c>
      <x:c r="J187" s="23"/>
      <x:c r="K187" s="23" t="str">
        <x:f>IF(OR(I187="",J187=""),"",I187*J187)</x:f>
      </x:c>
      <x:c r="L187" s="23" t="str">
        <x:f>IF(K187="","",K187-H187)</x:f>
      </x:c>
      <x:c r="M187" s="19" t="str">
        <x:f>IFERROR(L187/H187,"")</x:f>
      </x:c>
      <x:c r="N187" s="18"/>
      <x:c r="O187" s="23"/>
      <x:c r="P187" s="23" t="str">
        <x:f>IF(OR(I187="",O187=""),"",I187*O187)</x:f>
      </x:c>
      <x:c r="Q187" s="23" t="str">
        <x:f>IF(P187="","",P187-H187)</x:f>
      </x:c>
      <x:c r="R187" s="44"/>
    </x:row>
    <x:row r="188">
      <x:c r="F188" s="18"/>
      <x:c r="G188" s="23"/>
      <x:c r="H188" s="23"/>
      <x:c r="I188" t="str">
        <x:f>IFERROR(H188/G188,"")</x:f>
      </x:c>
      <x:c r="J188" s="23"/>
      <x:c r="K188" s="23" t="str">
        <x:f>IF(OR(I188="",J188=""),"",I188*J188)</x:f>
      </x:c>
      <x:c r="L188" s="23" t="str">
        <x:f>IF(K188="","",K188-H188)</x:f>
      </x:c>
      <x:c r="M188" s="19" t="str">
        <x:f>IFERROR(L188/H188,"")</x:f>
      </x:c>
      <x:c r="N188" s="18"/>
      <x:c r="O188" s="23"/>
      <x:c r="P188" s="23" t="str">
        <x:f>IF(OR(I188="",O188=""),"",I188*O188)</x:f>
      </x:c>
      <x:c r="Q188" s="23" t="str">
        <x:f>IF(P188="","",P188-H188)</x:f>
      </x:c>
      <x:c r="R188" s="44"/>
    </x:row>
    <x:row r="189">
      <x:c r="F189" s="18"/>
      <x:c r="G189" s="23"/>
      <x:c r="H189" s="23"/>
      <x:c r="I189" t="str">
        <x:f>IFERROR(H189/G189,"")</x:f>
      </x:c>
      <x:c r="J189" s="23"/>
      <x:c r="K189" s="23" t="str">
        <x:f>IF(OR(I189="",J189=""),"",I189*J189)</x:f>
      </x:c>
      <x:c r="L189" s="23" t="str">
        <x:f>IF(K189="","",K189-H189)</x:f>
      </x:c>
      <x:c r="M189" s="19" t="str">
        <x:f>IFERROR(L189/H189,"")</x:f>
      </x:c>
      <x:c r="N189" s="18"/>
      <x:c r="O189" s="23"/>
      <x:c r="P189" s="23" t="str">
        <x:f>IF(OR(I189="",O189=""),"",I189*O189)</x:f>
      </x:c>
      <x:c r="Q189" s="23" t="str">
        <x:f>IF(P189="","",P189-H189)</x:f>
      </x:c>
      <x:c r="R189" s="44"/>
    </x:row>
    <x:row r="190">
      <x:c r="F190" s="18"/>
      <x:c r="G190" s="23"/>
      <x:c r="H190" s="23"/>
      <x:c r="I190" t="str">
        <x:f>IFERROR(H190/G190,"")</x:f>
      </x:c>
      <x:c r="J190" s="23"/>
      <x:c r="K190" s="23" t="str">
        <x:f>IF(OR(I190="",J190=""),"",I190*J190)</x:f>
      </x:c>
      <x:c r="L190" s="23" t="str">
        <x:f>IF(K190="","",K190-H190)</x:f>
      </x:c>
      <x:c r="M190" s="19" t="str">
        <x:f>IFERROR(L190/H190,"")</x:f>
      </x:c>
      <x:c r="N190" s="18"/>
      <x:c r="O190" s="23"/>
      <x:c r="P190" s="23" t="str">
        <x:f>IF(OR(I190="",O190=""),"",I190*O190)</x:f>
      </x:c>
      <x:c r="Q190" s="23" t="str">
        <x:f>IF(P190="","",P190-H190)</x:f>
      </x:c>
      <x:c r="R190" s="44"/>
    </x:row>
    <x:row r="191">
      <x:c r="F191" s="18"/>
      <x:c r="G191" s="23"/>
      <x:c r="H191" s="23"/>
      <x:c r="I191" t="str">
        <x:f>IFERROR(H191/G191,"")</x:f>
      </x:c>
      <x:c r="J191" s="23"/>
      <x:c r="K191" s="23" t="str">
        <x:f>IF(OR(I191="",J191=""),"",I191*J191)</x:f>
      </x:c>
      <x:c r="L191" s="23" t="str">
        <x:f>IF(K191="","",K191-H191)</x:f>
      </x:c>
      <x:c r="M191" s="19" t="str">
        <x:f>IFERROR(L191/H191,"")</x:f>
      </x:c>
      <x:c r="N191" s="18"/>
      <x:c r="O191" s="23"/>
      <x:c r="P191" s="23" t="str">
        <x:f>IF(OR(I191="",O191=""),"",I191*O191)</x:f>
      </x:c>
      <x:c r="Q191" s="23" t="str">
        <x:f>IF(P191="","",P191-H191)</x:f>
      </x:c>
      <x:c r="R191" s="44"/>
    </x:row>
    <x:row r="192">
      <x:c r="F192" s="18"/>
      <x:c r="G192" s="23"/>
      <x:c r="H192" s="23"/>
      <x:c r="I192" t="str">
        <x:f>IFERROR(H192/G192,"")</x:f>
      </x:c>
      <x:c r="J192" s="23"/>
      <x:c r="K192" s="23" t="str">
        <x:f>IF(OR(I192="",J192=""),"",I192*J192)</x:f>
      </x:c>
      <x:c r="L192" s="23" t="str">
        <x:f>IF(K192="","",K192-H192)</x:f>
      </x:c>
      <x:c r="M192" s="19" t="str">
        <x:f>IFERROR(L192/H192,"")</x:f>
      </x:c>
      <x:c r="N192" s="18"/>
      <x:c r="O192" s="23"/>
      <x:c r="P192" s="23" t="str">
        <x:f>IF(OR(I192="",O192=""),"",I192*O192)</x:f>
      </x:c>
      <x:c r="Q192" s="23" t="str">
        <x:f>IF(P192="","",P192-H192)</x:f>
      </x:c>
      <x:c r="R192" s="44"/>
    </x:row>
    <x:row r="193">
      <x:c r="F193" s="18"/>
      <x:c r="G193" s="23"/>
      <x:c r="H193" s="23"/>
      <x:c r="I193" t="str">
        <x:f>IFERROR(H193/G193,"")</x:f>
      </x:c>
      <x:c r="J193" s="23"/>
      <x:c r="K193" s="23" t="str">
        <x:f>IF(OR(I193="",J193=""),"",I193*J193)</x:f>
      </x:c>
      <x:c r="L193" s="23" t="str">
        <x:f>IF(K193="","",K193-H193)</x:f>
      </x:c>
      <x:c r="M193" s="19" t="str">
        <x:f>IFERROR(L193/H193,"")</x:f>
      </x:c>
      <x:c r="N193" s="18"/>
      <x:c r="O193" s="23"/>
      <x:c r="P193" s="23" t="str">
        <x:f>IF(OR(I193="",O193=""),"",I193*O193)</x:f>
      </x:c>
      <x:c r="Q193" s="23" t="str">
        <x:f>IF(P193="","",P193-H193)</x:f>
      </x:c>
      <x:c r="R193" s="44"/>
    </x:row>
    <x:row r="194">
      <x:c r="F194" s="18"/>
      <x:c r="G194" s="23"/>
      <x:c r="H194" s="23"/>
      <x:c r="I194" t="str">
        <x:f>IFERROR(H194/G194,"")</x:f>
      </x:c>
      <x:c r="J194" s="23"/>
      <x:c r="K194" s="23" t="str">
        <x:f>IF(OR(I194="",J194=""),"",I194*J194)</x:f>
      </x:c>
      <x:c r="L194" s="23" t="str">
        <x:f>IF(K194="","",K194-H194)</x:f>
      </x:c>
      <x:c r="M194" s="19" t="str">
        <x:f>IFERROR(L194/H194,"")</x:f>
      </x:c>
      <x:c r="N194" s="18"/>
      <x:c r="O194" s="23"/>
      <x:c r="P194" s="23" t="str">
        <x:f>IF(OR(I194="",O194=""),"",I194*O194)</x:f>
      </x:c>
      <x:c r="Q194" s="23" t="str">
        <x:f>IF(P194="","",P194-H194)</x:f>
      </x:c>
      <x:c r="R194" s="44"/>
    </x:row>
    <x:row r="195">
      <x:c r="F195" s="18"/>
      <x:c r="G195" s="23"/>
      <x:c r="H195" s="23"/>
      <x:c r="I195" t="str">
        <x:f>IFERROR(H195/G195,"")</x:f>
      </x:c>
      <x:c r="J195" s="23"/>
      <x:c r="K195" s="23" t="str">
        <x:f>IF(OR(I195="",J195=""),"",I195*J195)</x:f>
      </x:c>
      <x:c r="L195" s="23" t="str">
        <x:f>IF(K195="","",K195-H195)</x:f>
      </x:c>
      <x:c r="M195" s="19" t="str">
        <x:f>IFERROR(L195/H195,"")</x:f>
      </x:c>
      <x:c r="N195" s="18"/>
      <x:c r="O195" s="23"/>
      <x:c r="P195" s="23" t="str">
        <x:f>IF(OR(I195="",O195=""),"",I195*O195)</x:f>
      </x:c>
      <x:c r="Q195" s="23" t="str">
        <x:f>IF(P195="","",P195-H195)</x:f>
      </x:c>
      <x:c r="R195" s="44"/>
    </x:row>
    <x:row r="196">
      <x:c r="F196" s="18"/>
      <x:c r="G196" s="23"/>
      <x:c r="H196" s="23"/>
      <x:c r="I196" t="str">
        <x:f>IFERROR(H196/G196,"")</x:f>
      </x:c>
      <x:c r="J196" s="23"/>
      <x:c r="K196" s="23" t="str">
        <x:f>IF(OR(I196="",J196=""),"",I196*J196)</x:f>
      </x:c>
      <x:c r="L196" s="23" t="str">
        <x:f>IF(K196="","",K196-H196)</x:f>
      </x:c>
      <x:c r="M196" s="19" t="str">
        <x:f>IFERROR(L196/H196,"")</x:f>
      </x:c>
      <x:c r="N196" s="18"/>
      <x:c r="O196" s="23"/>
      <x:c r="P196" s="23" t="str">
        <x:f>IF(OR(I196="",O196=""),"",I196*O196)</x:f>
      </x:c>
      <x:c r="Q196" s="23" t="str">
        <x:f>IF(P196="","",P196-H196)</x:f>
      </x:c>
      <x:c r="R196" s="44"/>
    </x:row>
    <x:row r="197">
      <x:c r="F197" s="18"/>
      <x:c r="G197" s="23"/>
      <x:c r="H197" s="23"/>
      <x:c r="I197" t="str">
        <x:f>IFERROR(H197/G197,"")</x:f>
      </x:c>
      <x:c r="J197" s="23"/>
      <x:c r="K197" s="23" t="str">
        <x:f>IF(OR(I197="",J197=""),"",I197*J197)</x:f>
      </x:c>
      <x:c r="L197" s="23" t="str">
        <x:f>IF(K197="","",K197-H197)</x:f>
      </x:c>
      <x:c r="M197" s="19" t="str">
        <x:f>IFERROR(L197/H197,"")</x:f>
      </x:c>
      <x:c r="N197" s="18"/>
      <x:c r="O197" s="23"/>
      <x:c r="P197" s="23" t="str">
        <x:f>IF(OR(I197="",O197=""),"",I197*O197)</x:f>
      </x:c>
      <x:c r="Q197" s="23" t="str">
        <x:f>IF(P197="","",P197-H197)</x:f>
      </x:c>
      <x:c r="R197" s="44"/>
    </x:row>
    <x:row r="198">
      <x:c r="F198" s="18"/>
      <x:c r="G198" s="23"/>
      <x:c r="H198" s="23"/>
      <x:c r="I198" t="str">
        <x:f>IFERROR(H198/G198,"")</x:f>
      </x:c>
      <x:c r="J198" s="23"/>
      <x:c r="K198" s="23" t="str">
        <x:f>IF(OR(I198="",J198=""),"",I198*J198)</x:f>
      </x:c>
      <x:c r="L198" s="23" t="str">
        <x:f>IF(K198="","",K198-H198)</x:f>
      </x:c>
      <x:c r="M198" s="19" t="str">
        <x:f>IFERROR(L198/H198,"")</x:f>
      </x:c>
      <x:c r="N198" s="18"/>
      <x:c r="O198" s="23"/>
      <x:c r="P198" s="23" t="str">
        <x:f>IF(OR(I198="",O198=""),"",I198*O198)</x:f>
      </x:c>
      <x:c r="Q198" s="23" t="str">
        <x:f>IF(P198="","",P198-H198)</x:f>
      </x:c>
      <x:c r="R198" s="44"/>
    </x:row>
    <x:row r="199">
      <x:c r="F199" s="18"/>
      <x:c r="G199" s="23"/>
      <x:c r="H199" s="23"/>
      <x:c r="I199" t="str">
        <x:f>IFERROR(H199/G199,"")</x:f>
      </x:c>
      <x:c r="J199" s="23"/>
      <x:c r="K199" s="23" t="str">
        <x:f>IF(OR(I199="",J199=""),"",I199*J199)</x:f>
      </x:c>
      <x:c r="L199" s="23" t="str">
        <x:f>IF(K199="","",K199-H199)</x:f>
      </x:c>
      <x:c r="M199" s="19" t="str">
        <x:f>IFERROR(L199/H199,"")</x:f>
      </x:c>
      <x:c r="N199" s="18"/>
      <x:c r="O199" s="23"/>
      <x:c r="P199" s="23" t="str">
        <x:f>IF(OR(I199="",O199=""),"",I199*O199)</x:f>
      </x:c>
      <x:c r="Q199" s="23" t="str">
        <x:f>IF(P199="","",P199-H199)</x:f>
      </x:c>
      <x:c r="R199" s="44"/>
    </x:row>
    <x:row r="200">
      <x:c r="F200" s="18"/>
      <x:c r="G200" s="23"/>
      <x:c r="H200" s="23"/>
      <x:c r="I200" t="str">
        <x:f>IFERROR(H200/G200,"")</x:f>
      </x:c>
      <x:c r="J200" s="23"/>
      <x:c r="K200" s="23" t="str">
        <x:f>IF(OR(I200="",J200=""),"",I200*J200)</x:f>
      </x:c>
      <x:c r="L200" s="23" t="str">
        <x:f>IF(K200="","",K200-H200)</x:f>
      </x:c>
      <x:c r="M200" s="19" t="str">
        <x:f>IFERROR(L200/H200,"")</x:f>
      </x:c>
      <x:c r="N200" s="18"/>
      <x:c r="O200" s="23"/>
      <x:c r="P200" s="23" t="str">
        <x:f>IF(OR(I200="",O200=""),"",I200*O200)</x:f>
      </x:c>
      <x:c r="Q200" s="23" t="str">
        <x:f>IF(P200="","",P200-H200)</x:f>
      </x:c>
      <x:c r="R200" s="44"/>
    </x:row>
    <x:row r="201">
      <x:c r="F201" s="18"/>
      <x:c r="G201" s="23"/>
      <x:c r="H201" s="23"/>
      <x:c r="I201" t="str">
        <x:f>IFERROR(H201/G201,"")</x:f>
      </x:c>
      <x:c r="J201" s="23"/>
      <x:c r="K201" s="23" t="str">
        <x:f>IF(OR(I201="",J201=""),"",I201*J201)</x:f>
      </x:c>
      <x:c r="L201" s="23" t="str">
        <x:f>IF(K201="","",K201-H201)</x:f>
      </x:c>
      <x:c r="M201" s="19" t="str">
        <x:f>IFERROR(L201/H201,"")</x:f>
      </x:c>
      <x:c r="N201" s="18"/>
      <x:c r="O201" s="23"/>
      <x:c r="P201" s="23" t="str">
        <x:f>IF(OR(I201="",O201=""),"",I201*O201)</x:f>
      </x:c>
      <x:c r="Q201" s="23" t="str">
        <x:f>IF(P201="","",P201-H201)</x:f>
      </x:c>
      <x:c r="R201" s="44"/>
    </x:row>
    <x:row r="202">
      <x:c r="F202" s="18"/>
      <x:c r="G202" s="23"/>
      <x:c r="H202" s="23"/>
      <x:c r="I202" t="str">
        <x:f>IFERROR(H202/G202,"")</x:f>
      </x:c>
      <x:c r="J202" s="23"/>
      <x:c r="K202" s="23" t="str">
        <x:f>IF(OR(I202="",J202=""),"",I202*J202)</x:f>
      </x:c>
      <x:c r="L202" s="23" t="str">
        <x:f>IF(K202="","",K202-H202)</x:f>
      </x:c>
      <x:c r="M202" s="19" t="str">
        <x:f>IFERROR(L202/H202,"")</x:f>
      </x:c>
      <x:c r="N202" s="18"/>
      <x:c r="O202" s="23"/>
      <x:c r="P202" s="23" t="str">
        <x:f>IF(OR(I202="",O202=""),"",I202*O202)</x:f>
      </x:c>
      <x:c r="Q202" s="23" t="str">
        <x:f>IF(P202="","",P202-H202)</x:f>
      </x:c>
      <x:c r="R202" s="44"/>
    </x:row>
    <x:row r="203">
      <x:c r="F203" s="18"/>
      <x:c r="G203" s="23"/>
      <x:c r="H203" s="23"/>
      <x:c r="I203" t="str">
        <x:f>IFERROR(H203/G203,"")</x:f>
      </x:c>
      <x:c r="J203" s="23"/>
      <x:c r="K203" s="23" t="str">
        <x:f>IF(OR(I203="",J203=""),"",I203*J203)</x:f>
      </x:c>
      <x:c r="L203" s="23" t="str">
        <x:f>IF(K203="","",K203-H203)</x:f>
      </x:c>
      <x:c r="M203" s="19" t="str">
        <x:f>IFERROR(L203/H203,"")</x:f>
      </x:c>
      <x:c r="N203" s="18"/>
      <x:c r="O203" s="23"/>
      <x:c r="P203" s="23" t="str">
        <x:f>IF(OR(I203="",O203=""),"",I203*O203)</x:f>
      </x:c>
      <x:c r="Q203" s="23" t="str">
        <x:f>IF(P203="","",P203-H203)</x:f>
      </x:c>
      <x:c r="R203" s="44"/>
    </x:row>
    <x:row r="204">
      <x:c r="F204" s="18"/>
      <x:c r="G204" s="23"/>
      <x:c r="H204" s="23"/>
      <x:c r="I204" t="str">
        <x:f>IFERROR(H204/G204,"")</x:f>
      </x:c>
      <x:c r="J204" s="23"/>
      <x:c r="K204" s="23" t="str">
        <x:f>IF(OR(I204="",J204=""),"",I204*J204)</x:f>
      </x:c>
      <x:c r="L204" s="23" t="str">
        <x:f>IF(K204="","",K204-H204)</x:f>
      </x:c>
      <x:c r="M204" s="19" t="str">
        <x:f>IFERROR(L204/H204,"")</x:f>
      </x:c>
      <x:c r="N204" s="18"/>
      <x:c r="O204" s="23"/>
      <x:c r="P204" s="23" t="str">
        <x:f>IF(OR(I204="",O204=""),"",I204*O204)</x:f>
      </x:c>
      <x:c r="Q204" s="23" t="str">
        <x:f>IF(P204="","",P204-H204)</x:f>
      </x:c>
      <x:c r="R204" s="44"/>
    </x:row>
    <x:row r="205">
      <x:c r="F205" s="18"/>
      <x:c r="G205" s="23"/>
      <x:c r="H205" s="23"/>
      <x:c r="I205" t="str">
        <x:f>IFERROR(H205/G205,"")</x:f>
      </x:c>
      <x:c r="J205" s="23"/>
      <x:c r="K205" s="23" t="str">
        <x:f>IF(OR(I205="",J205=""),"",I205*J205)</x:f>
      </x:c>
      <x:c r="L205" s="23" t="str">
        <x:f>IF(K205="","",K205-H205)</x:f>
      </x:c>
      <x:c r="M205" s="19" t="str">
        <x:f>IFERROR(L205/H205,"")</x:f>
      </x:c>
      <x:c r="N205" s="18"/>
      <x:c r="O205" s="23"/>
      <x:c r="P205" s="23" t="str">
        <x:f>IF(OR(I205="",O205=""),"",I205*O205)</x:f>
      </x:c>
      <x:c r="Q205" s="23" t="str">
        <x:f>IF(P205="","",P205-H205)</x:f>
      </x:c>
      <x:c r="R205" s="44"/>
    </x:row>
  </x:sheetData>
  <x:mergeCells>
    <x:mergeCell ref="A2:R2"/>
  </x:mergeCells>
  <x:pageMargins left="0.7" right="0.7" top="0.75" bottom="0.75" header="0.3" footer="0.3"/>
  <x:tableParts count="1">
    <x:tablePart xmlns:r="http://schemas.openxmlformats.org/officeDocument/2006/relationships" r:id="R76ecae88669c4749"/>
  </x:tableParts>
</x:worksheet>
</file>

<file path=xl/worksheets/sheet6.xml><?xml version="1.0" encoding="utf-8"?>
<x:worksheet xmlns:x="http://schemas.openxmlformats.org/spreadsheetml/2006/main">
  <x:sheetPr>
    <x:tabColor rgb="FF7C3AED"/>
  </x:sheetPr>
  <x:sheetViews>
    <x:sheetView showGridLines="0" workbookViewId="0">
      <x:pane ySplit="5" topLeftCell="A6" activePane="bottomLeft" state="frozen"/>
    </x:sheetView>
  </x:sheetViews>
  <x:sheetFormatPr defaultRowHeight="15"/>
  <x:cols>
    <x:col min="1" max="1" width="18" hidden="0" customWidth="1"/>
    <x:col min="2" max="2" width="18" hidden="0" customWidth="1"/>
    <x:col min="3" max="3" width="18" hidden="0" customWidth="1"/>
    <x:col min="4" max="4" width="28" hidden="0" customWidth="1"/>
    <x:col min="5" max="5" width="36" hidden="0" customWidth="1"/>
    <x:col min="6" max="6" width="18" hidden="0" customWidth="1"/>
    <x:col min="7" max="7" width="18" hidden="0" customWidth="1"/>
    <x:col min="8" max="8" width="18" hidden="0" customWidth="1"/>
    <x:col min="9" max="9" width="18" hidden="0" customWidth="1"/>
    <x:col min="10" max="10" width="38" hidden="0" customWidth="1"/>
  </x:cols>
  <x:sheetData>
    <x:row r="1">
      <x:c r="A1" s="1"/>
      <x:c r="B1" s="1"/>
      <x:c r="C1" s="1"/>
      <x:c r="D1" s="1"/>
      <x:c r="E1" s="1"/>
      <x:c r="F1" s="1"/>
      <x:c r="G1" s="1"/>
      <x:c r="H1" s="1"/>
      <x:c r="I1" s="1"/>
      <x:c r="J1" s="1"/>
    </x:row>
    <x:row r="2">
      <x:c r="A2" s="2" t="str">
        <x:v>Scan Runs</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24" t="str">
        <x:v>Run ID</x:v>
      </x:c>
      <x:c r="B5" s="25" t="str">
        <x:v>Run At</x:v>
      </x:c>
      <x:c r="C5" s="25" t="str">
        <x:v>Task</x:v>
      </x:c>
      <x:c r="D5" s="25" t="str">
        <x:v>Scope</x:v>
      </x:c>
      <x:c r="E5" s="25" t="str">
        <x:v>Sources Checked</x:v>
      </x:c>
      <x:c r="F5" s="25" t="str">
        <x:v>New Triggers</x:v>
      </x:c>
      <x:c r="G5" s="25" t="str">
        <x:v>Theses Updated</x:v>
      </x:c>
      <x:c r="H5" s="25" t="str">
        <x:v>Evaluations Completed</x:v>
      </x:c>
      <x:c r="I5" s="25" t="str">
        <x:v>Alert Sent</x:v>
      </x:c>
      <x:c r="J5" s="26" t="str">
        <x:v>Notes</x:v>
      </x:c>
    </x:row>
    <x:row r="6">
      <x:c r="A6" s="27" t="str">
        <x:v>RUN-2026-09-11-0815</x:v>
      </x:c>
      <x:c r="B6" s="28" t="n">
        <x:v>46276.51043981482</x:v>
      </x:c>
      <x:c r="C6" s="27" t="str">
        <x:v>Easy E Invest daily scan</x:v>
      </x:c>
      <x:c r="D6" s="29" t="str">
        <x:v>Cross-sector: energy, macro, fixed income, commodities, defense, technology, regulation, sanctions and government awards</x:v>
      </x:c>
      <x:c r="E6" s="29" t="str">
        <x:v>USAspending; Congress; Federal Register; BLS; IEA reporting; Reuters; AP; SEC; market price and yield data</x:v>
      </x:c>
      <x:c r="F6" s="29" t="n">
        <x:v>3</x:v>
      </x:c>
      <x:c r="G6" s="29" t="n">
        <x:v>3</x:v>
      </x:c>
      <x:c r="H6" s="29" t="n">
        <x:v>0</x:v>
      </x:c>
      <x:c r="I6" s="29" t="str">
        <x:v>Yes</x:v>
      </x:c>
      <x:c r="J6" s="29" t="str">
        <x:v>New qualifying macro thesis EEI-2026-004. EEI-2026-001 strengthened and became Actionable but remains WAIT. EEI-2026-003 trading edge fell. No material USAspending new award was independently confirmed; reported Pentagon-Fluidstack loan talks remain unconfirmed and were not promoted.</x:v>
      </x:c>
    </x:row>
    <x:row r="7">
      <x:c r="A7" s="27" t="str">
        <x:v>RUN-2026-09-11-1142</x:v>
      </x:c>
      <x:c r="B7" s="28" t="n">
        <x:v>46276.65429398148</x:v>
      </x:c>
      <x:c r="C7" s="27" t="str">
        <x:v>2026 midterm thesis check</x:v>
      </x:c>
      <x:c r="D7" s="29" t="str">
        <x:v>EEI-2026-003 only: congressional-control outlook, policy developments, breadth, volatility, rates, inflation, oil, earnings and candidate sectors</x:v>
      </x:c>
      <x:c r="E7" s="29" t="str">
        <x:v>BLS; Federal Reserve calendar; Reuters; market price data; current published election coverage</x:v>
      </x:c>
      <x:c r="F7" s="29" t="n">
        <x:v>0</x:v>
      </x:c>
      <x:c r="G7" s="29" t="n">
        <x:v>1</x:v>
      </x:c>
      <x:c r="H7" s="29" t="n">
        <x:v>0</x:v>
      </x:c>
      <x:c r="I7" s="29" t="str">
        <x:v>Yes</x:v>
      </x:c>
      <x:c r="J7" s="29" t="str">
        <x:v>CPI and consumer sentiment strengthened the macro contradiction. Friday's rebound had positive breadth, but SPY still outperformed RSP and IWM. EEI-2026-003 remains Developing; trading edge remains limited; Entry Window WAIT and inactive until Actionable. No automatic trade.</x:v>
      </x:c>
    </x:row>
    <x:row r="8">
      <x:c r="A8" s="27" t="str">
        <x:v>RUN-2026-09-12-0759</x:v>
      </x:c>
      <x:c r="B8" s="51" t="n">
        <x:v>46277.49940972222</x:v>
      </x:c>
      <x:c r="C8" s="27" t="str">
        <x:v>Easy E Invest daily scan</x:v>
      </x:c>
      <x:c r="D8" s="29" t="str">
        <x:v>Cross-sector: energy, macro, fixed income, commodities, defense, healthcare/biotech, technology, trade policy, sanctions, supply chains and government awards</x:v>
      </x:c>
      <x:c r="E8" s="29" t="str">
        <x:v>USAspending; Congressional and Federal Register sources; BLS; IEA context; Reuters; AP; Financial Times; Commerce/Trade; FDA; market data and prior ledger evidence</x:v>
      </x:c>
      <x:c r="F8" s="29" t="n">
        <x:v>4</x:v>
      </x:c>
      <x:c r="G8" s="29" t="n">
        <x:v>2</x:v>
      </x:c>
      <x:c r="H8" s="29" t="n">
        <x:v>0</x:v>
      </x:c>
      <x:c r="I8" s="29" t="str">
        <x:v>Yes</x:v>
      </x:c>
      <x:c r="J8" s="29" t="str">
        <x:v>EEI-2026-001 materially strengthened after the East-West pipeline shutdown; confidence remains 5/5, edge drops to 1/5 and Entry Window remains WAIT because the Saturday trigger lacks market confirmation and creates gap risk. EEI-2026-004 was reinforced by ECB commentary but stayed Actionable 4/5, edge 2/5, WAIT. Solar import duties, Scholar Rock's FDA approval, AI legislation and critical-minerals restrictions were reviewed but not promoted: implementation, prior expectation, confirmation or remaining edge was insufficient. No material new USAspending award passed new-award, confirmation and materiality tests.</x:v>
      </x:c>
    </x:row>
    <x:row r="9">
      <x:c r="A9" s="27" t="str">
        <x:v>RUN-2026-09-12-1115</x:v>
      </x:c>
      <x:c r="B9" s="28" t="n">
        <x:v>46277.63582175926</x:v>
      </x:c>
      <x:c r="C9" s="27" t="str">
        <x:v>2026 midterm thesis check</x:v>
      </x:c>
      <x:c r="D9" s="29" t="str">
        <x:v>EEI-2026-003 only: congressional-control outlook, policy developments, breadth, volatility, rates, inflation, oil, earnings and candidate sectors</x:v>
      </x:c>
      <x:c r="E9" s="29" t="str">
        <x:v>Cook Political Report; Reuters; Associated Press; BLS; Federal Reserve calendar; market price data; prior ledger evidence</x:v>
      </x:c>
      <x:c r="F9" s="29" t="n">
        <x:v>1</x:v>
      </x:c>
      <x:c r="G9" s="29" t="n">
        <x:v>1</x:v>
      </x:c>
      <x:c r="H9" s="29" t="n">
        <x:v>0</x:v>
      </x:c>
      <x:c r="I9" s="29" t="str">
        <x:v>Yes</x:v>
      </x:c>
      <x:c r="J9" s="29" t="str">
        <x:v>No verified change in congressional-control outlook or candidate-sector policy. The East-West pipeline shutdown materially worsened the energy-inflation modifier. Friday's final close showed positive S&amp;P 500 breadth but no sustained confirmation from RSP, IWM, health care or biotech. EEI-2026-003 remains Developing; trading edge remains limited; Entry Window WAIT and inactive until Actionable.</x:v>
      </x:c>
    </x:row>
    <x:row r="10">
      <x:c r="A10" s="27" t="str">
        <x:v>RUN-2026-09-13-0752</x:v>
      </x:c>
      <x:c r="B10" s="51" t="n">
        <x:v>46278.49491898148</x:v>
      </x:c>
      <x:c r="C10" s="27" t="str">
        <x:v>Easy E Invest daily scan</x:v>
      </x:c>
      <x:c r="D10" s="29" t="str">
        <x:v>Cross-sector: energy, macro, fixed income, commodities, defense, healthcare/biotech, technology, trade policy, sanctions, supply chains, market positioning and government awards</x:v>
      </x:c>
      <x:c r="E10" s="29" t="str">
        <x:v>USAspending; Defense and Federal Register sources; Reuters; Associated Press; UKMTO reporting; BLS and IEA context; FDA; company and market data; prior ledger evidence</x:v>
      </x:c>
      <x:c r="F10" s="29" t="n">
        <x:v>3</x:v>
      </x:c>
      <x:c r="G10" s="29" t="n">
        <x:v>2</x:v>
      </x:c>
      <x:c r="H10" s="29" t="n">
        <x:v>0</x:v>
      </x:c>
      <x:c r="I10" s="29" t="str">
        <x:v>Yes</x:v>
      </x:c>
      <x:c r="J10" s="29" t="str">
        <x:v>EEI-2026-001 materially strengthened after a projectile struck a Hormuz vessel and Saudi equities supplied the first regional post-pipeline market reaction. Confidence stays 5/5, edge 1/5 and Entry Window WAIT because crude and U.S. funds have not traded since the weekend attacks. EEI-2026-004 gained evidence from 98% U.S. refinery utilization and possible DPA capacity support, but no decision or state change occurred. DPA refining talks, German investment shifts, FDA items and other policy/corporate events did not justify new theses. USAspending checks found Peraton order 693KA726F00020 ($30.9M current, $15.5M obligated, $54.5M potential; DOT/FAA; NAICS 541512; delivery order under 693KA726D00003; awarded March 6, 2026, through December 31, 2028; not a new weekend award; private recipient; previously announced prime-integrator relationship) and Global Solutions Group order 140D0425F0838 ($2.3M current/obligated, $3.1M potential; DOI; BPA call; NAICS 541511; period ended September 12, 2026); neither was a new material public-company signal.</x:v>
      </x:c>
    </x:row>
    <x:row r="11">
      <x:c r="A11" s="27" t="str">
        <x:v>RUN-2026-09-13-1110</x:v>
      </x:c>
      <x:c r="B11" s="28" t="n">
        <x:v>46278.63196759259</x:v>
      </x:c>
      <x:c r="C11" s="27" t="str">
        <x:v>2026 midterm thesis check</x:v>
      </x:c>
      <x:c r="D11" s="29" t="str">
        <x:v>EEI-2026-003 only: congressional-control outlook, policy developments, breadth, volatility, rates, inflation, oil, earnings and candidate sectors</x:v>
      </x:c>
      <x:c r="E11" s="29" t="str">
        <x:v>Cook Political Report; Reuters; Associated Press; BLS; Federal Reserve calendar; Saudi market data; prior ledger evidence</x:v>
      </x:c>
      <x:c r="F11" s="29" t="n">
        <x:v>1</x:v>
      </x:c>
      <x:c r="G11" s="29" t="n">
        <x:v>1</x:v>
      </x:c>
      <x:c r="H11" s="29" t="n">
        <x:v>0</x:v>
      </x:c>
      <x:c r="I11" s="29" t="str">
        <x:v>Yes</x:v>
      </x:c>
      <x:c r="J11" s="29" t="str">
        <x:v>No independently verified congressional-control or candidate-sector policy trigger emerged. Pipeline repair-duration and export-stock reports materially worsened the oil-inflation-rates modifier, and Saudi equities confirmed regional risk aversion. EEI-2026-003 remains Developing with confidence 3/5, trading edge reduced to 1/5, and Entry Window WAIT and inactive until Actionable. No automatic trade.</x:v>
      </x:c>
    </x:row>
    <x:row r="12">
      <x:c r="A12" s="27" t="str">
        <x:v>RUN-2026-09-14-0908</x:v>
      </x:c>
      <x:c r="B12" s="28" t="n">
        <x:v>46279.38055555556</x:v>
      </x:c>
      <x:c r="C12" s="27" t="str">
        <x:v>Easy E Invest daily scan</x:v>
      </x:c>
      <x:c r="D12" s="29" t="str">
        <x:v>Separate reviews: energy market; 2026 midterm thesis; Motley Fool watch; plus cross-sector government awards, critical minerals, macro, healthcare, consumer, defense, technology, sanctions, supply chains and market confirmation</x:v>
      </x:c>
      <x:c r="E12" s="29" t="str">
        <x:v>Methodology and prior ledger; USAspending and DLA award reporting; Congress/Federal Register; Reuters; AP; SEC/EDGAR; company investor materials; market data; public Motley Fool editorial pages</x:v>
      </x:c>
      <x:c r="F12" s="29" t="n">
        <x:v>8</x:v>
      </x:c>
      <x:c r="G12" s="29" t="n">
        <x:v>6</x:v>
      </x:c>
      <x:c r="H12" s="29" t="n">
        <x:v>0</x:v>
      </x:c>
      <x:c r="I12" s="29" t="str">
        <x:v>Yes</x:v>
      </x:c>
      <x:c r="J12" s="29" t="str">
        <x:v>EEI-2026-001 gained liquid futures and physical-market confirmation but remains Actionable 5/5, edge 1/5, Entry Window WAIT. EEI-2026-004 was reinforced but remains WAIT before the Fed. No verified change to the separate 2026 midterm thesis. Motley Fool queue: created EEI-2026-005 BMY (Developing), EEI-2026-006 LULU (Hypothesis) and EEI-2026-007 AVAV (Strong), with Motley Fool recorded only as trigger; Everspin and Kraken articles were rejected and recorded. New EEI-2026-008 tungsten thesis is Actionable 4/5, edge 2/5, WAIT. Reported DLA award: Elmet subsidiary; action reported as new award; $150M guaranteed commitment; ~$2B potential ceiling; obligated amount, award ID, NAICS/PSC, competition and period unavailable pending USAspending/agency indexing; highly material relative to Elmet; publicly announced and likely not fully expected. No other material new USAspending award passed the screen.</x:v>
      </x:c>
    </x:row>
    <x:row r="13">
      <x:c r="A13" s="27" t="str">
        <x:v>RUN-2026-09-15-0813</x:v>
      </x:c>
      <x:c r="B13" s="28" t="n">
        <x:v>46280.34236111111</x:v>
      </x:c>
      <x:c r="C13" s="27" t="str">
        <x:v>Easy E Invest daily scan</x:v>
      </x:c>
      <x:c r="D13" s="29" t="str">
        <x:v>Separate reviews: energy market; 2026 midterm thesis; Motley Fool watch; plus cross-sector government awards, macro, fixed income, healthcare, consumer, technology, defense, critical minerals and market confirmation</x:v>
      </x:c>
      <x:c r="E13" s="29" t="str">
        <x:v>Methodology and prior ledger; USAspending/DLA and Department of War; Reuters; SEC/issuer filings; Barron's; market data; Federal Reserve/BLS calendars; public Motley Fool editorial pages</x:v>
      </x:c>
      <x:c r="F13" s="29" t="n">
        <x:v>2</x:v>
      </x:c>
      <x:c r="G13" s="29" t="n">
        <x:v>2</x:v>
      </x:c>
      <x:c r="H13" s="29" t="n">
        <x:v>0</x:v>
      </x:c>
      <x:c r="I13" s="29" t="str">
        <x:v>Yes</x:v>
      </x:c>
      <x:c r="J13" s="29" t="str">
        <x:v>EEI-2026-008 received primary Department of War confirmation, but ELMT's roughly 33% September 14 jump reduced trading edge from 2/5 to 1/5; status remains Actionable and Entry Window WAIT. EEI-2026-001 received additional physical and market evidence plus an acute-risk contradiction; confidence 5/5, edge 1/5 and WAIT are unchanged. The separate 2026 midterm thesis had no independently verified policy/control catalyst and was not re-scored. New public Motley Fool comparisons were screened as trigger-only and rejected for lack of a new distinct catalyst; BMY, LULU and AVAV stages were unchanged. No other new public-company USAspending award passed award-record, confirmation and materiality checks. No horizon matured; formal evaluations remain pending.</x:v>
      </x:c>
    </x:row>
    <x:row r="14">
      <x:c r="A14" s="27" t="str">
        <x:v>RUN-2026-09-14-1155</x:v>
      </x:c>
      <x:c r="B14" s="28" t="n">
        <x:v>46279.66349537037</x:v>
      </x:c>
      <x:c r="C14" s="27" t="str">
        <x:v>2026 midterm thesis check</x:v>
      </x:c>
      <x:c r="D14" s="29" t="str">
        <x:v>EEI-2026-003 only: congressional-control outlook, policy developments, breadth, volatility, rates, inflation, oil, earnings and candidate sectors</x:v>
      </x:c>
      <x:c r="E14" s="29" t="str">
        <x:v>Reuters; BLS; market price and yield data; prior ledger evidence</x:v>
      </x:c>
      <x:c r="F14" s="29" t="n">
        <x:v>0</x:v>
      </x:c>
      <x:c r="G14" s="29" t="n">
        <x:v>1</x:v>
      </x:c>
      <x:c r="H14" s="29" t="n">
        <x:v>0</x:v>
      </x:c>
      <x:c r="I14" s="29" t="str">
        <x:v>Yes</x:v>
      </x:c>
      <x:c r="J14" s="29" t="str">
        <x:v>Backfilled on September 15 after the prior workbook-write interruption. Monday's final close showed a lower headline market, mixed internal breadth, industrial weakness, oil above $105 and the 10-year yield briefly above 5%. EEI-2026-003 remained Developing with confidence 3/5, trading edge 1/5 and Entry Window WAIT inactive until Actionable.</x:v>
      </x:c>
    </x:row>
    <x:row r="15">
      <x:c r="A15" s="27" t="str">
        <x:v>RUN-2026-09-15-1142</x:v>
      </x:c>
      <x:c r="B15" s="28" t="n">
        <x:v>46280.654594907406</x:v>
      </x:c>
      <x:c r="C15" s="27" t="str">
        <x:v>2026 midterm thesis check</x:v>
      </x:c>
      <x:c r="D15" s="29" t="str">
        <x:v>EEI-2026-003 only: congressional-control outlook, policy developments, breadth, volatility, rates, inflation, oil, earnings and candidate sectors</x:v>
      </x:c>
      <x:c r="E15" s="29" t="str">
        <x:v>Reuters/Ipsos; Cook Political Report public coverage; BLS; Federal Reserve calendar; Reuters market, oil and rates reporting; delayed ETF market data; prior ledger evidence</x:v>
      </x:c>
      <x:c r="F15" s="29" t="n">
        <x:v>1</x:v>
      </x:c>
      <x:c r="G15" s="29" t="n">
        <x:v>1</x:v>
      </x:c>
      <x:c r="H15" s="29" t="n">
        <x:v>0</x:v>
      </x:c>
      <x:c r="I15" s="29" t="str">
        <x:v>Yes</x:v>
      </x:c>
      <x:c r="J15" s="29" t="str">
        <x:v>The Reuters/Ipsos generic ballot is a new national-sentiment trigger but does not establish chamber control or a policy outcome. Tuesday's negative breadth, IWM/XBI underperformance, Brent above $107 and the 10-year yield above 5% weaken market confirmation and trading edge. EEI-2026-003 remains Developing, confidence 3/5, edge 1/5, Entry Window WAIT inactive until Actionable. No automatic trade.</x:v>
      </x:c>
    </x:row>
    <x:row r="16">
      <x:c r="A16" s="27" t="str">
        <x:v>RUN-2026-09-16-0752</x:v>
      </x:c>
      <x:c r="B16" s="28" t="n">
        <x:v>46281.32777777778</x:v>
      </x:c>
      <x:c r="C16" s="27" t="str">
        <x:v>Easy E Invest daily scan</x:v>
      </x:c>
      <x:c r="D16" s="29" t="str">
        <x:v>Separate reviews: energy market; 2026 midterm thesis; Motley Fool watch; plus cross-sector government awards, macro, fixed income, healthcare, consumer, technology, defense, critical minerals and market confirmation</x:v>
      </x:c>
      <x:c r="E16" s="29" t="str">
        <x:v>Methodology and prior ledger; USAspending and Department of War award reporting; Reuters; EIA context; company and SEC materials; market data; public Motley Fool editorial pages</x:v>
      </x:c>
      <x:c r="F16" s="29" t="n">
        <x:v>4</x:v>
      </x:c>
      <x:c r="G16" s="29" t="n">
        <x:v>2</x:v>
      </x:c>
      <x:c r="H16" s="29" t="n">
        <x:v>0</x:v>
      </x:c>
      <x:c r="I16" s="29" t="str">
        <x:v>Yes</x:v>
      </x:c>
      <x:c r="J16" s="29" t="str">
        <x:v>Created EEI-2026-009, global diesel scarcity and refining margins, as Strong 4/5 with trading edge 1/5 and Entry Window WAIT after record Asian diesel cracks and confirmed European physical shortages. EEI-2026-001 retained Actionable 5/5, edge 1/5 and WAIT, but Saudi rerouting, possible pipeline repair and a large U.S. crude inventory build increased reversal risk. The separate midterm thesis had no verified policy or market-structure change and was not re-scored. New public Motley Fool articles on Anthropic-linked AMZN/GOOG exposure and Nvidia were rejected as non-distinct, already-known ideas; BMY, LULU and AVAV were unchanged. No material new USAspending public-company award passed confirmation and materiality checks. No horizon matured.</x:v>
      </x:c>
    </x:row>
    <x:row r="17">
      <x:c r="A17" s="27" t="str">
        <x:v>RUN-2026-09-16-1136</x:v>
      </x:c>
      <x:c r="B17" s="28" t="n">
        <x:v>46281.65054398148</x:v>
      </x:c>
      <x:c r="C17" s="27" t="str">
        <x:v>2026 midterm thesis check</x:v>
      </x:c>
      <x:c r="D17" s="29" t="str">
        <x:v>EEI-2026-003 only: congressional-control outlook, policy developments, breadth, volatility, rates, inflation, oil, earnings and candidate sectors</x:v>
      </x:c>
      <x:c r="E17" s="29" t="str">
        <x:v>Cook Political Report; Reuters; Federal Reserve schedule; Commerce Department and BLS reporting; delayed ETF market data; prior ledger evidence</x:v>
      </x:c>
      <x:c r="F17" s="29" t="n">
        <x:v>0</x:v>
      </x:c>
      <x:c r="G17" s="29" t="n">
        <x:v>1</x:v>
      </x:c>
      <x:c r="H17" s="29" t="n">
        <x:v>0</x:v>
      </x:c>
      <x:c r="I17" s="29" t="str">
        <x:v>Yes</x:v>
      </x:c>
      <x:c r="J17" s="29" t="str">
        <x:v>Wednesday's pre-Fed tape reversed Tuesday's negative breadth: industrials, materials, small caps and biotech participated while crude eased. Equal weight still lagged SPY, financials declined, import inflation remained high and the 2 p.m. Fed decision was pending. EEI-2026-003 remains Developing; existing confidence and trading-edge fields are unchanged; Entry Window WAIT remains inactive until Actionable. No automatic trade.</x:v>
      </x:c>
    </x:row>
    <x:row r="18">
      <x:c r="A18" s="27" t="str">
        <x:v>RUN-2026-09-17-0748</x:v>
      </x:c>
      <x:c r="B18" s="28" t="n">
        <x:v>46282.325</x:v>
      </x:c>
      <x:c r="C18" s="27" t="str">
        <x:v>Easy E Invest daily scan</x:v>
      </x:c>
      <x:c r="D18" s="29" t="str">
        <x:v>Separate reviews: energy market; 2026 midterm thesis; Motley Fool watch; plus cross-sector government awards, macro, fixed income, healthcare, consumer, technology, defense, critical minerals and market confirmation</x:v>
      </x:c>
      <x:c r="E18" s="29" t="str">
        <x:v>Methodology and prior ledger; Reuters; Federal Reserve; FAA; USAspending and government award records; company announcements; public Motley Fool editorial pages; market data</x:v>
      </x:c>
      <x:c r="F18" s="29" t="n">
        <x:v>7</x:v>
      </x:c>
      <x:c r="G18" s="29" t="n">
        <x:v>3</x:v>
      </x:c>
      <x:c r="H18" s="29" t="n">
        <x:v>0</x:v>
      </x:c>
      <x:c r="I18" s="29" t="str">
        <x:v>Yes</x:v>
      </x:c>
      <x:c r="J18" s="29" t="str">
        <x:v>EEI-2026-009 promoted from Strong to Actionable at confidence 5/5 after record product markets gained independent confirmation from extremely low Hormuz traffic, Russian refinery outages and regional export rationing. Trading edge remains 1/5 and Entry Window WAIT because prices and crack spreads are at records and policy intervention has begun. EEI-2026-004 remains Actionable but trading edge fell from 2/5 to 1/5: the Fed delivered the predicted 25 bp hike, yet long yields eased and the clean expression did not confirm. EEI-2026-001 remains Actionable 5/5, edge 1/5, WAIT: physical disruption persists but rerouting and expected pipeline repair are easing crude prices. No material change to the separate midterm thesis. Public Motley Fool ideas on TSM, VKTX and JOBY were screened and rejected as new theses; existing BMY, LULU and AVAV classifications were unchanged. The IBM/Anderon $1 billion CHIPS award finalization was not a new surprise and was not material enough to create a thesis. No material new USAspending public-company contract passed full confirmation and materiality checks.</x:v>
      </x:c>
    </x:row>
    <x:row r="19">
      <x:c r="A19" s="27" t="str">
        <x:v>RUN-2026-09-17-1104</x:v>
      </x:c>
      <x:c r="B19" s="28" t="n">
        <x:v>46282.6278125</x:v>
      </x:c>
      <x:c r="C19" s="27" t="str">
        <x:v>2026 midterm thesis check</x:v>
      </x:c>
      <x:c r="D19" s="29" t="str">
        <x:v>EEI-2026-003 only: congressional-control outlook, policy developments, breadth, volatility, rates, inflation, oil, earnings and candidate sectors</x:v>
      </x:c>
      <x:c r="E19" s="29" t="str">
        <x:v>Cook Political Report; Sabato's Crystal Ball; Reuters; Federal Reserve; FactSet; delayed ETF market data; prior ledger evidence</x:v>
      </x:c>
      <x:c r="F19" s="29" t="n">
        <x:v>0</x:v>
      </x:c>
      <x:c r="G19" s="29" t="n">
        <x:v>1</x:v>
      </x:c>
      <x:c r="H19" s="29" t="n">
        <x:v>0</x:v>
      </x:c>
      <x:c r="I19" s="29" t="str">
        <x:v>Yes</x:v>
      </x:c>
      <x:c r="J19" s="29" t="str">
        <x:v>The first full post-Fed session materially improved breadth: all S&amp;P sectors rose, exchange breadth was strongly positive, VIX fell, and IWM and XBI outperformed while crude and the 10-year yield eased. The confirmation is incomplete because RSP still lagged SPY, XLF declined, further Fed tightening remains possible and no House or Senate control outcome has been independently established. EEI-2026-003 remains Developing; existing confidence and trading-edge fields are unchanged; Entry Window WAIT remains inactive until Actionable. No automatic trade.</x:v>
      </x:c>
    </x:row>
    <x:row r="20">
      <x:c r="A20" s="27" t="str">
        <x:v>RUN-2026-09-18-0828</x:v>
      </x:c>
      <x:c r="B20" s="28" t="n">
        <x:v>46283.3533217593</x:v>
      </x:c>
      <x:c r="C20" s="27" t="str">
        <x:v>Easy E Invest daily scan</x:v>
      </x:c>
      <x:c r="D20" s="29" t="str">
        <x:v>Separate reviews: energy market; 2026 midterm thesis; Motley Fool watch; plus cross-sector government awards, macro, fixed income, healthcare, consumer, technology, defense, critical minerals and market confirmation</x:v>
      </x:c>
      <x:c r="E20" s="29" t="str">
        <x:v>Methodology and prior ledger; Reuters; Associated Press; Federal Reserve; Wall Street Journal; USAspending and Department of War records; SEC and company materials; public Motley Fool editorial pages; market price data</x:v>
      </x:c>
      <x:c r="F20" s="29" t="n">
        <x:v>7</x:v>
      </x:c>
      <x:c r="G20" s="29" t="n">
        <x:v>4</x:v>
      </x:c>
      <x:c r="H20" s="29" t="n">
        <x:v>2</x:v>
      </x:c>
      <x:c r="I20" s="29" t="str">
        <x:v>Yes</x:v>
      </x:c>
      <x:c r="J20" s="29" t="str">
        <x:v>Completed the scheduled outcome evaluations for EEI-2026-001 and EEI-2026-004. EEI-2026-001 closed with all five questions Yes and a calculated 100% score: the crude supply-risk variable, direction, timing and direct expressions were confirmed, while WAIT protected against chasing. EEI-2026-004 closed at a calculated 60% score: the inflation/policy variable and timing were confirmed, but long yields and the TBF expression moved opposite the frozen prediction; WAIT protected the result. EEI-2026-009 received further physical confirmation from the Joliet refinery outage but remains Actionable 5/5, edge 1/5 and WAIT because logistics are adapting and prices already reflect scarcity. EEI-2026-008 reached an interim documentation checkpoint only; its multi-year horizon remains open and formal outcomes stay blank. No material change to the separate midterm thesis. Public Motley Fool ideas on XOM/COP, VZ, SKHY/NVDA/ASML, HUBB and CAPE timing were screened and rejected or retained as watches without creating duplicate theses. No material new USAspending public-company award passed confirmation and materiality checks. Dashboard sync: GitHub commit 65a2355c1159adbf85a7c837df304f6b7457b020 succeeded. Render auto-deploy could not be independently verified because the connected Render session returned INVALID_ARGUMENT for the selected workspace and service listing; the public site is not represented as current.</x:v>
      </x:c>
    </x:row>
    <x:row r="21">
      <x:c r="A21" s="27" t="str">
        <x:v>RUN-2026-09-18-1103</x:v>
      </x:c>
      <x:c r="B21" s="54" t="n">
        <x:v>46283.4610069444</x:v>
      </x:c>
      <x:c r="C21" s="27" t="str">
        <x:v>2026 midterm thesis check</x:v>
      </x:c>
      <x:c r="D21" s="29" t="str">
        <x:v>EEI-2026-003 only: congressional-control outlook, policy developments, breadth, volatility, rates, inflation, oil, earnings and candidate sectors</x:v>
      </x:c>
      <x:c r="E21" s="29" t="str">
        <x:v>Reuters; Cook Political Report public coverage; FactSet; Federal Reserve and BLS context; intraday ETF market data; prior ledger evidence</x:v>
      </x:c>
      <x:c r="F21" s="29" t="n">
        <x:v>0</x:v>
      </x:c>
      <x:c r="G21" s="29" t="n">
        <x:v>1</x:v>
      </x:c>
      <x:c r="H21" s="29" t="n">
        <x:v>0</x:v>
      </x:c>
      <x:c r="I21" s="29" t="str">
        <x:v>Yes</x:v>
      </x:c>
      <x:c r="J21" s="29" t="str">
        <x:v>Friday failed to confirm Thursday's broadening: exchange breadth turned negative, RSP lagged SPY, and IWM/XBI underperformed while the 10-year yield returned near 5% and Brent stayed above $104. Congressional control remains unresolved; advertising escalation in Ohio confirms campaign intensity but not an outcome. EEI-2026-003 remains Developing with confidence 3/5, trading edge 1/5 and Entry Window WAIT inactive until Actionable. No automatic trade.</x:v>
      </x:c>
    </x:row>
    <x:row r="22">
      <x:c r="A22" s="27" t="str">
        <x:v>RUN-2026-09-19-0756</x:v>
      </x:c>
      <x:c r="B22" s="28" t="n">
        <x:v>46284.33085648148</x:v>
      </x:c>
      <x:c r="C22" s="27" t="str">
        <x:v>Easy E Invest daily scan</x:v>
      </x:c>
      <x:c r="D22" s="29" t="str">
        <x:v>Separate reviews: energy market; 2026 midterm thesis; Motley Fool watch; plus cross-sector government awards, trade policy, grid infrastructure, macro, fixed income, healthcare, consumer, technology, defense, critical minerals and market confirmation</x:v>
      </x:c>
      <x:c r="E22" s="29" t="str">
        <x:v>Methodology and prior ledger; European Commission and EUR-Lex; Reuters; Department of War contract announcements; USAspending public records; company and SEC materials; public Motley Fool editorial pages; Friday market data</x:v>
      </x:c>
      <x:c r="F22" s="29" t="n">
        <x:v>10</x:v>
      </x:c>
      <x:c r="G22" s="29" t="n">
        <x:v>2</x:v>
      </x:c>
      <x:c r="H22" s="29" t="n">
        <x:v>1</x:v>
      </x:c>
      <x:c r="I22" s="29" t="str">
        <x:v>Yes</x:v>
      </x:c>
      <x:c r="J22" s="29" t="str">
        <x:v>Created EEI-2026-010 as a distinct Developing thesis after the European Commission imposed provisional safeguards across the GOES-to-transformer-core value chain. Confidence is 3/5, trading edge 2/5 and Entry Window WAIT because the 155-day measure still needs a member-state vote for definitive adoption, company-level pass-through is unproven and public expressions are indirect or illiquid. EEI-2026-009 received stronger physical evidence from Aramco's cancellation of October term deliveries to some European refiners, while the planned G7 energy meeting increased policy-intervention risk; its stage and Entry Window remain unchanged. The separate midterm thesis had no new election-specific event and no new market session; its ledger fields were not changed. Public Motley Fool articles on SOFI, SNDK/NKE, OKLO/CCJ, NVDA/AVGO/MRVL/MU and PLUG were investigated and rejected as new theses because catalysts were old, already priced, non-distinct or unsupported by a favorable entry. Existing BMY, LULU and AVAV assessments were unchanged. The September 18 Lockheed Martin F-35 action was a non-competed modification to an existing IDIQ ceiling with zero dollars obligated at award, not a new material surprise; no new public-company USAspending award passed full confirmation and materiality checks. No real trade was made. Dashboard sync: GitHub commit 608e125991c7b3dd0089b42e10ac900cb9afd893 succeeded. Render auto-deploy could not be independently verified because the connected Render session returned INVALID_ARGUMENT for the selected workspace and service listing; the public site is not represented as current.</x:v>
      </x:c>
    </x:row>
    <x:row r="23">
      <x:c r="A23" s="27" t="str">
        <x:v>RUN-2026-09-19-1124</x:v>
      </x:c>
      <x:c r="B23" s="54" t="n">
        <x:v>46284.4750462963</x:v>
      </x:c>
      <x:c r="C23" s="27" t="str">
        <x:v>2026 midterm thesis check</x:v>
      </x:c>
      <x:c r="D23" s="29" t="str">
        <x:v>EEI-2026-003 only: congressional-control outlook, policy developments, breadth, volatility, rates, inflation, oil, earnings and candidate sectors</x:v>
      </x:c>
      <x:c r="E23" s="29" t="str">
        <x:v>Reuters; Cook Political Report public race pages; FactSet context; Federal Reserve and BLS context; Friday ETF close data; prior ledger evidence</x:v>
      </x:c>
      <x:c r="F23" s="29" t="n">
        <x:v>0</x:v>
      </x:c>
      <x:c r="G23" s="29" t="n">
        <x:v>1</x:v>
      </x:c>
      <x:c r="H23" s="29" t="n">
        <x:v>0</x:v>
      </x:c>
      <x:c r="I23" s="29" t="str">
        <x:v>Yes</x:v>
      </x:c>
      <x:c r="J23" s="29" t="str">
        <x:v>Friday's final close confirmed that Thursday's broadening did not persist: technology led, exchange breadth was negative, RSP/IWM/XBI lagged SPY, the 10-year yield topped 5% and oil stayed above $100. XLI showed relative resilience, while CPER strength diverged from XLB weakness. New reporting on party coordination and Ohio data-center policy adds uncertainty and a sector modifier but no chamber-control trigger. EEI-2026-003 remains Developing; existing confidence and trading-edge fields are unchanged; Entry Window WAIT remains inactive until Actionable. No automatic trade.</x:v>
      </x:c>
    </x:row>
    <x:row r="24">
      <x:c r="A24" s="27" t="str">
        <x:v>RUN-2026-09-20-0801</x:v>
      </x:c>
      <x:c r="B24" s="28" t="n">
        <x:v>46285.3341319444</x:v>
      </x:c>
      <x:c r="C24" s="27" t="str">
        <x:v>Easy E Invest daily scan</x:v>
      </x:c>
      <x:c r="D24" s="29" t="str">
        <x:v>Separate reviews: energy market; 2026 midterm thesis; Motley Fool watch; plus cross-sector government awards, trade policy, macro, fixed income, healthcare, consumer, technology, defense, critical minerals and market confirmation</x:v>
      </x:c>
      <x:c r="E24" s="29" t="str">
        <x:v>Methodology and prior ledger; Reuters; Financial Times; Wall Street Journal; Department of War and public award searches; company and SEC-context reporting; public Motley Fool editorial pages; Friday and Sunday market data</x:v>
      </x:c>
      <x:c r="F24" s="29" t="n">
        <x:v>7</x:v>
      </x:c>
      <x:c r="G24" s="29" t="n">
        <x:v>1</x:v>
      </x:c>
      <x:c r="H24" s="29" t="n">
        <x:v>0</x:v>
      </x:c>
      <x:c r="I24" s="29" t="str">
        <x:v>Yes</x:v>
      </x:c>
      <x:c r="J24" s="29" t="str">
        <x:v>EEI-2026-009 remains Actionable with its existing confidence, trading-edge and Entry Window fields unchanged. A further Russian refinery strike and independent refinery-chokepoint reporting strengthened the physical scarcity evidence, while marine biodiesel becoming cheaper than marine gasoil created a meaningful substitution cap on fossil-diesel demand. With U.S. markets closed and no new liquid confirmation, Entry Window remains WAIT. The separate midterm thesis received no new chamber-control evidence and no new U.S. market session; its stage and numerical fields were not changed. Public Motley Fool ideas on BE/PLUG, PL, BA/MQ-25 and MPLX were investigated and rejected as new theses because catalysts were old, already repriced, immaterial, or lacked primary award detail; generic articles on TSM, NKE, KO and dividend screens failed the basic relevance threshold. Existing BMY, LULU and AVAV assessments were unchanged. No new USAspending public-company award passed full confirmation and materiality checks. No real trade was made. Dashboard sync: GitHub commit f91195d20b574ff0e2ce917134e5ea81112c1d97 succeeded. Render auto-deploy could not be independently verified because the connected Render session returned INVALID_ARGUMENT for both workspace and service queries; the public site is not represented as current.</x:v>
      </x:c>
    </x:row>
    <x:row r="25">
      <x:c r="A25" s="27" t="str">
        <x:v>RUN-2026-09-21-0826</x:v>
      </x:c>
      <x:c r="B25" s="54" t="n">
        <x:v>46286.35158564815</x:v>
      </x:c>
      <x:c r="C25" s="27" t="str">
        <x:v>Easy E Invest daily scan</x:v>
      </x:c>
      <x:c r="D25" s="29" t="str">
        <x:v>Separate reviews: energy market; 2026 midterm thesis; Motley Fool watch; plus cross-sector government awards, trade policy, macro, fixed income, healthcare, consumer, technology, defense, critical minerals, shipping and market confirmation</x:v>
      </x:c>
      <x:c r="E25" s="29" t="str">
        <x:v>Methodology and prior ledger; Reuters; Wall Street Journal; Associated Press; EIA and Indian government data as reported; USAspending and defense-award searches; public Motley Fool editorial pages; current market data</x:v>
      </x:c>
      <x:c r="F25" s="29" t="n">
        <x:v>9</x:v>
      </x:c>
      <x:c r="G25" s="29" t="n">
        <x:v>4</x:v>
      </x:c>
      <x:c r="H25" s="29" t="n">
        <x:v>1</x:v>
      </x:c>
      <x:c r="I25" s="29" t="str">
        <x:v>Yes</x:v>
      </x:c>
      <x:c r="J25" s="29" t="str">
        <x:v>Created EEI-2026-011, Gulf tanker shortage and VLCC freight, as Strong 4/5 with trading edge 1/5 and Entry Window WAIT after record freight, a large ship-to-ship shuttle system and Trafigura's tanker-fleet launch confirmed the mechanism. EEI-2026-002 advanced from Developing to Strong at confidence 4/5, with trading edge reduced to 2/5 and Entry Window WAIT: QatarEnergy disclosed a multi-year LNG repair burden and possible expansion delays, while Indian coal demand strengthened; alternative LNG supply and logistical constraints remain material contradictions. EEI-2026-009 remains Actionable 5/5, edge 1/5 and WAIT after EIA data extended the distillate-inventory shortage through most of 2027; record margins and mixed equity pricing argue against chasing. The separate midterm thesis received a factual Nevada policy observation but no chamber-control conclusion or ledger-score change. A new public Motley Fool Bloom Energy podcast was investigated and rejected as a repeated, already-priced catalyst; BMY, LULU and AVAV were unchanged. No new public-company USAspending award passed full confirmation and materiality checks. No real trade was made.</x:v>
      </x:c>
    </x:row>
    <x:row r="26">
      <x:c r="A26" s="27" t="str">
        <x:v>RUN-2026-09-21-1108</x:v>
      </x:c>
      <x:c r="B26" s="54" t="n">
        <x:v>46286.4643402778</x:v>
      </x:c>
      <x:c r="C26" s="27" t="str">
        <x:v>2026 midterm thesis check</x:v>
      </x:c>
      <x:c r="D26" s="29" t="str">
        <x:v>EEI-2026-003 only: congressional-control outlook, policy developments, breadth, volatility, rates, inflation, oil, earnings and candidate sectors</x:v>
      </x:c>
      <x:c r="E26" s="29" t="str">
        <x:v>Methodology and prior ledger; Reuters; Cook Political Report public ratings summary; delayed ETF market data; Federal Reserve commentary context</x:v>
      </x:c>
      <x:c r="F26" s="29" t="n">
        <x:v>0</x:v>
      </x:c>
      <x:c r="G26" s="29" t="n">
        <x:v>1</x:v>
      </x:c>
      <x:c r="H26" s="29" t="n">
        <x:v>0</x:v>
      </x:c>
      <x:c r="I26" s="29" t="str">
        <x:v>Yes</x:v>
      </x:c>
      <x:c r="J26" s="29" t="str">
        <x:v>No independent House or Senate control trigger emerged. Oil fell more than 3%, the 10-year yield moved below 5% and exchange breadth was positive, but SPY's AI-led gain substantially exceeded RSP while XLI, XLB and XLF lagged. XBI outperformed and IWM participated less strongly, providing limited confirmation outside mega-cap technology. The U.S.-China talks established an AI-safety dialogue but did not extend the November trade truce. EEI-2026-003 remains Developing; the investment-thesis confidence and trading-edge fields are unchanged; Entry Window WAIT remains inactive until Actionable. No automatic trade.</x:v>
      </x:c>
    </x:row>
    <x:row r="27">
      <x:c r="A27" s="27" t="str">
        <x:v>RUN-2026-09-22-0806</x:v>
      </x:c>
      <x:c r="B27" s="28" t="n">
        <x:v>46287.50418981481</x:v>
      </x:c>
      <x:c r="C27" s="27" t="str">
        <x:v>Easy E Invest daily scan</x:v>
      </x:c>
      <x:c r="D27" s="29" t="str">
        <x:v>Separate reviews: energy market; 2026 midterm thesis; Motley Fool watch; plus cross-sector government awards, industrial gas demand, geothermal, defense, technology, healthcare, shipping and market confirmation</x:v>
      </x:c>
      <x:c r="E27" s="29" t="str">
        <x:v>Methodology and prior ledger; Reuters; U.S. Army; U.S. Department of Energy; public Motley Fool editorial pages; company materials; current commodity and premarket data</x:v>
      </x:c>
      <x:c r="F27" s="29" t="n">
        <x:v>8</x:v>
      </x:c>
      <x:c r="G27" s="29" t="n">
        <x:v>3</x:v>
      </x:c>
      <x:c r="H27" s="29" t="n">
        <x:v>0</x:v>
      </x:c>
      <x:c r="I27" s="29" t="str">
        <x:v>Yes</x:v>
      </x:c>
      <x:c r="J27" s="29" t="str">
        <x:v>Saudi Arabia restarted the East-West Pipeline at a low rate and Iran signaled possible Hormuz reopening, producing the strongest current normalization evidence. EEI-2026-009 remains Actionable 5/5, edge 1/5 and WAIT because diesel prices and refined-product scarcity remain separately confirmed, while refining equities weakened. EEI-2026-011 remains Strong 4/5, edge 1/5 and WAIT: Venezuelan Aframax costs confirm global tanker scarcity, but pipeline restoration and possible route normalization directly challenge Gulf shuttle demand. EEI-2026-003 received a neutral factual update only; no House or Senate control conclusion was made. Public Motley Fool ideas on META, IONQ, ASTS and BNTX were investigated and rejected as new theses; BMY, LULU and AVAV were unchanged. The Lockheed $1.2 billion PrSM IDIQ and DOE $99 million geothermal selections did not clear parent-company materiality or final-award tests. No real trade was made. Render auto-deploy verification could not be completed because the connected Render session has no workspace selected. The connector requires an explicit user-confirmed workspace ID and does not permit an automated run to choose one; the public site is not represented as current.</x:v>
      </x:c>
    </x:row>
    <x:row r="28">
      <x:c r="A28" s="27" t="str">
        <x:v>RUN-2026-09-22-1128</x:v>
      </x:c>
      <x:c r="B28" s="54" t="n">
        <x:v>46287.64480324074</x:v>
      </x:c>
      <x:c r="C28" s="27" t="str">
        <x:v>2026 midterm thesis check</x:v>
      </x:c>
      <x:c r="D28" s="29" t="str">
        <x:v>EEI-2026-003 only: congressional-control outlook, policy developments, breadth, volatility, rates, inflation, oil, earnings and candidate sectors</x:v>
      </x:c>
      <x:c r="E28" s="29" t="str">
        <x:v>Methodology and prior ledger; Reuters; Cook Political Report public ratings summary; FactSet Earnings Insight; delayed ETF market data; volatility reporting</x:v>
      </x:c>
      <x:c r="F28" s="29" t="n">
        <x:v>0</x:v>
      </x:c>
      <x:c r="G28" s="29" t="n">
        <x:v>1</x:v>
      </x:c>
      <x:c r="H28" s="29" t="n">
        <x:v>0</x:v>
      </x:c>
      <x:c r="I28" s="29" t="str">
        <x:v>Yes</x:v>
      </x:c>
      <x:c r="J28" s="29" t="str">
        <x:v>No independently confirmed House or Senate control trigger emerged. Oil below $100, the 10-year yield below 5%, VIX near 14.8 and positive exchange breadth improved the macro and risk setting. XBI and XLV provided the clearest candidate follow-through, while XLB, CPER and IWM also participated. The central breadth test remained incomplete because RSP did not outperform SPY, XLI lagged and XLF fell sharply, while large technology stocks led the Nasdaq to an intraday record. EEI-2026-003 remains Developing; investment-thesis confidence and trading edge are unchanged; Entry Window WAIT remains inactive until Actionable. No automatic trade.</x:v>
      </x:c>
    </x:row>
    <x:row r="29">
      <x:c r="A29" s="27" t="str">
        <x:v>RUN-2026-09-23-0753</x:v>
      </x:c>
      <x:c r="B29" s="28" t="n">
        <x:v>46288.49553240741</x:v>
      </x:c>
      <x:c r="C29" s="27" t="str">
        <x:v>Easy E Invest daily scan</x:v>
      </x:c>
      <x:c r="D29" s="29" t="str">
        <x:v>Separate reviews: energy market; 2026 midterm thesis; Motley Fool watch; plus cross-sector government awards, transportation policy, biotechnology, semiconductors, defense, shipping and market confirmation</x:v>
      </x:c>
      <x:c r="E29" s="29" t="str">
        <x:v>Methodology and prior ledger; Reuters; U.S. Department of War; public USAspending searches; Viking Therapeutics primary materials; public Motley Fool editorial pages; current commodity and market data</x:v>
      </x:c>
      <x:c r="F29" s="29" t="n">
        <x:v>10</x:v>
      </x:c>
      <x:c r="G29" s="29" t="n">
        <x:v>3</x:v>
      </x:c>
      <x:c r="H29" s="29" t="n">
        <x:v>0</x:v>
      </x:c>
      <x:c r="I29" s="29" t="str">
        <x:v>Yes</x:v>
      </x:c>
      <x:c r="J29" s="29" t="str">
        <x:v>EEI-2026-009 remains Actionable with confidence 5/5, trading edge 1/5 and Entry Window WAIT. The European gasoil premium to Brent reached a record near $95 per barrel after the United States began examining diesel-export restrictions, but implementation could reduce U.S. refinery utilization and the listed refiner expressions weakened. EEI-2026-011 remains Strong 4/5, edge 1/5 and WAIT: exceptional freight gained further official confirmation, while a proposed international Hormuz mission and bypass-pipeline restoration increased normalization risk. EEI-2026-003 received a factual affordability and market-breadth update only; no House or Senate control conclusion was made and its existing fields remain unchanged. Public Motley Fool ideas on VKTX, MU, SNDK and NVDA were investigated and rejected as distinct theses after primary and market checks. BMY, LULU and AVAV had no meaningful new primary evidence. The Trideum $400 million IDIQ lacked a public-company mapping and complete USAspending detail; the proposed $30 billion aviation request was not an enacted award. No new thesis was created and no real trade was made.</x:v>
      </x:c>
    </x:row>
    <x:row r="30">
      <x:c r="A30" s="27" t="str">
        <x:v>RUN-2026-09-23-1113</x:v>
      </x:c>
      <x:c r="B30" s="54" t="n">
        <x:v>46288.634351851855</x:v>
      </x:c>
      <x:c r="C30" s="27" t="str">
        <x:v>2026 midterm thesis check</x:v>
      </x:c>
      <x:c r="D30" s="29" t="str">
        <x:v>EEI-2026-003 only: congressional-control outlook, policy developments, breadth, volatility, rates, inflation, oil, earnings and candidate sectors</x:v>
      </x:c>
      <x:c r="E30" s="29" t="str">
        <x:v>Methodology and current ledger; Reuters; current ETF market data; live U.S. Treasury market data; FactSet earnings context</x:v>
      </x:c>
      <x:c r="F30" s="29" t="n">
        <x:v>0</x:v>
      </x:c>
      <x:c r="G30" s="29" t="n">
        <x:v>2</x:v>
      </x:c>
      <x:c r="H30" s="29" t="n">
        <x:v>0</x:v>
      </x:c>
      <x:c r="I30" s="29" t="str">
        <x:v>Yes</x:v>
      </x:c>
      <x:c r="J30" s="29" t="str">
        <x:v>No independently confirmed House or Senate control trigger emerged. The morning's small-cap, health-care and biotech strength reversed by the dedicated check: IWM and XBI fell sharply, while CPER and XLB also weakened. RSP fell slightly less than SPY and XLI held positive, providing only narrow relative confirmation. Brent remained below $100, but the 10-year Treasury yield returned above 5%, strengthening the rates contradiction. EEI-2026-003 remains Developing at confidence 3/5 and trading edge 1/5. Entry Window WAIT remains inactive until Actionable. No automatic trade.</x:v>
      </x:c>
    </x:row>
    <x:row r="31">
      <x:c r="A31" s="27" t="str">
        <x:v>RUN-2026-09-24-0826</x:v>
      </x:c>
      <x:c r="B31" s="28" t="n">
        <x:v>46289.51803240741</x:v>
      </x:c>
      <x:c r="C31" s="27" t="str">
        <x:v>Easy E Invest daily scan</x:v>
      </x:c>
      <x:c r="D31" s="29" t="str">
        <x:v>Separate reviews: energy market; 2026 midterm thesis; Motley Fool watch; plus cross-sector government awards, defense, healthcare, consumer, technology, sanctions, geopolitics, supply chains and market confirmation</x:v>
      </x:c>
      <x:c r="E31" s="29" t="str">
        <x:v>Methodology and current ledger; Reuters; U.S. Army; public USAspending and contract searches; Intuitive Surgical primary results; Nvidia public company statement; public Motley Fool editorial pages; current commodity and inventory data</x:v>
      </x:c>
      <x:c r="F31" s="29" t="n">
        <x:v>8</x:v>
      </x:c>
      <x:c r="G31" s="29" t="n">
        <x:v>2</x:v>
      </x:c>
      <x:c r="H31" s="29" t="n">
        <x:v>0</x:v>
      </x:c>
      <x:c r="I31" s="29" t="str">
        <x:v>Yes</x:v>
      </x:c>
      <x:c r="J31" s="29" t="str">
        <x:v>EEI-2026-009 remains Actionable at confidence 5/5, trading edge 1/5 and Entry Window WAIT. Serbia's emergency diesel-reserve release, impaired Danube imports, near-record European diesel and falling U.S. distillate stocks strengthened physical confirmation; the U.S. export-ban denial and normalization paths limited incremental edge. EEI-2026-003 remains Developing at 3/5, edge 1/5 and WAIT inactive until Actionable: Reuters/Ipsos showed a meaningful 43%-35% Democratic generic-ballot lead and record-low presidential approval, but national polling does not resolve House districts, Senate races or market breadth. Public Motley Fool ideas on AMZN/Anthropic, NVDA/SpaceX and ISRG were investigated and rejected as distinct theses after primary, materiality, valuation and entry checks. BMY, LULU and AVAV had no meaningful new primary evidence. A Palantir Army order was stale and immaterial; no new USAspending public-company award passed complete confirmation and materiality checks. No thesis matured for formal outcome evaluation and no real trade was made.</x:v>
      </x:c>
    </x:row>
    <x:row r="32">
      <x:c r="A32" s="27" t="str">
        <x:v>RUN-2026-09-24-1137</x:v>
      </x:c>
      <x:c r="B32" s="28" t="n">
        <x:v>46289.65069444444</x:v>
      </x:c>
      <x:c r="C32" s="27" t="str">
        <x:v>2026 midterm thesis check EEI-2026-003 only: congressional-control outlook, policy developments, breadth, volatility, rates, inflation, oil, earnings and candidate sectors</x:v>
      </x:c>
      <x:c r="D32" s="29" t="str">
        <x:v>Methodology and current ledger; Reuters/Ipsos; Reuters; current ETF market data; FactSet earnings context</x:v>
      </x:c>
      <x:c r="E32" s="29" t="n">
        <x:v>0</x:v>
      </x:c>
      <x:c r="F32" s="29" t="n">
        <x:v>2</x:v>
      </x:c>
      <x:c r="G32" s="29" t="n">
        <x:v>0</x:v>
      </x:c>
      <x:c r="H32" s="29" t="str">
        <x:v>Yes</x:v>
      </x:c>
      <x:c r="I32" s="29" t="str">
        <x:v>The Reuters/Ipsos poll strengthens the probability of a political shift but does not establish House or Senate control. Live market confirmation weakened: RSP lagged SPY and small caps, industrials, materials, biotech, copper and financials were negative, while only defensive XLV advanced. The 10-year yield remained above 5% and Brent near $105.50, preserving the inflation-to-rates contradiction. EEI-2026-003 remains Developing, financial-thesis confidence 3/5, trading edge 1/5; Entry Window WAIT inactive. No automatic trade.</x:v>
      </x:c>
      <x:c r="J32" s="29" t="str">
        <x:v>Dedicated check completed; frozen initial prediction preserved.</x:v>
      </x:c>
    </x:row>
    <x:row r="33">
      <x:c r="A33" s="27" t="str">
        <x:v>RUN-2026-09-25-0808</x:v>
      </x:c>
      <x:c r="B33" s="28" t="n">
        <x:v>46290.50555555556</x:v>
      </x:c>
      <x:c r="C33" s="27" t="str">
        <x:v>Easy E Invest daily scan</x:v>
      </x:c>
      <x:c r="D33" s="29" t="str">
        <x:v>Separate reviews: energy market; 2026 midterm thesis; Motley Fool watch; plus cross-sector government awards, policy, sanctions, supply chains, healthcare, consumer, housing, technology and market confirmation</x:v>
      </x:c>
      <x:c r="E33" s="29" t="str">
        <x:v>Methodology and current ledger; Reuters; U.S. government and defense-award searches; public USAspending context; company and SEC materials; FDA advisory-committee reporting; public Motley Fool editorial pages; prior-close market data</x:v>
      </x:c>
      <x:c r="F33" s="29" t="n">
        <x:v>5</x:v>
      </x:c>
      <x:c r="G33" s="29" t="n">
        <x:v>0</x:v>
      </x:c>
      <x:c r="H33" s="29" t="n">
        <x:v>0</x:v>
      </x:c>
      <x:c r="I33" s="29" t="str">
        <x:v>No</x:v>
      </x:c>
      <x:c r="J33" s="29" t="str">
        <x:v>No qualifying change. Energy and tanker evidence remained within the existing scarcity-versus-normalization balance, so EEI-2026-009 and EEI-2026-011 stayed WAIT with no field changes. No new House or Senate control evidence or market-breadth confirmation changed EEI-2026-003. Public Motley Fool items on Target, Lennar, GRAIL, Robinhood and Micron were screened; the first four were investigated as potential candidates and rejected as distinct theses because the catalyst was already public, operating confirmation was incomplete, or the price move left no favorable entry. Micron repeated a previously reviewed catalyst. BMY, LULU and AVAV had no new primary evidence. No public-company USAspending or defense award passed the new-award, confirmation and materiality tests. No thesis matured for formal outcome evaluation and no real trade was made.</x:v>
      </x:c>
    </x:row>
    <x:row r="34">
      <x:c r="A34" s="27" t="str">
        <x:v>RUN-2026-09-25-1153</x:v>
      </x:c>
      <x:c r="B34" s="28" t="n">
        <x:v>46290.66180555556</x:v>
      </x:c>
      <x:c r="C34" s="27" t="str">
        <x:v>2026 midterm thesis check</x:v>
      </x:c>
      <x:c r="D34" s="29" t="str">
        <x:v>EEI-2026-003 only: congressional-control outlook, policy developments, breadth, volatility, rates, inflation, oil, earnings and candidate sectors</x:v>
      </x:c>
      <x:c r="E34" s="29" t="str">
        <x:v>Methodology and current ledger; Reuters; Reuters/Ipsos; current ETF market data; FactSet earnings context</x:v>
      </x:c>
      <x:c r="F34" s="29" t="n">
        <x:v>0</x:v>
      </x:c>
      <x:c r="G34" s="29" t="n">
        <x:v>2</x:v>
      </x:c>
      <x:c r="H34" s="29" t="n">
        <x:v>0</x:v>
      </x:c>
      <x:c r="I34" s="29" t="str">
        <x:v>Yes</x:v>
      </x:c>
      <x:c r="J34" s="29" t="str">
        <x:v>Competitive-state polls and campaign behavior in Iowa, Kansas and Nebraska independently strengthen the political-shift trigger beyond the national generic ballot, but no chamber-control outcome is established. XLI showed the clearest relative strength; RSP still lagged SPY and IWM, XBI, XLB and CPER were negative. The 10-year yield above 5% and high oil-linked inflation risk remain adverse modifiers. EEI-2026-003 remains Developing at financial-thesis confidence 3/5 and trading edge 1/5. Entry Window WAIT remains inactive until Actionable. No automatic trade.</x:v>
      </x:c>
    </x:row>
    <x:row r="35">
      <x:c r="A35" s="27" t="str">
        <x:v>RUN-2026-09-26-0811</x:v>
      </x:c>
      <x:c r="B35" s="28" t="n">
        <x:v>46291.50768518519</x:v>
      </x:c>
      <x:c r="C35" s="27" t="str">
        <x:v>Easy E Invest daily scan</x:v>
      </x:c>
      <x:c r="D35" s="29" t="str">
        <x:v>Cross-sector: energy, 2026 midterms, Motley Fool follow-through, macro, rates, commodities, defense, healthcare, technology, regulation, sanctions, supply chains and government awards</x:v>
      </x:c>
      <x:c r="E35" s="29" t="str">
        <x:v>Cook Political Report; Reuters; public market data; USAspending and federal award reporting; Congress and regulatory sources; SEC and issuer materials; public Motley Fool editorial feed</x:v>
      </x:c>
      <x:c r="F35" s="29" t="n">
        <x:v>6</x:v>
      </x:c>
      <x:c r="G35" s="29" t="n">
        <x:v>1</x:v>
      </x:c>
      <x:c r="H35" s="29" t="n">
        <x:v>0</x:v>
      </x:c>
      <x:c r="I35" s="29" t="str">
        <x:v>Yes</x:v>
      </x:c>
      <x:c r="J35" s="29" t="str">
        <x:v>EEI-2026-003 promoted from Developing to Strong and confidence from 3/5 to 4/5 after Cook shifted 15 House races toward Democrats and explicitly called Republicans on track to lose the House. Trading edge remains 1/5 and Entry Window WAIT because Senate control is a toss-up and breadth is incomplete. Energy had no material change. Five public Motley Fool idea clusters were investigated and rejected as distinct theses for weak novelty, already-priced risk or lack of material catalyst. No new material USAspending award passed new-award, independent-confirmation and company-materiality tests. No horizon matured for formal outcome scoring.</x:v>
      </x:c>
    </x:row>
    <x:row r="36">
      <x:c r="A36" s="27" t="str">
        <x:v>RUN-2026-09-26-1145</x:v>
      </x:c>
      <x:c r="B36" s="54" t="n">
        <x:v>46291.65670138889</x:v>
      </x:c>
      <x:c r="C36" s="27" t="str">
        <x:v>2026 midterm thesis check</x:v>
      </x:c>
      <x:c r="D36" s="29" t="str">
        <x:v>EEI-2026-003 only: congressional-control outlook, policy developments, breadth, volatility, rates, inflation, oil, earnings and candidate sectors</x:v>
      </x:c>
      <x:c r="E36" s="29" t="str">
        <x:v>Methodology and current ledger; Cook Political Report; Reuters; Friday closing market evidence already recorded in the ledger</x:v>
      </x:c>
      <x:c r="F36" s="29" t="n">
        <x:v>0</x:v>
      </x:c>
      <x:c r="G36" s="29" t="n">
        <x:v>0</x:v>
      </x:c>
      <x:c r="H36" s="29" t="n">
        <x:v>0</x:v>
      </x:c>
      <x:c r="I36" s="29" t="str">
        <x:v>No</x:v>
      </x:c>
      <x:c r="J36" s="29" t="str">
        <x:v>No meaningful change since the September 26 morning scan. Cook's 15 House rating shifts and House-majority assessment remain the strongest independent political confirmation, while Cook still describes Senate control as a toss-up. U.S. cash markets are closed; Friday's final evidence remains mixed, with XLI leading but RSP and IWM lagging SPY and XBI declining. EEI-2026-003 remains Strong at financial-thesis confidence 4/5 and trading edge 1/5. Entry Window remains WAIT and inactive because the thesis is not Actionable. Oil and rates remain separate macro modifiers. No automatic trade.</x:v>
      </x:c>
    </x:row>
    <x:row r="37">
      <x:c r="A37" s="27" t="str">
        <x:v>RUN-2026-09-27-0816</x:v>
      </x:c>
      <x:c r="B37" s="28" t="n">
        <x:v>46292.51123842593</x:v>
      </x:c>
      <x:c r="C37" s="27" t="str">
        <x:v>Easy E Invest daily scan</x:v>
      </x:c>
      <x:c r="D37" s="29" t="str">
        <x:v>Separate reviews: energy market; 2026 midterm thesis; Motley Fool watch; plus cross-sector government awards, policy, sanctions, supply chains, healthcare, technology, private credit and market confirmation</x:v>
      </x:c>
      <x:c r="E37" s="29" t="str">
        <x:v>Methodology and current ledger; Reuters; Cook Political Report context; USAspending and federal contract searches; SEC and issuer materials; public Motley Fool editorials; Friday closing market evidence</x:v>
      </x:c>
      <x:c r="F37" s="29" t="n">
        <x:v>4</x:v>
      </x:c>
      <x:c r="G37" s="29" t="n">
        <x:v>1</x:v>
      </x:c>
      <x:c r="H37" s="29" t="n">
        <x:v>0</x:v>
      </x:c>
      <x:c r="I37" s="29" t="str">
        <x:v>No</x:v>
      </x:c>
      <x:c r="J37" s="29" t="str">
        <x:v>No qualifying notification change. Energy scarcity and tanker theses remained within the existing physical-tightness versus normalization balance; no stage, confidence, edge or Entry Window changed. The midterm thesis had no new chamber-control or market evidence because U.S. cash markets were closed. Detailed ZENBEXUS Phase 3 results strengthened clinical support for EEI-2026-005, but progression-free survival, safety, commercial scale and patent-cliff offset remain unresolved; BMY stays Developing 3/5, edge 3/5, WAIT. New public Motley Fool ideas on AVGO, GEV and OWL were independently checked and rejected as distinct theses because catalysts were already public or risk/valuation prevented a clean unpriced edge. LULU and AVAV had no new primary evidence. No new public-company USAspending award passed new-award, confirmation and materiality tests. No thesis horizon matured for outcome scoring. No real trade was recommended or executed.</x:v>
      </x:c>
    </x:row>
    <x:row r="38">
      <x:c r="A38" s="27" t="str">
        <x:v>RUN-2026-09-27-1114</x:v>
      </x:c>
      <x:c r="B38" s="54" t="n">
        <x:v>46292.63491898148</x:v>
      </x:c>
      <x:c r="C38" s="27" t="str">
        <x:v>2026 midterm thesis check</x:v>
      </x:c>
      <x:c r="D38" s="29" t="str">
        <x:v>EEI-2026-003 only: congressional-control outlook, policy developments, breadth, volatility, rates, inflation, oil, earnings and candidate sectors</x:v>
      </x:c>
      <x:c r="E38" s="29" t="str">
        <x:v>Methodology and current ledger; Reuters; Cook Political Report; Friday closing market evidence already recorded in the ledger</x:v>
      </x:c>
      <x:c r="F38" s="29" t="n">
        <x:v>0</x:v>
      </x:c>
      <x:c r="G38" s="29" t="n">
        <x:v>0</x:v>
      </x:c>
      <x:c r="H38" s="29" t="n">
        <x:v>0</x:v>
      </x:c>
      <x:c r="I38" s="29" t="str">
        <x:v>No</x:v>
      </x:c>
      <x:c r="J38" s="29" t="str">
        <x:v>No meaningful change since the September 27 morning scan. No new independent House or Senate control evidence, enacted policy catalyst or market confirmation emerged. Cook's House assessment and Senate toss-up remain the standing political evidence. U.S. cash markets are closed, so Friday's mixed tape remains the latest test: XLI led, but RSP and IWM lagged SPY and XBI declined. EEI-2026-003 remains Strong at financial-thesis confidence 4/5 and trading edge 1/5. Entry Window remains WAIT and inactive because the thesis is not Actionable. Oil, inflation and rates remain separate macro modifiers. No automatic trade.</x:v>
      </x:c>
    </x:row>
    <x:row r="39">
      <x:c r="A39" s="27" t="str">
        <x:v>RUN-2026-09-28-0757</x:v>
      </x:c>
      <x:c r="B39" s="28" t="n">
        <x:v>46293.498344907406</x:v>
      </x:c>
      <x:c r="C39" s="27" t="str">
        <x:v>Easy E Invest daily scan</x:v>
      </x:c>
      <x:c r="D39" s="29" t="str">
        <x:v>Separate reviews: energy market; 2026 midterm thesis; Motley Fool watch; plus government awards, policy, sanctions, supply chains, macro, rates, metals, healthcare, technology and market confirmation</x:v>
      </x:c>
      <x:c r="E39" s="29" t="str">
        <x:v>Methodology and current ledger; Reuters; USAspending and federal award searches; SEC and issuer materials; public Motley Fool editorials; premarket commodity, rates and global-market data</x:v>
      </x:c>
      <x:c r="F39" s="29" t="n">
        <x:v>7</x:v>
      </x:c>
      <x:c r="G39" s="29" t="n">
        <x:v>2</x:v>
      </x:c>
      <x:c r="H39" s="29" t="n">
        <x:v>0</x:v>
      </x:c>
      <x:c r="I39" s="29" t="str">
        <x:v>No</x:v>
      </x:c>
      <x:c r="J39" s="29" t="str">
        <x:v>No qualifying notification change. EEI-2026-009 remains Actionable at 5/5 confidence, 1/5 trading edge and Entry Window WAIT: oil rebounded about 3.8% after the U.S. rejected Iran's proposal, but Middle East crude exports reached 12.8 million barrels per day and talks continue. EEI-2026-011 remains Strong / WAIT because export recovery raises normalization risk and no new verified VLCC-rate or listed-equity confirmation improved entry quality. EEI-2026-003 had no new independent control or breadth evidence before the U.S. cash-market open. Public Motley Fool ideas on LLY, WMB, AXP, ORCL/CRM, NVDA/SPCX and NFLX were investigated and rejected as distinct theses because their catalysts were already public, promotional or valuation/entry risk left no unpriced edge; a diesel-policy article repeated existing evidence. BMY, LULU and AVAV had no new primary evidence that changed their states. No new USAspending award passed the new-award, confirmation and materiality tests. No horizon matured for outcome scoring, and no real trade was recommended or executed.</x:v>
      </x:c>
    </x:row>
    <x:row r="40">
      <x:c r="A40" s="27" t="str">
        <x:v>RUN-2026-09-28-1105</x:v>
      </x:c>
      <x:c r="B40" s="54" t="n">
        <x:v>46293.62850694445</x:v>
      </x:c>
      <x:c r="C40" s="27" t="str">
        <x:v>2026 midterm thesis check</x:v>
      </x:c>
      <x:c r="D40" s="29" t="str">
        <x:v>EEI-2026-003 only: congressional-control outlook, policy developments, breadth, volatility, rates, inflation, oil, earnings and candidate sectors</x:v>
      </x:c>
      <x:c r="E40" s="29" t="str">
        <x:v>Methodology and current ledger; Cook Political Report; Reuters; Reuters/Ipsos; current fund market data; FactSet earnings context</x:v>
      </x:c>
      <x:c r="F40" s="29" t="n">
        <x:v>0</x:v>
      </x:c>
      <x:c r="G40" s="29" t="n">
        <x:v>3</x:v>
      </x:c>
      <x:c r="H40" s="29" t="n">
        <x:v>0</x:v>
      </x:c>
      <x:c r="I40" s="29" t="str">
        <x:v>Yes</x:v>
      </x:c>
      <x:c r="J40" s="29" t="str">
        <x:v>No stage change. Republican spending in at least 39 additional House races independently supports the House-shift signal, and Democratic oversight plans clarify a conditional policy consequence. Market confirmation weakened: Brent rose near $108.50, the 10-year yield near 5.22%, and the tracked broad and cyclical candidates were lower; RSP held up slightly better than SPY, while only XLV and XBI were positive and VIXY rose. EEI-2026-003 remains Strong at financial-thesis confidence 4/5 and trading edge 1/5. Entry Window remains WAIT and inactive because the thesis is not Actionable. RSP versus SPY remains the central test; XLV/XBI are independent sector watches, not confirmed midterm expressions. Oil and Hormuz remain separate modifiers. No automatic trade.</x:v>
      </x:c>
    </x:row>
    <x:row r="41">
      <x:c r="A41" s="27" t="str">
        <x:v>RUN-2026-09-29-0805</x:v>
      </x:c>
      <x:c r="B41" s="28" t="n">
        <x:v>46294.50347222222</x:v>
      </x:c>
      <x:c r="C41" s="27" t="str">
        <x:v>Easy E Invest daily scan</x:v>
      </x:c>
      <x:c r="D41" s="29" t="str">
        <x:v>Separate reviews: energy market; 2026 midterm thesis; Motley Fool watch; plus government awards, defense, macro, rates, technology, healthcare, sanctions, supply chains and corporate events</x:v>
      </x:c>
      <x:c r="E41" s="29" t="str">
        <x:v>Methodology and current ledger; Department of War and RTX primary records; USAspending public search; Reuters; Associated Press; Cook Political Report; SEC and issuer materials; public Motley Fool editorials; current market data</x:v>
      </x:c>
      <x:c r="F41" s="29" t="n">
        <x:v>7</x:v>
      </x:c>
      <x:c r="G41" s="29" t="n">
        <x:v>5</x:v>
      </x:c>
      <x:c r="H41" s="29" t="n">
        <x:v>0</x:v>
      </x:c>
      <x:c r="I41" s="29" t="str">
        <x:v>Yes</x:v>
      </x:c>
      <x:c r="J41" s="29" t="str">
        <x:v>Created EEI-2026-012 for RTX AMRAAM production as Strong 4/5 with trading edge 1/5 and Entry Window WAIT. The $20.699 billion ceiling is material, but only about $154.35 million was obligated at award, full funding depends on Congress and the ramp was partly anticipated. Energy, tanker and midterm evidence was updated without changing status fields. A public Alphabet Motley Fool idea and an AstraZeneca/Summit corporate trigger were investigated and rejected as distinct entries. No real trade was recommended or executed.</x:v>
      </x:c>
    </x:row>
    <x:row r="42">
      <x:c r="A42" s="27" t="str">
        <x:v>RUN-2026-09-29-1109</x:v>
      </x:c>
      <x:c r="B42" s="54" t="n">
        <x:v>46294.63125</x:v>
      </x:c>
      <x:c r="C42" s="27" t="str">
        <x:v>2026 midterm thesis check</x:v>
      </x:c>
      <x:c r="D42" s="29" t="str">
        <x:v>EEI-2026-003 only: congressional-control outlook, policy developments, breadth, volatility, rates, inflation, oil, earnings and candidate sectors</x:v>
      </x:c>
      <x:c r="E42" s="29" t="str">
        <x:v>Methodology and current ledger; Cook Political Report; Associated Press; Reuters; current fund market data; current earnings context</x:v>
      </x:c>
      <x:c r="F42" s="29" t="n">
        <x:v>0</x:v>
      </x:c>
      <x:c r="G42" s="29" t="n">
        <x:v>1</x:v>
      </x:c>
      <x:c r="H42" s="29" t="n">
        <x:v>0</x:v>
      </x:c>
      <x:c r="I42" s="29" t="str">
        <x:v>Yes</x:v>
      </x:c>
      <x:c r="J42" s="29" t="str">
        <x:v>No stage change. The morning political evidence remains supportive, but live market confirmation weakened versus the premarket read: RSP and IWM lagged nearly flat SPY, XLV and XBI reversed their gains, and decliners led on both major exchanges. XLI and CPER were the only positive tracked candidates and do not establish broad participation. EEI-2026-003 remains Strong at financial-thesis confidence 4/5 and trading edge 1/5. Entry Window remains WAIT and inactive because the thesis is not Actionable. RSP versus SPY remains the central test; XLI is the closest conditional sector watch, and copper must be assessed separately from XLB. Oil and Hormuz remain separate modifiers. No automatic trade.</x:v>
      </x:c>
    </x:row>
    <x:row r="43">
      <x:c r="A43" s="27" t="str">
        <x:v>RUN-2026-09-30-0823</x:v>
      </x:c>
      <x:c r="B43" s="28" t="n">
        <x:v>46295.51619212963</x:v>
      </x:c>
      <x:c r="C43" s="27" t="str">
        <x:v>Easy E Invest daily scan</x:v>
      </x:c>
      <x:c r="D43" s="29" t="str">
        <x:v>Separate reviews: energy market; 2026 midterm thesis; Motley Fool watch; plus government awards, defense, macro, rates, supply chains, healthcare, consumer and technology</x:v>
      </x:c>
      <x:c r="E43" s="29" t="str">
        <x:v>Methodology and current ledger; Reuters; Associated Press; U.S. Department of Defense statements; Boeing and SEC materials; public USAspending searches; public Motley Fool editorials; current market data</x:v>
      </x:c>
      <x:c r="F43" s="29" t="n">
        <x:v>7</x:v>
      </x:c>
      <x:c r="G43" s="29" t="n">
        <x:v>4</x:v>
      </x:c>
      <x:c r="H43" s="29" t="n">
        <x:v>0</x:v>
      </x:c>
      <x:c r="I43" s="29" t="str">
        <x:v>Yes</x:v>
      </x:c>
      <x:c r="J43" s="29" t="str">
        <x:v>Qualifying change. Russia extended its producer diesel-export ban through October, materially strengthening EEI-2026-009's physical supply confirmation without improving its 1/5 trading edge; the Entry Window remains WAIT. EEI-2026-002 received mixed LNG evidence: extended force majeure supports scarcity while resumed visible Hormuz transits support normalization. EEI-2026-003 received a credible Senate-map contradiction from Republican advertising dominance in New Hampshire and continued weak breadth/high yields; it remains Strong 4/5, edge 1/5 and WAIT. Created EEI-2026-013 for Boeing's F/A-XX selection as Strong 4/5, edge 1/5 and WAIT because the $20 billion development value is material but current obligations, contract identifier and detailed terms are not public and the stock repriced immediately. Public Motley Fool ideas on MU/SNDK, META, TROW, ASML/MRVL, NVDA and RKLB were investigated and rejected as distinct theses: MU/SNDK, META and NVDA repeated already-reviewed catalysts; TROW and ASML/MRVL lacked a new catalyst; RKLB's Kepler deal dated to August 10 and was already included in company backlog. BMY, LULU and AVAV had no new primary evidence that changed their states. No thesis horizon matured for formal outcome scoring. No real trade was recommended or executed.</x:v>
      </x:c>
    </x:row>
    <x:row r="44">
      <x:c r="A44" s="27"/>
      <x:c r="B44" s="28"/>
      <x:c r="C44" s="27"/>
      <x:c r="D44" s="29"/>
      <x:c r="E44" s="29"/>
      <x:c r="F44" s="29"/>
      <x:c r="G44" s="29"/>
      <x:c r="H44" s="29"/>
      <x:c r="I44" s="29"/>
      <x:c r="J44" s="29"/>
    </x:row>
    <x:row r="45">
      <x:c r="A45" s="27"/>
      <x:c r="B45" s="28"/>
      <x:c r="C45" s="27"/>
      <x:c r="D45" s="29"/>
      <x:c r="E45" s="29"/>
      <x:c r="F45" s="29"/>
      <x:c r="G45" s="29"/>
      <x:c r="H45" s="29"/>
      <x:c r="I45" s="29"/>
      <x:c r="J45" s="29"/>
    </x:row>
    <x:row r="46">
      <x:c r="A46" s="27"/>
      <x:c r="B46" s="28"/>
      <x:c r="C46" s="27"/>
      <x:c r="D46" s="29"/>
      <x:c r="E46" s="29"/>
      <x:c r="F46" s="29"/>
      <x:c r="G46" s="29"/>
      <x:c r="H46" s="29"/>
      <x:c r="I46" s="29"/>
      <x:c r="J46" s="29"/>
    </x:row>
    <x:row r="47">
      <x:c r="A47" s="27"/>
      <x:c r="B47" s="28"/>
      <x:c r="C47" s="27"/>
      <x:c r="D47" s="29"/>
      <x:c r="E47" s="29"/>
      <x:c r="F47" s="29"/>
      <x:c r="G47" s="29"/>
      <x:c r="H47" s="29"/>
      <x:c r="I47" s="29"/>
      <x:c r="J47" s="29"/>
    </x:row>
    <x:row r="48">
      <x:c r="A48" s="27"/>
      <x:c r="B48" s="28"/>
      <x:c r="C48" s="27"/>
      <x:c r="D48" s="29"/>
      <x:c r="E48" s="29"/>
      <x:c r="F48" s="29"/>
      <x:c r="G48" s="29"/>
      <x:c r="H48" s="29"/>
      <x:c r="I48" s="29"/>
      <x:c r="J48" s="29"/>
    </x:row>
    <x:row r="49">
      <x:c r="A49" s="27"/>
      <x:c r="B49" s="28"/>
      <x:c r="C49" s="27"/>
      <x:c r="D49" s="29"/>
      <x:c r="E49" s="29"/>
      <x:c r="F49" s="29"/>
      <x:c r="G49" s="29"/>
      <x:c r="H49" s="29"/>
      <x:c r="I49" s="29"/>
      <x:c r="J49" s="29"/>
    </x:row>
    <x:row r="50">
      <x:c r="A50" s="27"/>
      <x:c r="B50" s="28"/>
      <x:c r="C50" s="27"/>
      <x:c r="D50" s="29"/>
      <x:c r="E50" s="29"/>
      <x:c r="F50" s="29"/>
      <x:c r="G50" s="29"/>
      <x:c r="H50" s="29"/>
      <x:c r="I50" s="29"/>
      <x:c r="J50" s="29"/>
    </x:row>
    <x:row r="51">
      <x:c r="A51" s="27"/>
      <x:c r="B51" s="28"/>
      <x:c r="C51" s="27"/>
      <x:c r="D51" s="29"/>
      <x:c r="E51" s="29"/>
      <x:c r="F51" s="29"/>
      <x:c r="G51" s="29"/>
      <x:c r="H51" s="29"/>
      <x:c r="I51" s="29"/>
      <x:c r="J51" s="29"/>
    </x:row>
    <x:row r="52">
      <x:c r="A52" s="27"/>
      <x:c r="B52" s="28"/>
      <x:c r="C52" s="27"/>
      <x:c r="D52" s="29"/>
      <x:c r="E52" s="29"/>
      <x:c r="F52" s="29"/>
      <x:c r="G52" s="29"/>
      <x:c r="H52" s="29"/>
      <x:c r="I52" s="29"/>
      <x:c r="J52" s="29"/>
    </x:row>
    <x:row r="53">
      <x:c r="A53" s="27"/>
      <x:c r="B53" s="28"/>
      <x:c r="C53" s="27"/>
      <x:c r="D53" s="29"/>
      <x:c r="E53" s="29"/>
      <x:c r="F53" s="29"/>
      <x:c r="G53" s="29"/>
      <x:c r="H53" s="29"/>
      <x:c r="I53" s="29"/>
      <x:c r="J53" s="29"/>
    </x:row>
    <x:row r="54">
      <x:c r="A54" s="27"/>
      <x:c r="B54" s="28"/>
      <x:c r="C54" s="27"/>
      <x:c r="D54" s="29"/>
      <x:c r="E54" s="29"/>
      <x:c r="F54" s="29"/>
      <x:c r="G54" s="29"/>
      <x:c r="H54" s="29"/>
      <x:c r="I54" s="29"/>
      <x:c r="J54" s="29"/>
    </x:row>
    <x:row r="55">
      <x:c r="A55" s="27"/>
      <x:c r="B55" s="28"/>
      <x:c r="C55" s="27"/>
      <x:c r="D55" s="29"/>
      <x:c r="E55" s="29"/>
      <x:c r="F55" s="29"/>
      <x:c r="G55" s="29"/>
      <x:c r="H55" s="29"/>
      <x:c r="I55" s="29"/>
      <x:c r="J55" s="29"/>
    </x:row>
    <x:row r="56">
      <x:c r="A56" s="27"/>
      <x:c r="B56" s="28"/>
      <x:c r="C56" s="27"/>
      <x:c r="D56" s="29"/>
      <x:c r="E56" s="29"/>
      <x:c r="F56" s="29"/>
      <x:c r="G56" s="29"/>
      <x:c r="H56" s="29"/>
      <x:c r="I56" s="29"/>
      <x:c r="J56" s="29"/>
    </x:row>
    <x:row r="57">
      <x:c r="A57" s="27"/>
      <x:c r="B57" s="28"/>
      <x:c r="C57" s="27"/>
      <x:c r="D57" s="29"/>
      <x:c r="E57" s="29"/>
      <x:c r="F57" s="29"/>
      <x:c r="G57" s="29"/>
      <x:c r="H57" s="29"/>
      <x:c r="I57" s="29"/>
      <x:c r="J57" s="29"/>
    </x:row>
    <x:row r="58">
      <x:c r="A58" s="27"/>
      <x:c r="B58" s="28"/>
      <x:c r="C58" s="27"/>
      <x:c r="D58" s="29"/>
      <x:c r="E58" s="29"/>
      <x:c r="F58" s="29"/>
      <x:c r="G58" s="29"/>
      <x:c r="H58" s="29"/>
      <x:c r="I58" s="29"/>
      <x:c r="J58" s="29"/>
    </x:row>
    <x:row r="59">
      <x:c r="A59" s="27"/>
      <x:c r="B59" s="28"/>
      <x:c r="C59" s="27"/>
      <x:c r="D59" s="29"/>
      <x:c r="E59" s="29"/>
      <x:c r="F59" s="29"/>
      <x:c r="G59" s="29"/>
      <x:c r="H59" s="29"/>
      <x:c r="I59" s="29"/>
      <x:c r="J59" s="29"/>
    </x:row>
    <x:row r="60">
      <x:c r="A60" s="27"/>
      <x:c r="B60" s="28"/>
      <x:c r="C60" s="27"/>
      <x:c r="D60" s="29"/>
      <x:c r="E60" s="29"/>
      <x:c r="F60" s="29"/>
      <x:c r="G60" s="29"/>
      <x:c r="H60" s="29"/>
      <x:c r="I60" s="29"/>
      <x:c r="J60" s="29"/>
    </x:row>
    <x:row r="61">
      <x:c r="A61" s="27"/>
      <x:c r="B61" s="28"/>
      <x:c r="C61" s="27"/>
      <x:c r="D61" s="29"/>
      <x:c r="E61" s="29"/>
      <x:c r="F61" s="29"/>
      <x:c r="G61" s="29"/>
      <x:c r="H61" s="29"/>
      <x:c r="I61" s="29"/>
      <x:c r="J61" s="29"/>
    </x:row>
    <x:row r="62">
      <x:c r="A62" s="27"/>
      <x:c r="B62" s="28"/>
      <x:c r="C62" s="27"/>
      <x:c r="D62" s="29"/>
      <x:c r="E62" s="29"/>
      <x:c r="F62" s="29"/>
      <x:c r="G62" s="29"/>
      <x:c r="H62" s="29"/>
      <x:c r="I62" s="29"/>
      <x:c r="J62" s="29"/>
    </x:row>
    <x:row r="63">
      <x:c r="A63" s="27"/>
      <x:c r="B63" s="28"/>
      <x:c r="C63" s="27"/>
      <x:c r="D63" s="29"/>
      <x:c r="E63" s="29"/>
      <x:c r="F63" s="29"/>
      <x:c r="G63" s="29"/>
      <x:c r="H63" s="29"/>
      <x:c r="I63" s="29"/>
      <x:c r="J63" s="29"/>
    </x:row>
    <x:row r="64">
      <x:c r="A64" s="27"/>
      <x:c r="B64" s="28"/>
      <x:c r="C64" s="27"/>
      <x:c r="D64" s="29"/>
      <x:c r="E64" s="29"/>
      <x:c r="F64" s="29"/>
      <x:c r="G64" s="29"/>
      <x:c r="H64" s="29"/>
      <x:c r="I64" s="29"/>
      <x:c r="J64" s="29"/>
    </x:row>
    <x:row r="65">
      <x:c r="A65" s="27"/>
      <x:c r="B65" s="28"/>
      <x:c r="C65" s="27"/>
      <x:c r="D65" s="29"/>
      <x:c r="E65" s="29"/>
      <x:c r="F65" s="29"/>
      <x:c r="G65" s="29"/>
      <x:c r="H65" s="29"/>
      <x:c r="I65" s="29"/>
      <x:c r="J65" s="29"/>
    </x:row>
    <x:row r="66">
      <x:c r="A66" s="27"/>
      <x:c r="B66" s="28"/>
      <x:c r="C66" s="27"/>
      <x:c r="D66" s="29"/>
      <x:c r="E66" s="29"/>
      <x:c r="F66" s="29"/>
      <x:c r="G66" s="29"/>
      <x:c r="H66" s="29"/>
      <x:c r="I66" s="29"/>
      <x:c r="J66" s="29"/>
    </x:row>
    <x:row r="67">
      <x:c r="A67" s="27"/>
      <x:c r="B67" s="28"/>
      <x:c r="C67" s="27"/>
      <x:c r="D67" s="29"/>
      <x:c r="E67" s="29"/>
      <x:c r="F67" s="29"/>
      <x:c r="G67" s="29"/>
      <x:c r="H67" s="29"/>
      <x:c r="I67" s="29"/>
      <x:c r="J67" s="29"/>
    </x:row>
    <x:row r="68">
      <x:c r="A68" s="27"/>
      <x:c r="B68" s="28"/>
      <x:c r="C68" s="27"/>
      <x:c r="D68" s="29"/>
      <x:c r="E68" s="29"/>
      <x:c r="F68" s="29"/>
      <x:c r="G68" s="29"/>
      <x:c r="H68" s="29"/>
      <x:c r="I68" s="29"/>
      <x:c r="J68" s="29"/>
    </x:row>
    <x:row r="69">
      <x:c r="A69" s="27"/>
      <x:c r="B69" s="28"/>
      <x:c r="C69" s="27"/>
      <x:c r="D69" s="29"/>
      <x:c r="E69" s="29"/>
      <x:c r="F69" s="29"/>
      <x:c r="G69" s="29"/>
      <x:c r="H69" s="29"/>
      <x:c r="I69" s="29"/>
      <x:c r="J69" s="29"/>
    </x:row>
    <x:row r="70">
      <x:c r="A70" s="27"/>
      <x:c r="B70" s="28"/>
      <x:c r="C70" s="27"/>
      <x:c r="D70" s="29"/>
      <x:c r="E70" s="29"/>
      <x:c r="F70" s="29"/>
      <x:c r="G70" s="29"/>
      <x:c r="H70" s="29"/>
      <x:c r="I70" s="29"/>
      <x:c r="J70" s="29"/>
    </x:row>
    <x:row r="71">
      <x:c r="A71" s="27"/>
      <x:c r="B71" s="28"/>
      <x:c r="C71" s="27"/>
      <x:c r="D71" s="29"/>
      <x:c r="E71" s="29"/>
      <x:c r="F71" s="29"/>
      <x:c r="G71" s="29"/>
      <x:c r="H71" s="29"/>
      <x:c r="I71" s="29"/>
      <x:c r="J71" s="29"/>
    </x:row>
    <x:row r="72">
      <x:c r="A72" s="27"/>
      <x:c r="B72" s="28"/>
      <x:c r="C72" s="27"/>
      <x:c r="D72" s="29"/>
      <x:c r="E72" s="29"/>
      <x:c r="F72" s="29"/>
      <x:c r="G72" s="29"/>
      <x:c r="H72" s="29"/>
      <x:c r="I72" s="29"/>
      <x:c r="J72" s="29"/>
    </x:row>
    <x:row r="73">
      <x:c r="A73" s="27"/>
      <x:c r="B73" s="28"/>
      <x:c r="C73" s="27"/>
      <x:c r="D73" s="29"/>
      <x:c r="E73" s="29"/>
      <x:c r="F73" s="29"/>
      <x:c r="G73" s="29"/>
      <x:c r="H73" s="29"/>
      <x:c r="I73" s="29"/>
      <x:c r="J73" s="29"/>
    </x:row>
    <x:row r="74">
      <x:c r="A74" s="27"/>
      <x:c r="B74" s="28"/>
      <x:c r="C74" s="27"/>
      <x:c r="D74" s="29"/>
      <x:c r="E74" s="29"/>
      <x:c r="F74" s="29"/>
      <x:c r="G74" s="29"/>
      <x:c r="H74" s="29"/>
      <x:c r="I74" s="29"/>
      <x:c r="J74" s="29"/>
    </x:row>
    <x:row r="75">
      <x:c r="A75" s="27"/>
      <x:c r="B75" s="28"/>
      <x:c r="C75" s="27"/>
      <x:c r="D75" s="29"/>
      <x:c r="E75" s="29"/>
      <x:c r="F75" s="29"/>
      <x:c r="G75" s="29"/>
      <x:c r="H75" s="29"/>
      <x:c r="I75" s="29"/>
      <x:c r="J75" s="29"/>
    </x:row>
    <x:row r="76">
      <x:c r="A76" s="27"/>
      <x:c r="B76" s="28"/>
      <x:c r="C76" s="27"/>
      <x:c r="D76" s="29"/>
      <x:c r="E76" s="29"/>
      <x:c r="F76" s="29"/>
      <x:c r="G76" s="29"/>
      <x:c r="H76" s="29"/>
      <x:c r="I76" s="29"/>
      <x:c r="J76" s="29"/>
    </x:row>
    <x:row r="77">
      <x:c r="A77" s="27"/>
      <x:c r="B77" s="28"/>
      <x:c r="C77" s="27"/>
      <x:c r="D77" s="29"/>
      <x:c r="E77" s="29"/>
      <x:c r="F77" s="29"/>
      <x:c r="G77" s="29"/>
      <x:c r="H77" s="29"/>
      <x:c r="I77" s="29"/>
      <x:c r="J77" s="29"/>
    </x:row>
    <x:row r="78">
      <x:c r="A78" s="27"/>
      <x:c r="B78" s="28"/>
      <x:c r="C78" s="27"/>
      <x:c r="D78" s="29"/>
      <x:c r="E78" s="29"/>
      <x:c r="F78" s="29"/>
      <x:c r="G78" s="29"/>
      <x:c r="H78" s="29"/>
      <x:c r="I78" s="29"/>
      <x:c r="J78" s="29"/>
    </x:row>
    <x:row r="79">
      <x:c r="A79" s="27"/>
      <x:c r="B79" s="28"/>
      <x:c r="C79" s="27"/>
      <x:c r="D79" s="29"/>
      <x:c r="E79" s="29"/>
      <x:c r="F79" s="29"/>
      <x:c r="G79" s="29"/>
      <x:c r="H79" s="29"/>
      <x:c r="I79" s="29"/>
      <x:c r="J79" s="29"/>
    </x:row>
    <x:row r="80">
      <x:c r="A80" s="27"/>
      <x:c r="B80" s="28"/>
      <x:c r="C80" s="27"/>
      <x:c r="D80" s="29"/>
      <x:c r="E80" s="29"/>
      <x:c r="F80" s="29"/>
      <x:c r="G80" s="29"/>
      <x:c r="H80" s="29"/>
      <x:c r="I80" s="29"/>
      <x:c r="J80" s="29"/>
    </x:row>
    <x:row r="81">
      <x:c r="A81" s="27"/>
      <x:c r="B81" s="28"/>
      <x:c r="C81" s="27"/>
      <x:c r="D81" s="29"/>
      <x:c r="E81" s="29"/>
      <x:c r="F81" s="29"/>
      <x:c r="G81" s="29"/>
      <x:c r="H81" s="29"/>
      <x:c r="I81" s="29"/>
      <x:c r="J81" s="29"/>
    </x:row>
    <x:row r="82">
      <x:c r="A82" s="27"/>
      <x:c r="B82" s="28"/>
      <x:c r="C82" s="27"/>
      <x:c r="D82" s="29"/>
      <x:c r="E82" s="29"/>
      <x:c r="F82" s="29"/>
      <x:c r="G82" s="29"/>
      <x:c r="H82" s="29"/>
      <x:c r="I82" s="29"/>
      <x:c r="J82" s="29"/>
    </x:row>
    <x:row r="83">
      <x:c r="A83" s="27"/>
      <x:c r="B83" s="28"/>
      <x:c r="C83" s="27"/>
      <x:c r="D83" s="29"/>
      <x:c r="E83" s="29"/>
      <x:c r="F83" s="29"/>
      <x:c r="G83" s="29"/>
      <x:c r="H83" s="29"/>
      <x:c r="I83" s="29"/>
      <x:c r="J83" s="29"/>
    </x:row>
    <x:row r="84">
      <x:c r="A84" s="27"/>
      <x:c r="B84" s="28"/>
      <x:c r="C84" s="27"/>
      <x:c r="D84" s="29"/>
      <x:c r="E84" s="29"/>
      <x:c r="F84" s="29"/>
      <x:c r="G84" s="29"/>
      <x:c r="H84" s="29"/>
      <x:c r="I84" s="29"/>
      <x:c r="J84" s="29"/>
    </x:row>
    <x:row r="85">
      <x:c r="A85" s="27"/>
      <x:c r="B85" s="28"/>
      <x:c r="C85" s="27"/>
      <x:c r="D85" s="29"/>
      <x:c r="E85" s="29"/>
      <x:c r="F85" s="29"/>
      <x:c r="G85" s="29"/>
      <x:c r="H85" s="29"/>
      <x:c r="I85" s="29"/>
      <x:c r="J85" s="29"/>
    </x:row>
    <x:row r="86">
      <x:c r="A86" s="27"/>
      <x:c r="B86" s="28"/>
      <x:c r="C86" s="27"/>
      <x:c r="D86" s="29"/>
      <x:c r="E86" s="29"/>
      <x:c r="F86" s="29"/>
      <x:c r="G86" s="29"/>
      <x:c r="H86" s="29"/>
      <x:c r="I86" s="29"/>
      <x:c r="J86" s="29"/>
    </x:row>
    <x:row r="87">
      <x:c r="A87" s="27"/>
      <x:c r="B87" s="28"/>
      <x:c r="C87" s="27"/>
      <x:c r="D87" s="29"/>
      <x:c r="E87" s="29"/>
      <x:c r="F87" s="29"/>
      <x:c r="G87" s="29"/>
      <x:c r="H87" s="29"/>
      <x:c r="I87" s="29"/>
      <x:c r="J87" s="29"/>
    </x:row>
    <x:row r="88">
      <x:c r="A88" s="27"/>
      <x:c r="B88" s="28"/>
      <x:c r="C88" s="27"/>
      <x:c r="D88" s="29"/>
      <x:c r="E88" s="29"/>
      <x:c r="F88" s="29"/>
      <x:c r="G88" s="29"/>
      <x:c r="H88" s="29"/>
      <x:c r="I88" s="29"/>
      <x:c r="J88" s="29"/>
    </x:row>
    <x:row r="89">
      <x:c r="A89" s="27"/>
      <x:c r="B89" s="28"/>
      <x:c r="C89" s="27"/>
      <x:c r="D89" s="29"/>
      <x:c r="E89" s="29"/>
      <x:c r="F89" s="29"/>
      <x:c r="G89" s="29"/>
      <x:c r="H89" s="29"/>
      <x:c r="I89" s="29"/>
      <x:c r="J89" s="29"/>
    </x:row>
    <x:row r="90">
      <x:c r="A90" s="27"/>
      <x:c r="B90" s="28"/>
      <x:c r="C90" s="27"/>
      <x:c r="D90" s="29"/>
      <x:c r="E90" s="29"/>
      <x:c r="F90" s="29"/>
      <x:c r="G90" s="29"/>
      <x:c r="H90" s="29"/>
      <x:c r="I90" s="29"/>
      <x:c r="J90" s="29"/>
    </x:row>
    <x:row r="91">
      <x:c r="A91" s="27"/>
      <x:c r="B91" s="28"/>
      <x:c r="C91" s="27"/>
      <x:c r="D91" s="29"/>
      <x:c r="E91" s="29"/>
      <x:c r="F91" s="29"/>
      <x:c r="G91" s="29"/>
      <x:c r="H91" s="29"/>
      <x:c r="I91" s="29"/>
      <x:c r="J91" s="29"/>
    </x:row>
    <x:row r="92">
      <x:c r="A92" s="27"/>
      <x:c r="B92" s="28"/>
      <x:c r="C92" s="27"/>
      <x:c r="D92" s="29"/>
      <x:c r="E92" s="29"/>
      <x:c r="F92" s="29"/>
      <x:c r="G92" s="29"/>
      <x:c r="H92" s="29"/>
      <x:c r="I92" s="29"/>
      <x:c r="J92" s="29"/>
    </x:row>
    <x:row r="93">
      <x:c r="A93" s="27"/>
      <x:c r="B93" s="28"/>
      <x:c r="C93" s="27"/>
      <x:c r="D93" s="29"/>
      <x:c r="E93" s="29"/>
      <x:c r="F93" s="29"/>
      <x:c r="G93" s="29"/>
      <x:c r="H93" s="29"/>
      <x:c r="I93" s="29"/>
      <x:c r="J93" s="29"/>
    </x:row>
    <x:row r="94">
      <x:c r="A94" s="27"/>
      <x:c r="B94" s="28"/>
      <x:c r="C94" s="27"/>
      <x:c r="D94" s="29"/>
      <x:c r="E94" s="29"/>
      <x:c r="F94" s="29"/>
      <x:c r="G94" s="29"/>
      <x:c r="H94" s="29"/>
      <x:c r="I94" s="29"/>
      <x:c r="J94" s="29"/>
    </x:row>
    <x:row r="95">
      <x:c r="A95" s="27"/>
      <x:c r="B95" s="28"/>
      <x:c r="C95" s="27"/>
      <x:c r="D95" s="29"/>
      <x:c r="E95" s="29"/>
      <x:c r="F95" s="29"/>
      <x:c r="G95" s="29"/>
      <x:c r="H95" s="29"/>
      <x:c r="I95" s="29"/>
      <x:c r="J95" s="29"/>
    </x:row>
    <x:row r="96">
      <x:c r="A96" s="27"/>
      <x:c r="B96" s="28"/>
      <x:c r="C96" s="27"/>
      <x:c r="D96" s="29"/>
      <x:c r="E96" s="29"/>
      <x:c r="F96" s="29"/>
      <x:c r="G96" s="29"/>
      <x:c r="H96" s="29"/>
      <x:c r="I96" s="29"/>
      <x:c r="J96" s="29"/>
    </x:row>
    <x:row r="97">
      <x:c r="A97" s="27"/>
      <x:c r="B97" s="28"/>
      <x:c r="C97" s="27"/>
      <x:c r="D97" s="29"/>
      <x:c r="E97" s="29"/>
      <x:c r="F97" s="29"/>
      <x:c r="G97" s="29"/>
      <x:c r="H97" s="29"/>
      <x:c r="I97" s="29"/>
      <x:c r="J97" s="29"/>
    </x:row>
    <x:row r="98">
      <x:c r="A98" s="27"/>
      <x:c r="B98" s="28"/>
      <x:c r="C98" s="27"/>
      <x:c r="D98" s="29"/>
      <x:c r="E98" s="29"/>
      <x:c r="F98" s="29"/>
      <x:c r="G98" s="29"/>
      <x:c r="H98" s="29"/>
      <x:c r="I98" s="29"/>
      <x:c r="J98" s="29"/>
    </x:row>
    <x:row r="99">
      <x:c r="A99" s="27"/>
      <x:c r="B99" s="28"/>
      <x:c r="C99" s="27"/>
      <x:c r="D99" s="29"/>
      <x:c r="E99" s="29"/>
      <x:c r="F99" s="29"/>
      <x:c r="G99" s="29"/>
      <x:c r="H99" s="29"/>
      <x:c r="I99" s="29"/>
      <x:c r="J99" s="29"/>
    </x:row>
    <x:row r="100">
      <x:c r="A100" s="27"/>
      <x:c r="B100" s="28"/>
      <x:c r="C100" s="27"/>
      <x:c r="D100" s="29"/>
      <x:c r="E100" s="29"/>
      <x:c r="F100" s="29"/>
      <x:c r="G100" s="29"/>
      <x:c r="H100" s="29"/>
      <x:c r="I100" s="29"/>
      <x:c r="J100" s="29"/>
    </x:row>
    <x:row r="101">
      <x:c r="A101"/>
      <x:c r="B101" s="21"/>
      <x:c r="C101"/>
      <x:c r="D101"/>
      <x:c r="E101"/>
      <x:c r="F101"/>
      <x:c r="G101"/>
      <x:c r="H101"/>
      <x:c r="I101"/>
      <x:c r="J101"/>
    </x:row>
    <x:row r="102">
      <x:c r="B102" s="21"/>
    </x:row>
    <x:row r="103">
      <x:c r="B103" s="21"/>
    </x:row>
    <x:row r="104">
      <x:c r="B104" s="21"/>
    </x:row>
    <x:row r="105">
      <x:c r="B105" s="21"/>
    </x:row>
    <x:row r="106">
      <x:c r="B106" s="21"/>
    </x:row>
    <x:row r="107">
      <x:c r="B107" s="21"/>
    </x:row>
    <x:row r="108">
      <x:c r="B108" s="21"/>
    </x:row>
    <x:row r="109">
      <x:c r="B109" s="21"/>
    </x:row>
    <x:row r="110">
      <x:c r="B110" s="21"/>
    </x:row>
    <x:row r="111">
      <x:c r="B111" s="21"/>
    </x:row>
    <x:row r="112">
      <x:c r="B112" s="21"/>
    </x:row>
    <x:row r="113">
      <x:c r="B113" s="21"/>
    </x:row>
    <x:row r="114">
      <x:c r="B114" s="21"/>
    </x:row>
    <x:row r="115">
      <x:c r="B115" s="21"/>
    </x:row>
    <x:row r="116">
      <x:c r="B116" s="21"/>
    </x:row>
    <x:row r="117">
      <x:c r="B117" s="21"/>
    </x:row>
    <x:row r="118">
      <x:c r="B118" s="21"/>
    </x:row>
    <x:row r="119">
      <x:c r="B119" s="21"/>
    </x:row>
    <x:row r="120">
      <x:c r="B120" s="21"/>
    </x:row>
    <x:row r="121">
      <x:c r="B121" s="21"/>
    </x:row>
    <x:row r="122">
      <x:c r="B122" s="21"/>
    </x:row>
    <x:row r="123">
      <x:c r="B123" s="21"/>
    </x:row>
    <x:row r="124">
      <x:c r="B124" s="21"/>
    </x:row>
    <x:row r="125">
      <x:c r="B125" s="21"/>
    </x:row>
    <x:row r="126">
      <x:c r="B126" s="21"/>
    </x:row>
    <x:row r="127">
      <x:c r="B127" s="21"/>
    </x:row>
    <x:row r="128">
      <x:c r="B128" s="21"/>
    </x:row>
    <x:row r="129">
      <x:c r="B129" s="21"/>
    </x:row>
    <x:row r="130">
      <x:c r="B130" s="21"/>
    </x:row>
    <x:row r="131">
      <x:c r="B131" s="21"/>
    </x:row>
    <x:row r="132">
      <x:c r="B132" s="21"/>
    </x:row>
    <x:row r="133">
      <x:c r="B133" s="21"/>
    </x:row>
    <x:row r="134">
      <x:c r="B134" s="21"/>
    </x:row>
    <x:row r="135">
      <x:c r="B135" s="21"/>
    </x:row>
    <x:row r="136">
      <x:c r="B136" s="21"/>
    </x:row>
    <x:row r="137">
      <x:c r="B137" s="21"/>
    </x:row>
    <x:row r="138">
      <x:c r="B138" s="21"/>
    </x:row>
    <x:row r="139">
      <x:c r="B139" s="21"/>
    </x:row>
    <x:row r="140">
      <x:c r="B140" s="21"/>
    </x:row>
    <x:row r="141">
      <x:c r="B141" s="21"/>
    </x:row>
    <x:row r="142">
      <x:c r="B142" s="21"/>
    </x:row>
    <x:row r="143">
      <x:c r="B143" s="21"/>
    </x:row>
    <x:row r="144">
      <x:c r="B144" s="21"/>
    </x:row>
    <x:row r="145">
      <x:c r="B145" s="21"/>
    </x:row>
    <x:row r="146">
      <x:c r="B146" s="21"/>
    </x:row>
    <x:row r="147">
      <x:c r="B147" s="21"/>
    </x:row>
    <x:row r="148">
      <x:c r="B148" s="21"/>
    </x:row>
    <x:row r="149">
      <x:c r="B149" s="21"/>
    </x:row>
    <x:row r="150">
      <x:c r="B150" s="21"/>
    </x:row>
    <x:row r="151">
      <x:c r="B151" s="21"/>
    </x:row>
    <x:row r="152">
      <x:c r="B152" s="21"/>
    </x:row>
    <x:row r="153">
      <x:c r="B153" s="21"/>
    </x:row>
    <x:row r="154">
      <x:c r="B154" s="21"/>
    </x:row>
    <x:row r="155">
      <x:c r="B155" s="21"/>
    </x:row>
    <x:row r="156">
      <x:c r="B156" s="21"/>
    </x:row>
    <x:row r="157">
      <x:c r="B157" s="21"/>
    </x:row>
    <x:row r="158">
      <x:c r="B158" s="21"/>
    </x:row>
    <x:row r="159">
      <x:c r="B159" s="21"/>
    </x:row>
    <x:row r="160">
      <x:c r="B160" s="21"/>
    </x:row>
    <x:row r="161">
      <x:c r="B161" s="21"/>
    </x:row>
    <x:row r="162">
      <x:c r="B162" s="21"/>
    </x:row>
    <x:row r="163">
      <x:c r="B163" s="21"/>
    </x:row>
    <x:row r="164">
      <x:c r="B164" s="21"/>
    </x:row>
    <x:row r="165">
      <x:c r="B165" s="21"/>
    </x:row>
    <x:row r="166">
      <x:c r="B166" s="21"/>
    </x:row>
    <x:row r="167">
      <x:c r="B167" s="21"/>
    </x:row>
    <x:row r="168">
      <x:c r="B168" s="21"/>
    </x:row>
    <x:row r="169">
      <x:c r="B169" s="21"/>
    </x:row>
    <x:row r="170">
      <x:c r="B170" s="21"/>
    </x:row>
    <x:row r="171">
      <x:c r="B171" s="21"/>
    </x:row>
    <x:row r="172">
      <x:c r="B172" s="21"/>
    </x:row>
    <x:row r="173">
      <x:c r="B173" s="21"/>
    </x:row>
    <x:row r="174">
      <x:c r="B174" s="21"/>
    </x:row>
    <x:row r="175">
      <x:c r="B175" s="21"/>
    </x:row>
    <x:row r="176">
      <x:c r="B176" s="21"/>
    </x:row>
    <x:row r="177">
      <x:c r="B177" s="21"/>
    </x:row>
    <x:row r="178">
      <x:c r="B178" s="21"/>
    </x:row>
    <x:row r="179">
      <x:c r="B179" s="21"/>
    </x:row>
    <x:row r="180">
      <x:c r="B180" s="21"/>
    </x:row>
    <x:row r="181">
      <x:c r="B181" s="21"/>
    </x:row>
    <x:row r="182">
      <x:c r="B182" s="21"/>
    </x:row>
    <x:row r="183">
      <x:c r="B183" s="21"/>
    </x:row>
    <x:row r="184">
      <x:c r="B184" s="21"/>
    </x:row>
    <x:row r="185">
      <x:c r="B185" s="21"/>
    </x:row>
    <x:row r="186">
      <x:c r="B186" s="21"/>
    </x:row>
    <x:row r="187">
      <x:c r="B187" s="21"/>
    </x:row>
    <x:row r="188">
      <x:c r="B188" s="21"/>
    </x:row>
    <x:row r="189">
      <x:c r="B189" s="21"/>
    </x:row>
    <x:row r="190">
      <x:c r="B190" s="21"/>
    </x:row>
    <x:row r="191">
      <x:c r="B191" s="21"/>
    </x:row>
    <x:row r="192">
      <x:c r="B192" s="21"/>
    </x:row>
    <x:row r="193">
      <x:c r="B193" s="21"/>
    </x:row>
    <x:row r="194">
      <x:c r="B194" s="21"/>
    </x:row>
    <x:row r="195">
      <x:c r="B195" s="21"/>
    </x:row>
    <x:row r="196">
      <x:c r="B196" s="21"/>
    </x:row>
    <x:row r="197">
      <x:c r="B197" s="21"/>
    </x:row>
    <x:row r="198">
      <x:c r="B198" s="21"/>
    </x:row>
    <x:row r="199">
      <x:c r="B199" s="21"/>
    </x:row>
    <x:row r="200">
      <x:c r="B200" s="21"/>
    </x:row>
    <x:row r="201">
      <x:c r="B201" s="21"/>
    </x:row>
    <x:row r="202">
      <x:c r="B202" s="21"/>
    </x:row>
    <x:row r="203">
      <x:c r="B203" s="21"/>
    </x:row>
    <x:row r="204">
      <x:c r="B204" s="21"/>
    </x:row>
    <x:row r="205">
      <x:c r="B205" s="21"/>
    </x:row>
    <x:row r="206">
      <x:c r="B206" s="21"/>
    </x:row>
    <x:row r="207">
      <x:c r="B207" s="21"/>
    </x:row>
    <x:row r="208">
      <x:c r="B208" s="21"/>
    </x:row>
    <x:row r="209">
      <x:c r="B209" s="21"/>
    </x:row>
    <x:row r="210">
      <x:c r="B210" s="21"/>
    </x:row>
    <x:row r="211">
      <x:c r="B211" s="21"/>
    </x:row>
    <x:row r="212">
      <x:c r="B212" s="21"/>
    </x:row>
    <x:row r="213">
      <x:c r="B213" s="21"/>
    </x:row>
    <x:row r="214">
      <x:c r="B214" s="21"/>
    </x:row>
    <x:row r="215">
      <x:c r="B215" s="21"/>
    </x:row>
    <x:row r="216">
      <x:c r="B216" s="21"/>
    </x:row>
    <x:row r="217">
      <x:c r="B217" s="21"/>
    </x:row>
    <x:row r="218">
      <x:c r="B218" s="21"/>
    </x:row>
    <x:row r="219">
      <x:c r="B219" s="21"/>
    </x:row>
    <x:row r="220">
      <x:c r="B220" s="21"/>
    </x:row>
    <x:row r="221">
      <x:c r="B221" s="21"/>
    </x:row>
    <x:row r="222">
      <x:c r="B222" s="21"/>
    </x:row>
    <x:row r="223">
      <x:c r="B223" s="21"/>
    </x:row>
    <x:row r="224">
      <x:c r="B224" s="21"/>
    </x:row>
    <x:row r="225">
      <x:c r="B225" s="21"/>
    </x:row>
    <x:row r="226">
      <x:c r="B226" s="21"/>
    </x:row>
    <x:row r="227">
      <x:c r="B227" s="21"/>
    </x:row>
    <x:row r="228">
      <x:c r="B228" s="21"/>
    </x:row>
    <x:row r="229">
      <x:c r="B229" s="21"/>
    </x:row>
    <x:row r="230">
      <x:c r="B230" s="21"/>
    </x:row>
    <x:row r="231">
      <x:c r="B231" s="21"/>
    </x:row>
    <x:row r="232">
      <x:c r="B232" s="21"/>
    </x:row>
    <x:row r="233">
      <x:c r="B233" s="21"/>
    </x:row>
    <x:row r="234">
      <x:c r="B234" s="21"/>
    </x:row>
    <x:row r="235">
      <x:c r="B235" s="21"/>
    </x:row>
    <x:row r="236">
      <x:c r="B236" s="21"/>
    </x:row>
    <x:row r="237">
      <x:c r="B237" s="21"/>
    </x:row>
    <x:row r="238">
      <x:c r="B238" s="21"/>
    </x:row>
    <x:row r="239">
      <x:c r="B239" s="21"/>
    </x:row>
    <x:row r="240">
      <x:c r="B240" s="21"/>
    </x:row>
    <x:row r="241">
      <x:c r="B241" s="21"/>
    </x:row>
    <x:row r="242">
      <x:c r="B242" s="21"/>
    </x:row>
    <x:row r="243">
      <x:c r="B243" s="21"/>
    </x:row>
    <x:row r="244">
      <x:c r="B244" s="21"/>
    </x:row>
    <x:row r="245">
      <x:c r="B245" s="21"/>
    </x:row>
    <x:row r="246">
      <x:c r="B246" s="21"/>
    </x:row>
    <x:row r="247">
      <x:c r="B247" s="21"/>
    </x:row>
    <x:row r="248">
      <x:c r="B248" s="21"/>
    </x:row>
    <x:row r="249">
      <x:c r="B249" s="21"/>
    </x:row>
    <x:row r="250">
      <x:c r="B250" s="21"/>
    </x:row>
    <x:row r="251">
      <x:c r="B251" s="21"/>
    </x:row>
    <x:row r="252">
      <x:c r="B252" s="21"/>
    </x:row>
    <x:row r="253">
      <x:c r="B253" s="21"/>
    </x:row>
    <x:row r="254">
      <x:c r="B254" s="21"/>
    </x:row>
    <x:row r="255">
      <x:c r="B255" s="21"/>
    </x:row>
    <x:row r="256">
      <x:c r="B256" s="21"/>
    </x:row>
    <x:row r="257">
      <x:c r="B257" s="21"/>
    </x:row>
    <x:row r="258">
      <x:c r="B258" s="21"/>
    </x:row>
    <x:row r="259">
      <x:c r="B259" s="21"/>
    </x:row>
    <x:row r="260">
      <x:c r="B260" s="21"/>
    </x:row>
    <x:row r="261">
      <x:c r="B261" s="21"/>
    </x:row>
    <x:row r="262">
      <x:c r="B262" s="21"/>
    </x:row>
    <x:row r="263">
      <x:c r="B263" s="21"/>
    </x:row>
    <x:row r="264">
      <x:c r="B264" s="21"/>
    </x:row>
    <x:row r="265">
      <x:c r="B265" s="21"/>
    </x:row>
    <x:row r="266">
      <x:c r="B266" s="21"/>
    </x:row>
    <x:row r="267">
      <x:c r="B267" s="21"/>
    </x:row>
    <x:row r="268">
      <x:c r="B268" s="21"/>
    </x:row>
    <x:row r="269">
      <x:c r="B269" s="21"/>
    </x:row>
    <x:row r="270">
      <x:c r="B270" s="21"/>
    </x:row>
    <x:row r="271">
      <x:c r="B271" s="21"/>
    </x:row>
    <x:row r="272">
      <x:c r="B272" s="21"/>
    </x:row>
    <x:row r="273">
      <x:c r="B273" s="21"/>
    </x:row>
    <x:row r="274">
      <x:c r="B274" s="21"/>
    </x:row>
    <x:row r="275">
      <x:c r="B275" s="21"/>
    </x:row>
    <x:row r="276">
      <x:c r="B276" s="21"/>
    </x:row>
    <x:row r="277">
      <x:c r="B277" s="21"/>
    </x:row>
    <x:row r="278">
      <x:c r="B278" s="21"/>
    </x:row>
    <x:row r="279">
      <x:c r="B279" s="21"/>
    </x:row>
    <x:row r="280">
      <x:c r="B280" s="21"/>
    </x:row>
    <x:row r="281">
      <x:c r="B281" s="21"/>
    </x:row>
    <x:row r="282">
      <x:c r="B282" s="21"/>
    </x:row>
    <x:row r="283">
      <x:c r="B283" s="21"/>
    </x:row>
    <x:row r="284">
      <x:c r="B284" s="21"/>
    </x:row>
    <x:row r="285">
      <x:c r="B285" s="21"/>
    </x:row>
    <x:row r="286">
      <x:c r="B286" s="21"/>
    </x:row>
    <x:row r="287">
      <x:c r="B287" s="21"/>
    </x:row>
    <x:row r="288">
      <x:c r="B288" s="21"/>
    </x:row>
    <x:row r="289">
      <x:c r="B289" s="21"/>
    </x:row>
    <x:row r="290">
      <x:c r="B290" s="21"/>
    </x:row>
    <x:row r="291">
      <x:c r="B291" s="21"/>
    </x:row>
    <x:row r="292">
      <x:c r="B292" s="21"/>
    </x:row>
    <x:row r="293">
      <x:c r="B293" s="21"/>
    </x:row>
    <x:row r="294">
      <x:c r="B294" s="21"/>
    </x:row>
    <x:row r="295">
      <x:c r="B295" s="21"/>
    </x:row>
    <x:row r="296">
      <x:c r="B296" s="21"/>
    </x:row>
    <x:row r="297">
      <x:c r="B297" s="21"/>
    </x:row>
    <x:row r="298">
      <x:c r="B298" s="21"/>
    </x:row>
    <x:row r="299">
      <x:c r="B299" s="21"/>
    </x:row>
    <x:row r="300">
      <x:c r="B300" s="21"/>
    </x:row>
    <x:row r="301">
      <x:c r="B301" s="21"/>
    </x:row>
    <x:row r="302">
      <x:c r="B302" s="21"/>
    </x:row>
    <x:row r="303">
      <x:c r="B303" s="21"/>
    </x:row>
    <x:row r="304">
      <x:c r="B304" s="21"/>
    </x:row>
    <x:row r="305">
      <x:c r="B305" s="21"/>
    </x:row>
    <x:row r="306">
      <x:c r="B306" s="21"/>
    </x:row>
    <x:row r="307">
      <x:c r="B307" s="21"/>
    </x:row>
    <x:row r="308">
      <x:c r="B308" s="21"/>
    </x:row>
    <x:row r="309">
      <x:c r="B309" s="21"/>
    </x:row>
    <x:row r="310">
      <x:c r="B310" s="21"/>
    </x:row>
    <x:row r="311">
      <x:c r="B311" s="21"/>
    </x:row>
    <x:row r="312">
      <x:c r="B312" s="21"/>
    </x:row>
    <x:row r="313">
      <x:c r="B313" s="21"/>
    </x:row>
    <x:row r="314">
      <x:c r="B314" s="21"/>
    </x:row>
    <x:row r="315">
      <x:c r="B315" s="21"/>
    </x:row>
    <x:row r="316">
      <x:c r="B316" s="21"/>
    </x:row>
    <x:row r="317">
      <x:c r="B317" s="21"/>
    </x:row>
    <x:row r="318">
      <x:c r="B318" s="21"/>
    </x:row>
    <x:row r="319">
      <x:c r="B319" s="21"/>
    </x:row>
    <x:row r="320">
      <x:c r="B320" s="21"/>
    </x:row>
    <x:row r="321">
      <x:c r="B321" s="21"/>
    </x:row>
    <x:row r="322">
      <x:c r="B322" s="21"/>
    </x:row>
    <x:row r="323">
      <x:c r="B323" s="21"/>
    </x:row>
    <x:row r="324">
      <x:c r="B324" s="21"/>
    </x:row>
    <x:row r="325">
      <x:c r="B325" s="21"/>
    </x:row>
    <x:row r="326">
      <x:c r="B326" s="21"/>
    </x:row>
    <x:row r="327">
      <x:c r="B327" s="21"/>
    </x:row>
    <x:row r="328">
      <x:c r="B328" s="21"/>
    </x:row>
    <x:row r="329">
      <x:c r="B329" s="21"/>
    </x:row>
    <x:row r="330">
      <x:c r="B330" s="21"/>
    </x:row>
    <x:row r="331">
      <x:c r="B331" s="21"/>
    </x:row>
    <x:row r="332">
      <x:c r="B332" s="21"/>
    </x:row>
    <x:row r="333">
      <x:c r="B333" s="21"/>
    </x:row>
    <x:row r="334">
      <x:c r="B334" s="21"/>
    </x:row>
    <x:row r="335">
      <x:c r="B335" s="21"/>
    </x:row>
    <x:row r="336">
      <x:c r="B336" s="21"/>
    </x:row>
    <x:row r="337">
      <x:c r="B337" s="21"/>
    </x:row>
    <x:row r="338">
      <x:c r="B338" s="21"/>
    </x:row>
    <x:row r="339">
      <x:c r="B339" s="21"/>
    </x:row>
    <x:row r="340">
      <x:c r="B340" s="21"/>
    </x:row>
    <x:row r="341">
      <x:c r="B341" s="21"/>
    </x:row>
    <x:row r="342">
      <x:c r="B342" s="21"/>
    </x:row>
    <x:row r="343">
      <x:c r="B343" s="21"/>
    </x:row>
    <x:row r="344">
      <x:c r="B344" s="21"/>
    </x:row>
    <x:row r="345">
      <x:c r="B345" s="21"/>
    </x:row>
    <x:row r="346">
      <x:c r="B346" s="21"/>
    </x:row>
    <x:row r="347">
      <x:c r="B347" s="21"/>
    </x:row>
    <x:row r="348">
      <x:c r="B348" s="21"/>
    </x:row>
    <x:row r="349">
      <x:c r="B349" s="21"/>
    </x:row>
    <x:row r="350">
      <x:c r="B350" s="21"/>
    </x:row>
    <x:row r="351">
      <x:c r="B351" s="21"/>
    </x:row>
    <x:row r="352">
      <x:c r="B352" s="21"/>
    </x:row>
    <x:row r="353">
      <x:c r="B353" s="21"/>
    </x:row>
    <x:row r="354">
      <x:c r="B354" s="21"/>
    </x:row>
    <x:row r="355">
      <x:c r="B355" s="21"/>
    </x:row>
    <x:row r="356">
      <x:c r="B356" s="21"/>
    </x:row>
    <x:row r="357">
      <x:c r="B357" s="21"/>
    </x:row>
    <x:row r="358">
      <x:c r="B358" s="21"/>
    </x:row>
    <x:row r="359">
      <x:c r="B359" s="21"/>
    </x:row>
    <x:row r="360">
      <x:c r="B360" s="21"/>
    </x:row>
    <x:row r="361">
      <x:c r="B361" s="21"/>
    </x:row>
    <x:row r="362">
      <x:c r="B362" s="21"/>
    </x:row>
    <x:row r="363">
      <x:c r="B363" s="21"/>
    </x:row>
    <x:row r="364">
      <x:c r="B364" s="21"/>
    </x:row>
    <x:row r="365">
      <x:c r="B365" s="21"/>
    </x:row>
    <x:row r="366">
      <x:c r="B366" s="21"/>
    </x:row>
    <x:row r="367">
      <x:c r="B367" s="21"/>
    </x:row>
    <x:row r="368">
      <x:c r="B368" s="21"/>
    </x:row>
    <x:row r="369">
      <x:c r="B369" s="21"/>
    </x:row>
    <x:row r="370">
      <x:c r="B370" s="21"/>
    </x:row>
    <x:row r="371">
      <x:c r="B371" s="21"/>
    </x:row>
    <x:row r="372">
      <x:c r="B372" s="21"/>
    </x:row>
    <x:row r="373">
      <x:c r="B373" s="21"/>
    </x:row>
    <x:row r="374">
      <x:c r="B374" s="21"/>
    </x:row>
    <x:row r="375">
      <x:c r="B375" s="21"/>
    </x:row>
    <x:row r="376">
      <x:c r="B376" s="21"/>
    </x:row>
    <x:row r="377">
      <x:c r="B377" s="21"/>
    </x:row>
    <x:row r="378">
      <x:c r="B378" s="21"/>
    </x:row>
    <x:row r="379">
      <x:c r="B379" s="21"/>
    </x:row>
    <x:row r="380">
      <x:c r="B380" s="21"/>
    </x:row>
    <x:row r="381">
      <x:c r="B381" s="21"/>
    </x:row>
    <x:row r="382">
      <x:c r="B382" s="21"/>
    </x:row>
    <x:row r="383">
      <x:c r="B383" s="21"/>
    </x:row>
    <x:row r="384">
      <x:c r="B384" s="21"/>
    </x:row>
    <x:row r="385">
      <x:c r="B385" s="21"/>
    </x:row>
    <x:row r="386">
      <x:c r="B386" s="21"/>
    </x:row>
    <x:row r="387">
      <x:c r="B387" s="21"/>
    </x:row>
    <x:row r="388">
      <x:c r="B388" s="21"/>
    </x:row>
    <x:row r="389">
      <x:c r="B389" s="21"/>
    </x:row>
    <x:row r="390">
      <x:c r="B390" s="21"/>
    </x:row>
    <x:row r="391">
      <x:c r="B391" s="21"/>
    </x:row>
    <x:row r="392">
      <x:c r="B392" s="21"/>
    </x:row>
    <x:row r="393">
      <x:c r="B393" s="21"/>
    </x:row>
    <x:row r="394">
      <x:c r="B394" s="21"/>
    </x:row>
    <x:row r="395">
      <x:c r="B395" s="21"/>
    </x:row>
    <x:row r="396">
      <x:c r="B396" s="21"/>
    </x:row>
    <x:row r="397">
      <x:c r="B397" s="21"/>
    </x:row>
    <x:row r="398">
      <x:c r="B398" s="21"/>
    </x:row>
    <x:row r="399">
      <x:c r="B399" s="21"/>
    </x:row>
    <x:row r="400">
      <x:c r="B400" s="21"/>
    </x:row>
    <x:row r="401">
      <x:c r="B401" s="21"/>
    </x:row>
    <x:row r="402">
      <x:c r="B402" s="21"/>
    </x:row>
    <x:row r="403">
      <x:c r="B403" s="21"/>
    </x:row>
    <x:row r="404">
      <x:c r="B404" s="21"/>
    </x:row>
    <x:row r="405">
      <x:c r="B405" s="21"/>
    </x:row>
    <x:row r="406">
      <x:c r="B406" s="21"/>
    </x:row>
    <x:row r="407">
      <x:c r="B407" s="21"/>
    </x:row>
    <x:row r="408">
      <x:c r="B408" s="21"/>
    </x:row>
    <x:row r="409">
      <x:c r="B409" s="21"/>
    </x:row>
    <x:row r="410">
      <x:c r="B410" s="21"/>
    </x:row>
    <x:row r="411">
      <x:c r="B411" s="21"/>
    </x:row>
    <x:row r="412">
      <x:c r="B412" s="21"/>
    </x:row>
    <x:row r="413">
      <x:c r="B413" s="21"/>
    </x:row>
    <x:row r="414">
      <x:c r="B414" s="21"/>
    </x:row>
    <x:row r="415">
      <x:c r="B415" s="21"/>
    </x:row>
    <x:row r="416">
      <x:c r="B416" s="21"/>
    </x:row>
    <x:row r="417">
      <x:c r="B417" s="21"/>
    </x:row>
    <x:row r="418">
      <x:c r="B418" s="21"/>
    </x:row>
    <x:row r="419">
      <x:c r="B419" s="21"/>
    </x:row>
    <x:row r="420">
      <x:c r="B420" s="21"/>
    </x:row>
    <x:row r="421">
      <x:c r="B421" s="21"/>
    </x:row>
    <x:row r="422">
      <x:c r="B422" s="21"/>
    </x:row>
    <x:row r="423">
      <x:c r="B423" s="21"/>
    </x:row>
    <x:row r="424">
      <x:c r="B424" s="21"/>
    </x:row>
    <x:row r="425">
      <x:c r="B425" s="21"/>
    </x:row>
    <x:row r="426">
      <x:c r="B426" s="21"/>
    </x:row>
    <x:row r="427">
      <x:c r="B427" s="21"/>
    </x:row>
    <x:row r="428">
      <x:c r="B428" s="21"/>
    </x:row>
    <x:row r="429">
      <x:c r="B429" s="21"/>
    </x:row>
    <x:row r="430">
      <x:c r="B430" s="21"/>
    </x:row>
    <x:row r="431">
      <x:c r="B431" s="21"/>
    </x:row>
    <x:row r="432">
      <x:c r="B432" s="21"/>
    </x:row>
    <x:row r="433">
      <x:c r="B433" s="21"/>
    </x:row>
    <x:row r="434">
      <x:c r="B434" s="21"/>
    </x:row>
    <x:row r="435">
      <x:c r="B435" s="21"/>
    </x:row>
    <x:row r="436">
      <x:c r="B436" s="21"/>
    </x:row>
    <x:row r="437">
      <x:c r="B437" s="21"/>
    </x:row>
    <x:row r="438">
      <x:c r="B438" s="21"/>
    </x:row>
    <x:row r="439">
      <x:c r="B439" s="21"/>
    </x:row>
    <x:row r="440">
      <x:c r="B440" s="21"/>
    </x:row>
    <x:row r="441">
      <x:c r="B441" s="21"/>
    </x:row>
    <x:row r="442">
      <x:c r="B442" s="21"/>
    </x:row>
    <x:row r="443">
      <x:c r="B443" s="21"/>
    </x:row>
    <x:row r="444">
      <x:c r="B444" s="21"/>
    </x:row>
    <x:row r="445">
      <x:c r="B445" s="21"/>
    </x:row>
    <x:row r="446">
      <x:c r="B446" s="21"/>
    </x:row>
    <x:row r="447">
      <x:c r="B447" s="21"/>
    </x:row>
    <x:row r="448">
      <x:c r="B448" s="21"/>
    </x:row>
    <x:row r="449">
      <x:c r="B449" s="21"/>
    </x:row>
    <x:row r="450">
      <x:c r="B450" s="21"/>
    </x:row>
    <x:row r="451">
      <x:c r="B451" s="21"/>
    </x:row>
    <x:row r="452">
      <x:c r="B452" s="21"/>
    </x:row>
    <x:row r="453">
      <x:c r="B453" s="21"/>
    </x:row>
    <x:row r="454">
      <x:c r="B454" s="21"/>
    </x:row>
    <x:row r="455">
      <x:c r="B455" s="21"/>
    </x:row>
    <x:row r="456">
      <x:c r="B456" s="21"/>
    </x:row>
    <x:row r="457">
      <x:c r="B457" s="21"/>
    </x:row>
    <x:row r="458">
      <x:c r="B458" s="21"/>
    </x:row>
    <x:row r="459">
      <x:c r="B459" s="21"/>
    </x:row>
    <x:row r="460">
      <x:c r="B460" s="21"/>
    </x:row>
    <x:row r="461">
      <x:c r="B461" s="21"/>
    </x:row>
    <x:row r="462">
      <x:c r="B462" s="21"/>
    </x:row>
    <x:row r="463">
      <x:c r="B463" s="21"/>
    </x:row>
    <x:row r="464">
      <x:c r="B464" s="21"/>
    </x:row>
    <x:row r="465">
      <x:c r="B465" s="21"/>
    </x:row>
    <x:row r="466">
      <x:c r="B466" s="21"/>
    </x:row>
    <x:row r="467">
      <x:c r="B467" s="21"/>
    </x:row>
    <x:row r="468">
      <x:c r="B468" s="21"/>
    </x:row>
    <x:row r="469">
      <x:c r="B469" s="21"/>
    </x:row>
    <x:row r="470">
      <x:c r="B470" s="21"/>
    </x:row>
    <x:row r="471">
      <x:c r="B471" s="21"/>
    </x:row>
    <x:row r="472">
      <x:c r="B472" s="21"/>
    </x:row>
    <x:row r="473">
      <x:c r="B473" s="21"/>
    </x:row>
    <x:row r="474">
      <x:c r="B474" s="21"/>
    </x:row>
    <x:row r="475">
      <x:c r="B475" s="21"/>
    </x:row>
    <x:row r="476">
      <x:c r="B476" s="21"/>
    </x:row>
    <x:row r="477">
      <x:c r="B477" s="21"/>
    </x:row>
    <x:row r="478">
      <x:c r="B478" s="21"/>
    </x:row>
    <x:row r="479">
      <x:c r="B479" s="21"/>
    </x:row>
    <x:row r="480">
      <x:c r="B480" s="21"/>
    </x:row>
    <x:row r="481">
      <x:c r="B481" s="21"/>
    </x:row>
    <x:row r="482">
      <x:c r="B482" s="21"/>
    </x:row>
    <x:row r="483">
      <x:c r="B483" s="21"/>
    </x:row>
    <x:row r="484">
      <x:c r="B484" s="21"/>
    </x:row>
    <x:row r="485">
      <x:c r="B485" s="21"/>
    </x:row>
    <x:row r="486">
      <x:c r="B486" s="21"/>
    </x:row>
    <x:row r="487">
      <x:c r="B487" s="21"/>
    </x:row>
    <x:row r="488">
      <x:c r="B488" s="21"/>
    </x:row>
    <x:row r="489">
      <x:c r="B489" s="21"/>
    </x:row>
    <x:row r="490">
      <x:c r="B490" s="21"/>
    </x:row>
    <x:row r="491">
      <x:c r="B491" s="21"/>
    </x:row>
    <x:row r="492">
      <x:c r="B492" s="21"/>
    </x:row>
    <x:row r="493">
      <x:c r="B493" s="21"/>
    </x:row>
    <x:row r="494">
      <x:c r="B494" s="21"/>
    </x:row>
    <x:row r="495">
      <x:c r="B495" s="21"/>
    </x:row>
    <x:row r="496">
      <x:c r="B496" s="21"/>
    </x:row>
    <x:row r="497">
      <x:c r="B497" s="21"/>
    </x:row>
    <x:row r="498">
      <x:c r="B498" s="21"/>
    </x:row>
    <x:row r="499">
      <x:c r="B499" s="21"/>
    </x:row>
    <x:row r="500">
      <x:c r="B500" s="21"/>
    </x:row>
    <x:row r="501">
      <x:c r="B501" s="21"/>
    </x:row>
    <x:row r="502">
      <x:c r="B502" s="21"/>
    </x:row>
    <x:row r="503">
      <x:c r="B503" s="21"/>
    </x:row>
    <x:row r="504">
      <x:c r="B504" s="21"/>
    </x:row>
    <x:row r="505">
      <x:c r="B505" s="21"/>
    </x:row>
  </x:sheetData>
  <x:mergeCells>
    <x:mergeCell ref="A2:J2"/>
  </x:mergeCells>
  <x:pageMargins left="0.7" right="0.7" top="0.75" bottom="0.75" header="0.3" footer="0.3"/>
  <x:tableParts count="1">
    <x:tablePart xmlns:r="http://schemas.openxmlformats.org/officeDocument/2006/relationships" r:id="R65b98c5292ee484d"/>
  </x:tableParts>
</x:worksheet>
</file>