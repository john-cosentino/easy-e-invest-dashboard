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f7144026c3f4f99" /></Relationships>
</file>

<file path=xl/workbook.xml><?xml version="1.0" encoding="utf-8"?>
<x:workbook xmlns:x="http://schemas.openxmlformats.org/spreadsheetml/2006/main">
  <x:sheets>
    <x:sheet xmlns:r="http://schemas.openxmlformats.org/officeDocument/2006/relationships" name="Summary" sheetId="1" r:id="R8c6d06728f0d4205"/>
    <x:sheet xmlns:r="http://schemas.openxmlformats.org/officeDocument/2006/relationships" name="Thesis Ledger" sheetId="2" r:id="Ra7daf5ae2c824a50"/>
    <x:sheet xmlns:r="http://schemas.openxmlformats.org/officeDocument/2006/relationships" name="Evidence Log" sheetId="3" r:id="R4000020b83354d80"/>
    <x:sheet xmlns:r="http://schemas.openxmlformats.org/officeDocument/2006/relationships" name="Source Registry" sheetId="4" r:id="R02f29b452dbc4e70"/>
    <x:sheet xmlns:r="http://schemas.openxmlformats.org/officeDocument/2006/relationships" name="Paper Trades" sheetId="5" r:id="R4729756507ac4d6d"/>
    <x:sheet xmlns:r="http://schemas.openxmlformats.org/officeDocument/2006/relationships" name="Scan Runs" sheetId="6" r:id="R9d385eccf5c54702"/>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10950fd6b644126" /><Relationship Type="http://schemas.openxmlformats.org/officeDocument/2006/relationships/theme" Target="/xl/theme/theme1.xml" Id="R2a506d9cec404bef" /><Relationship Type="http://schemas.openxmlformats.org/officeDocument/2006/relationships/sharedStrings" Target="/xl/sharedStrings.xml" Id="R8792320af6454bce" /><Relationship Type="http://schemas.openxmlformats.org/officeDocument/2006/relationships/worksheet" Target="/xl/worksheets/sheet1.xml" Id="R8c6d06728f0d4205" /><Relationship Type="http://schemas.openxmlformats.org/officeDocument/2006/relationships/worksheet" Target="/xl/worksheets/sheet2.xml" Id="Ra7daf5ae2c824a50" /><Relationship Type="http://schemas.openxmlformats.org/officeDocument/2006/relationships/worksheet" Target="/xl/worksheets/sheet3.xml" Id="R4000020b83354d80" /><Relationship Type="http://schemas.openxmlformats.org/officeDocument/2006/relationships/worksheet" Target="/xl/worksheets/sheet4.xml" Id="R02f29b452dbc4e70" /><Relationship Type="http://schemas.openxmlformats.org/officeDocument/2006/relationships/worksheet" Target="/xl/worksheets/sheet5.xml" Id="R4729756507ac4d6d" /><Relationship Type="http://schemas.openxmlformats.org/officeDocument/2006/relationships/worksheet" Target="/xl/worksheets/sheet6.xml" Id="R9d385eccf5c54702"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57d07e5c28b46e9" /></Relationships>
</file>

<file path=xl/worksheets/_rels/sheet3.xml.rels>&#65279;<?xml version="1.0" encoding="utf-8"?><Relationships xmlns="http://schemas.openxmlformats.org/package/2006/relationships"><Relationship Type="http://schemas.openxmlformats.org/officeDocument/2006/relationships/table" Target="/xl/tables/table2.xml" Id="Rb27d885a3f6f4e61" /></Relationships>
</file>

<file path=xl/worksheets/_rels/sheet4.xml.rels>&#65279;<?xml version="1.0" encoding="utf-8"?><Relationships xmlns="http://schemas.openxmlformats.org/package/2006/relationships"><Relationship Type="http://schemas.openxmlformats.org/officeDocument/2006/relationships/table" Target="/xl/tables/table3.xml" Id="R85d80ef82f6741a2" /></Relationships>
</file>

<file path=xl/worksheets/_rels/sheet5.xml.rels>&#65279;<?xml version="1.0" encoding="utf-8"?><Relationships xmlns="http://schemas.openxmlformats.org/package/2006/relationships"><Relationship Type="http://schemas.openxmlformats.org/officeDocument/2006/relationships/table" Target="/xl/tables/table4.xml" Id="Rd91cd4ee699242d2" /></Relationships>
</file>

<file path=xl/worksheets/_rels/sheet6.xml.rels>&#65279;<?xml version="1.0" encoding="utf-8"?><Relationships xmlns="http://schemas.openxmlformats.org/package/2006/relationships"><Relationship Type="http://schemas.openxmlformats.org/officeDocument/2006/relationships/table" Target="/xl/tables/table5.xml" Id="Rfa9698ee28384fb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No independently confirmed House or Senate control development emerged in the September 23 check. High fuel prices prompted several candidates in competitive races to call for diesel-export restrictions, establishing an affordability and policy issue but not a chamber-control outcome.</x:v>
      </x:c>
      <x:c r="O8" s="29" t="str">
        <x:v>Expected changes in fiscal, regulatory and sector policy could alter risk appetite and relative performance.</x:v>
      </x:c>
      <x:c r="P8" s="29" t="str">
        <x:v>The macro setting improved modestly as oil remained below $100 and small caps and health care participated. Delayed quotes showed IWM, XLV and XBI higher, providing limited breadth beyond the largest technology stocks.</x:v>
      </x:c>
      <x:c r="Q8" s="29" t="str">
        <x:v>The central confirmation remains incomplete. Equal-weight performance was only marginally better than SPY, financials fell sharply, and Reuters reported that artificial-intelligence demand still drove Nasdaq leadership. Fuel-price policy proposals do not establish legislative control or an investable policy outcome.</x:v>
      </x:c>
      <x:c r="R8" s="29"/>
      <x:c r="S8" s="29" t="str">
        <x:v>Around the September 23 scan: SPY was roughly flat, RSP +0.05%, IWM +0.54%, XLI +0.18%, XLV +0.52%, XBI +2.31% and XLF -2.02%. Participation improved in small caps and health care, but weakness in financials and continuing AI leadership left the breadth test mixed.</x:v>
      </x:c>
      <x:c r="T8" s="29" t="str">
        <x:v>XBI and XLV deserve the closest conditional attention after a second session of relative strength, but the move must continue and still may reflect a health-care-specific catalyst rather than election relief. XLB and CPER are secondary conditional watches; copper should remain separate from broad materials. IWM participation is partial. RSP versus SPY remains the central breadth test. XLI and XLF do not confirm. No automatic entry.</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No independently confirmed House or Senate control change was established. Fuel affordability became a more visible campaign-policy issue, while small caps and health care participated and financials weakened. Classification remains Developing; existing confidence and trading-edge fields are unchanged. Entry Window remains WAIT and inactive until Actionable. Next check: sustained RSP-versus-SPY breadth, rates, inflation, volatility and independently confirmed control or policy developments.</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On September 23 the European low-sulphur gasoil premium to Brent reached a record near $95 per barrel after the U.S. president supported examining diesel-export restrictions. U.S. distillate inventories remain unusually low and EIA expects stocks below the five-year low through most of 2027.</x:v>
      </x:c>
      <x:c r="Q14" s="29" t="str">
        <x:v>The proposed U.S. export restriction is not implemented. U.S. energy officials warned it could create a Gulf Coast surplus, reduce refinery runs and raise coastal fuel prices, while trading partners could retaliate. Saudi bypass-pipeline restoration, higher Iraqi exports and a possible diplomatic reopening of Hormuz could normalize feedstock and product logistics. Demand destruction and substitution remain additional caps.</x:v>
      </x:c>
      <x:c r="R14" s="29"/>
      <x:c r="S14" s="29" t="str">
        <x:v>The physical product signal strengthened but the listed expression weakened. The European gasoil premium to Brent reached a record near $95 per barrel, while delayed U.S. quotes showed CRAK about -1.23%, VLO -4.09%, MPC -3.11% and PSX -1.90%. Brent traded near $99.62 and WTI near $90.08 after testing two-week lows. Record cracks confirm scarcity; falling refiners show policy and entry risk.</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23 added a material policy shock: the U.S. is examining full or partial diesel-export curbs as European gasoil cracks reached a record. The underlying scarcity thesis remains intact, but implementation is uncertain and could reduce U.S. refinery utilization rather than cleanly improve refiner earnings. Stage remains Actionable, confidence 5/5, trading edge 1/5 and Entry Window WAIT. Do not chase record product pricing; require an orderly retracement or consolidation with inventories, exports and physical cracks still confirming. Invalidate on sustained normalization in exports, inventories and cracks.</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457d07e5c28b46e9"/>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b27d885a3f6f4e61"/>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85d80ef82f6741a2"/>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57.9</x:v>
      </x:c>
      <x:c r="K6" s="46" t="n">
        <x:f>I6*J6</x:f>
        <x:v>1012.0608285264814</x:v>
      </x:c>
      <x:c r="L6" s="46" t="n">
        <x:f>K6-H6</x:f>
        <x:v>12.060828526481373</x:v>
      </x:c>
      <x:c r="M6" s="48" t="n">
        <x:f>L6/H6</x:f>
        <x:v>0.012060828526481373</x:v>
      </x:c>
      <x:c r="N6" s="30"/>
      <x:c r="O6" s="32"/>
      <x:c r="P6" s="32" t="str">
        <x:f>IF(OR(I6="",O6=""),"",I6*O6)</x:f>
      </x:c>
      <x:c r="Q6" s="32" t="str">
        <x:f>IF(P6="","",P6-H6)</x:f>
      </x:c>
      <x:c r="R6" s="29" t="str">
        <x:v>09/22/26 close: $57.90; position value $1,012.06; +$12.06 (+1.21%). BNO is the only position still above entry, but nearly all of its peak gain has reversed as Saudi Arabia restarted the East-West pipeline and Iran raised a possible Hormuz reopening.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144.08</x:v>
      </x:c>
      <x:c r="K7" s="46" t="n">
        <x:f>I7*J7</x:f>
        <x:v>996.4038727524206</x:v>
      </x:c>
      <x:c r="L7" s="46" t="n">
        <x:f>K7-H7</x:f>
        <x:v>-3.596127247579375</x:v>
      </x:c>
      <x:c r="M7" s="48" t="n">
        <x:f>L7/H7</x:f>
        <x:v>-0.0035961272475793747</x:v>
      </x:c>
      <x:c r="N7" s="30"/>
      <x:c r="O7" s="32"/>
      <x:c r="P7" s="32" t="str">
        <x:f>IF(OR(I7="",O7=""),"",I7*O7)</x:f>
      </x:c>
      <x:c r="Q7" s="32" t="str">
        <x:f>IF(P7="","",P7-H7)</x:f>
      </x:c>
      <x:c r="R7" s="29" t="str">
        <x:v>09/22/26 close: $144.08; position value $996.40; -$3.60 (-0.36%). USO slipped below entry as restored bypass capacity and possible Hormuz reopening compressed the crude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181.61</x:v>
      </x:c>
      <x:c r="K8" s="46" t="n">
        <x:f>I8*J8</x:f>
        <x:v>936.9067271976888</x:v>
      </x:c>
      <x:c r="L8" s="46" t="n">
        <x:f>K8-H8</x:f>
        <x:v>-63.09327280231116</x:v>
      </x:c>
      <x:c r="M8" s="48" t="n">
        <x:f>L8/H8</x:f>
        <x:v>-0.06309327280231117</x:v>
      </x:c>
      <x:c r="N8" s="30"/>
      <x:c r="O8" s="32"/>
      <x:c r="P8" s="32" t="str">
        <x:f>IF(OR(I8="",O8=""),"",I8*O8)</x:f>
      </x:c>
      <x:c r="Q8" s="32" t="str">
        <x:f>IF(P8="","",P8-H8)</x:f>
      </x:c>
      <x:c r="R8" s="29" t="str">
        <x:v>09/22/26 close: $181.61; position value $936.91; -$63.09 (-6.31%). XOP remains the weakest expression and now materially underperforms both direct crude funds,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d91cd4ee699242d2"/>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fa9698ee28384fbf"/>
  </x:tableParts>
</x:worksheet>
</file>