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bd5316ac0614c4c" /></Relationships>
</file>

<file path=xl/workbook.xml><?xml version="1.0" encoding="utf-8"?>
<x:workbook xmlns:x="http://schemas.openxmlformats.org/spreadsheetml/2006/main">
  <x:sheets>
    <x:sheet xmlns:r="http://schemas.openxmlformats.org/officeDocument/2006/relationships" name="Summary" sheetId="1" r:id="R3ff14f87220f4e54"/>
    <x:sheet xmlns:r="http://schemas.openxmlformats.org/officeDocument/2006/relationships" name="Thesis Ledger" sheetId="2" r:id="R8755db579bad4d33"/>
    <x:sheet xmlns:r="http://schemas.openxmlformats.org/officeDocument/2006/relationships" name="Evidence Log" sheetId="3" r:id="Rb3b418b19c2e4e8a"/>
    <x:sheet xmlns:r="http://schemas.openxmlformats.org/officeDocument/2006/relationships" name="Source Registry" sheetId="4" r:id="R3d86b5fa566947e1"/>
    <x:sheet xmlns:r="http://schemas.openxmlformats.org/officeDocument/2006/relationships" name="Paper Trades" sheetId="5" r:id="R0e05f15360e04938"/>
    <x:sheet xmlns:r="http://schemas.openxmlformats.org/officeDocument/2006/relationships" name="Scan Runs" sheetId="6" r:id="R7409a376f75e44a4"/>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0a9924f6c74fb5" /><Relationship Type="http://schemas.openxmlformats.org/officeDocument/2006/relationships/theme" Target="/xl/theme/theme1.xml" Id="R818978cbd5914bde" /><Relationship Type="http://schemas.openxmlformats.org/officeDocument/2006/relationships/sharedStrings" Target="/xl/sharedStrings.xml" Id="R67a6b5dd7d23469d" /><Relationship Type="http://schemas.openxmlformats.org/officeDocument/2006/relationships/worksheet" Target="/xl/worksheets/sheet1.xml" Id="R3ff14f87220f4e54" /><Relationship Type="http://schemas.openxmlformats.org/officeDocument/2006/relationships/worksheet" Target="/xl/worksheets/sheet2.xml" Id="R8755db579bad4d33" /><Relationship Type="http://schemas.openxmlformats.org/officeDocument/2006/relationships/worksheet" Target="/xl/worksheets/sheet3.xml" Id="Rb3b418b19c2e4e8a" /><Relationship Type="http://schemas.openxmlformats.org/officeDocument/2006/relationships/worksheet" Target="/xl/worksheets/sheet4.xml" Id="R3d86b5fa566947e1" /><Relationship Type="http://schemas.openxmlformats.org/officeDocument/2006/relationships/worksheet" Target="/xl/worksheets/sheet5.xml" Id="R0e05f15360e04938" /><Relationship Type="http://schemas.openxmlformats.org/officeDocument/2006/relationships/worksheet" Target="/xl/worksheets/sheet6.xml" Id="R7409a376f75e44a4"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55b66ba3674152" /></Relationships>
</file>

<file path=xl/worksheets/_rels/sheet3.xml.rels>&#65279;<?xml version="1.0" encoding="utf-8"?><Relationships xmlns="http://schemas.openxmlformats.org/package/2006/relationships"><Relationship Type="http://schemas.openxmlformats.org/officeDocument/2006/relationships/table" Target="/xl/tables/table2.xml" Id="R06ef29928ed748e6" /></Relationships>
</file>

<file path=xl/worksheets/_rels/sheet4.xml.rels>&#65279;<?xml version="1.0" encoding="utf-8"?><Relationships xmlns="http://schemas.openxmlformats.org/package/2006/relationships"><Relationship Type="http://schemas.openxmlformats.org/officeDocument/2006/relationships/table" Target="/xl/tables/table3.xml" Id="R819e05ea532b40eb" /></Relationships>
</file>

<file path=xl/worksheets/_rels/sheet5.xml.rels>&#65279;<?xml version="1.0" encoding="utf-8"?><Relationships xmlns="http://schemas.openxmlformats.org/package/2006/relationships"><Relationship Type="http://schemas.openxmlformats.org/officeDocument/2006/relationships/table" Target="/xl/tables/table4.xml" Id="R346a6aef14344d96" /></Relationships>
</file>

<file path=xl/worksheets/_rels/sheet6.xml.rels>&#65279;<?xml version="1.0" encoding="utf-8"?><Relationships xmlns="http://schemas.openxmlformats.org/package/2006/relationships"><Relationship Type="http://schemas.openxmlformats.org/officeDocument/2006/relationships/table" Target="/xl/tables/table5.xml" Id="R8cd6d622454242b1"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22</x:v>
      </x:c>
      <x:c r="C6" s="1"/>
      <x:c r="D6" s="1"/>
      <x:c r="E6" s="1"/>
      <x:c r="F6" s="1"/>
      <x:c r="G6" s="1"/>
      <x:c r="H6" s="1"/>
      <x:c r="I6" s="1"/>
      <x:c r="J6" s="1"/>
    </x:row>
    <x:row r="7">
      <x:c r="A7" s="1" t="str">
        <x:v>Open theses</x:v>
      </x:c>
      <x:c r="B7" s="40" t="n">
        <x:f>COUNTIFS('Thesis Ledger'!A6:A200,"&lt;&gt;",'Thesis Ledger'!F6:F200,"&lt;&gt;Closed",'Thesis Ledger'!F6:F200,"&lt;&gt;Invalidated")</x:f>
        <x:v>20</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2026-10-26T13:30:00.000Z</x:v>
      </x:c>
      <x:c r="X27" s="43"/>
      <x:c r="Y27" s="29"/>
      <x:c r="Z27" s="29"/>
      <x:c r="AA27" s="29"/>
      <x:c r="AB27" s="29"/>
      <x:c r="AC27" s="29"/>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str">
        <x:f>IF(COUNTIF(Y27:AC27,"&lt;&gt;")=0,"",COUNTIF(Y27:AC27,"Yes")/COUNTA(Y27:AC27))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6b55b66ba3674152"/>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row r="596">
      <x:c r="A596" t="str">
        <x:v>EV-2026-596</x:v>
      </x:c>
      <x:c r="B596" t="str">
        <x:v>EEI-2026-001</x:v>
      </x:c>
      <x:c r="C596" s="21" t="d">
        <x:v>2026-10-22T21:12:36.000Z</x:v>
      </x:c>
      <x:c r="D596" t="str">
        <x:v>Mechanism update</x:v>
      </x:c>
      <x:c r="E596" t="str">
        <x:v>Reuters / Kpler / UKMTO</x:v>
      </x:c>
      <x:c r="F596" t="str">
        <x:v>Independent analysis with shipping data</x:v>
      </x:c>
      <x:c r="G596" s="44" t="str">
        <x:v>https://www.reuters.com/commentary/reuters-open-interest/dont-mistake-mideast-oil-rebound-normality-2026-10-22/</x:v>
      </x:c>
      <x:c r="H596" s="44" t="str">
        <x:v>October Middle East exports averaged 17.3 million barrels per day, above the 16.9 million prewar benchmark, while Hormuz flows recovered to 11.7 million barrels per day, about 82% of prewar levels. Yet UKMTO reported a record 12 attacks in or around Hormuz last week; two-million-barrel tanker rates to China remained near $1.4 million per day, more than 12 times prewar levels, and insurance costs were about 10% of cargo value versus roughly 3% before the war.</x:v>
      </x:c>
      <x:c r="I596" s="44" t="str">
        <x:v>Mixed: physical supply recovered, but reliability and logistics costs remain severely impaired</x:v>
      </x:c>
      <x:c r="J596" s="44" t="n">
        <x:v>5</x:v>
      </x:c>
      <x:c r="K596" s="44" t="str">
        <x:v>Restored after the October 23 morning scan replaced the original record that had used EV-2026-589; reassigned the next available unique ID. The thesis now works more through transport reliability, insurance and escalation risk than through an outright shortage of available barrels.</x:v>
      </x:c>
    </x:row>
    <x:row r="597">
      <x:c r="A597" t="str">
        <x:v>EV-2026-597</x:v>
      </x:c>
      <x:c r="B597" t="str">
        <x:v>EEI-2026-001</x:v>
      </x:c>
      <x:c r="C597" s="21" t="d">
        <x:v>2026-10-23T20:34:55.000Z</x:v>
      </x:c>
      <x:c r="D597" t="str">
        <x:v>Paper-trade outcome</x:v>
      </x:c>
      <x:c r="E597" t="str">
        <x:v>StockAnalysis</x:v>
      </x:c>
      <x:c r="F597" t="str">
        <x:v>Market data</x:v>
      </x:c>
      <x:c r="G597" s="44" t="str">
        <x:v>https://stockanalysis.com/etf/bno/history/</x:v>
      </x:c>
      <x:c r="H597" s="44" t="str">
        <x:v>BNO closed October 23 at $70.99 versus the fixed September 8 opening entry of $57.21. The $1,000 fractional-share paper position was worth $1,240.87, a gain of $240.87 or 24.09%.</x:v>
      </x:c>
      <x:c r="I597" s="44" t="str">
        <x:v>Confirms direct Brent expression</x:v>
      </x:c>
      <x:c r="J597" s="44" t="n">
        <x:v>4</x:v>
      </x:c>
      <x:c r="K597" s="44" t="str">
        <x:v>Official regular-session close used; totals retain unrounded fractional shares.</x:v>
      </x:c>
    </x:row>
    <x:row r="598">
      <x:c r="A598" t="str">
        <x:v>EV-2026-598</x:v>
      </x:c>
      <x:c r="B598" t="str">
        <x:v>EEI-2026-001</x:v>
      </x:c>
      <x:c r="C598" s="21" t="d">
        <x:v>2026-10-23T20:34:55.000Z</x:v>
      </x:c>
      <x:c r="D598" t="str">
        <x:v>Paper-trade outcome</x:v>
      </x:c>
      <x:c r="E598" t="str">
        <x:v>StockAnalysis</x:v>
      </x:c>
      <x:c r="F598" t="str">
        <x:v>Market data</x:v>
      </x:c>
      <x:c r="G598" s="44" t="str">
        <x:v>https://stockanalysis.com/etf/uso/history/</x:v>
      </x:c>
      <x:c r="H598" s="44" t="str">
        <x:v>USO closed October 23 at $169.53 versus the fixed September 8 opening entry of $144.60. The $1,000 fractional-share paper position was worth $1,172.41, a gain of $172.41 or 17.24%.</x:v>
      </x:c>
      <x:c r="I598" s="44" t="str">
        <x:v>Confirms direct WTI expression</x:v>
      </x:c>
      <x:c r="J598" s="44" t="n">
        <x:v>4</x:v>
      </x:c>
      <x:c r="K598" s="44" t="str">
        <x:v>Official regular-session close used; the fund's futures exposure can diverge from spot WTI.</x:v>
      </x:c>
    </x:row>
    <x:row r="599">
      <x:c r="A599" t="str">
        <x:v>EV-2026-599</x:v>
      </x:c>
      <x:c r="B599" t="str">
        <x:v>EEI-2026-001</x:v>
      </x:c>
      <x:c r="C599" s="21" t="d">
        <x:v>2026-10-23T20:34:55.000Z</x:v>
      </x:c>
      <x:c r="D599" t="str">
        <x:v>Paper-trade outcome</x:v>
      </x:c>
      <x:c r="E599" t="str">
        <x:v>StockAnalysis</x:v>
      </x:c>
      <x:c r="F599" t="str">
        <x:v>Market data</x:v>
      </x:c>
      <x:c r="G599" s="44" t="str">
        <x:v>https://stockanalysis.com/etf/xop/history/</x:v>
      </x:c>
      <x:c r="H599" s="44" t="str">
        <x:v>XOP closed October 23 at $201.69 versus the fixed September 8 opening entry of $193.84. The $1,000 fractional-share paper position was worth $1,040.50, a gain of $40.50 or 4.05%.</x:v>
      </x:c>
      <x:c r="I599" s="44" t="str">
        <x:v>Positive but still weakest expression</x:v>
      </x:c>
      <x:c r="J599" s="44" t="n">
        <x:v>4</x:v>
      </x:c>
      <x:c r="K599" s="44" t="str">
        <x:v>Official regular-session close used; the producer-equity ETF retains company and equity-market mapping risk.</x:v>
      </x:c>
    </x:row>
    <x:row r="600">
      <x:c r="A600" t="str">
        <x:v>EV-2026-600</x:v>
      </x:c>
      <x:c r="B600" t="str">
        <x:v>EEI-2026-001</x:v>
      </x:c>
      <x:c r="C600" s="21" t="d">
        <x:v>2026-10-23T20:34:55.000Z</x:v>
      </x:c>
      <x:c r="D600" t="str">
        <x:v>Market confirmation</x:v>
      </x:c>
      <x:c r="E600" t="str">
        <x:v>Reuters</x:v>
      </x:c>
      <x:c r="F600" t="str">
        <x:v>High-quality independent reporting</x:v>
      </x:c>
      <x:c r="G600" s="44" t="str">
        <x:v>https://www.reuters.com/business/energy/oil-little-changed-supply-concern-lingers-amid-houthi-attacks-saudi-arabia-2026-10-23/</x:v>
      </x:c>
      <x:c r="H600" s="44" t="str">
        <x:v>Brent rose $3.55 or 3.14% to settle October 23 at $116.72, its highest since April 29, and WTI rose $3.80 or 3.8% to $103.27. Houthi attacks on Saudi energy infrastructure, Saudi Aramco's headquarters evacuation, an oil spill off the UAE and the worst October for commercial-shipping attacks in and near Hormuz reinforced disruption risk.</x:v>
      </x:c>
      <x:c r="I600" s="44" t="str">
        <x:v>Confirms renewed supply-risk premium and shipping-reliability mechanism</x:v>
      </x:c>
      <x:c r="J600" s="44" t="n">
        <x:v>5</x:v>
      </x:c>
      <x:c r="K600" s="44" t="str">
        <x:v>Regional exports and Hormuz transit have recovered substantially, so the price move reflects the risk of renewed interruption rather than proof that current barrels are broadly unavailable.</x:v>
      </x:c>
    </x:row>
    <x:row r="601">
      <x:c r="A601" t="str">
        <x:v>EV-2026-601</x:v>
      </x:c>
      <x:c r="B601"/>
      <x:c r="C601" s="21" t="d">
        <x:v>2026-10-24T12:17:49.000Z</x:v>
      </x:c>
      <x:c r="D601" t="str">
        <x:v>Cross-asset and sector close screen</x:v>
      </x:c>
      <x:c r="E601" t="str">
        <x:v>Reuters / public market data</x:v>
      </x:c>
      <x:c r="F601" t="str">
        <x:v>Independent reporting and observable official-close data</x:v>
      </x:c>
      <x:c r="G601" s="44" t="str">
        <x:v>https://www.reuters.com/business/wall-street-futures-dip-after-ai-rout-telecoms-slide-2026-10-23/</x:v>
      </x:c>
      <x:c r="H601" s="44" t="str">
        <x:v>Friday's close showed concentrated energy leadership: XLE rose 2.59% and USO 4.31%, while SPY fell 0.53%, IWM 0.36%, XLF 1.31%, XLV 1.13%, XLY 1.64% and XLP 1.92%. QQQ was about flat; TLT fell 0.49%, HYG 0.07%, GLD 0.65% and SLV 1.24%. NYSE and Nasdaq decliners led 1.72-to-1 and 1.57-to-1. Decision: no new entry from the rotation screen; energy strength confirmed the existing paper exposures but raised headline-chasing risk.</x:v>
      </x:c>
      <x:c r="I601" s="44" t="str">
        <x:v>Existing energy positions confirmed; no new order</x:v>
      </x:c>
      <x:c r="J601" s="44" t="n">
        <x:v>5</x:v>
      </x:c>
      <x:c r="K601" s="44" t="str">
        <x:v>The Nasdaq was almost unchanged and XLK rose 0.47%, so the tape was not a uniform risk-off move. Friday volume was below its 20-day average, and recovered Middle East exports remain a physical counterweight to the risk premium.</x:v>
      </x:c>
    </x:row>
    <x:row r="602">
      <x:c r="A602" t="str">
        <x:v>EV-2026-602</x:v>
      </x:c>
      <x:c r="B602"/>
      <x:c r="C602" s="21" t="d">
        <x:v>2026-10-24T12:17:49.000Z</x:v>
      </x:c>
      <x:c r="D602" t="str">
        <x:v>Crown Castle tower-demand candidate</x:v>
      </x:c>
      <x:c r="E602" t="str">
        <x:v>Crown Castle / Reuters</x:v>
      </x:c>
      <x:c r="F602" t="str">
        <x:v>Primary issuer results with independent market reporting</x:v>
      </x:c>
      <x:c r="G602" s="44" t="str">
        <x:v>https://investor.crowncastle.com/node/29361</x:v>
      </x:c>
      <x:c r="H602" s="44" t="str">
        <x:v>Crown Castle closed October 23 at $85.97, up 9.1%, after reporting that SpaceX was seeking access to at least 80,000 U.S. cell sites. Primary Q3 results showed AFFO per share up 11% and a raised AFFO outlook, but site-rental revenue fell 5%, adjusted EBITDA fell 6%, net income fell 12% and full-year site-rental revenue and EBITDA are still expected to decline. Decision: REJECT a weekend entry after the gap; reopen only with primary contract economics and a fresh regular-session price that restores downside protection.</x:v>
      </x:c>
      <x:c r="I602" s="44" t="str">
        <x:v>Rejected current entry; rumor-driven gap</x:v>
      </x:c>
      <x:c r="J602" s="44" t="n">
        <x:v>5</x:v>
      </x:c>
      <x:c r="K602" s="44" t="str">
        <x:v>SpaceX and the tower companies had not confirmed a binding contract. The 9.1% one-day move may have capitalized a multi-year opportunity immediately, while interest rates, leverage and shrinking reported revenue and EBITDA remain material risks.</x:v>
      </x:c>
    </x:row>
    <x:row r="603">
      <x:c r="A603" t="str">
        <x:v>EV-2026-603</x:v>
      </x:c>
      <x:c r="B603"/>
      <x:c r="C603" s="21" t="d">
        <x:v>2026-10-24T12:17:49.000Z</x:v>
      </x:c>
      <x:c r="D603" t="str">
        <x:v>Robert Half earnings-recovery candidate</x:v>
      </x:c>
      <x:c r="E603" t="str">
        <x:v>Robert Half / SEC</x:v>
      </x:c>
      <x:c r="F603" t="str">
        <x:v>Primary SEC-filed issuer results</x:v>
      </x:c>
      <x:c r="G603" s="44" t="str">
        <x:v>https://www.sec.gov/Archives/edgar/data/315213/000031521326000049/rhiq32026ex991.htm</x:v>
      </x:c>
      <x:c r="H603" s="44" t="str">
        <x:v>Robert Half reported Q3 revenue of $1.359 billion versus $1.354 billion, net income of $50 million versus $43 million and adjusted operating margin of 5.3% versus 4.5%. Talent Solutions returned to adjusted year-over-year growth for the first time since 2022. RHI then closed near $46.39, up about 23%. Decision: REJECT a current paper entry after the gap; require follow-through in revenue, cash conversion and hiring demand at a fresh price.</x:v>
      </x:c>
      <x:c r="I603" s="44" t="str">
        <x:v>Rejected post-earnings chase</x:v>
      </x:c>
      <x:c r="J603" s="44" t="n">
        <x:v>5</x:v>
      </x:c>
      <x:c r="K603" s="44" t="str">
        <x:v>Nine-month revenue remained down 2%, net income fell to $90 million from $101 million, and nine-month net cash before financing of $47.1 million was far below the approximately $179.8 million of dividends paid. The 23% move compressed the margin of safety.</x:v>
      </x:c>
    </x:row>
    <x:row r="604">
      <x:c r="A604" t="str">
        <x:v>EV-2026-604</x:v>
      </x:c>
      <x:c r="B604"/>
      <x:c r="C604" s="21" t="d">
        <x:v>2026-10-24T12:17:49.000Z</x:v>
      </x:c>
      <x:c r="D604" t="str">
        <x:v>Motley Fool AVGO and ADBE idea screen</x:v>
      </x:c>
      <x:c r="E604" t="str">
        <x:v>The Motley Fool / Daniel Sparks</x:v>
      </x:c>
      <x:c r="F604" t="str">
        <x:v>Free editorial trigger only; primary issuer results checked separately</x:v>
      </x:c>
      <x:c r="G604" s="44" t="str">
        <x:v>https://www.fool.com/investing/2026/10/24/2-unloved-stocks-of-2026-to-consider-buying-now/</x:v>
      </x:c>
      <x:c r="H604" s="44" t="str">
        <x:v>A free October 24, 5:23 a.m. ET editorial proposed gradually buying Broadcom and Adobe, citing AVGO's fiscal-Q3 revenue of $29.6 billion and $13.7 billion of free cash flow, and Adobe's $6.76 billion of revenue, $6.13 adjusted EPS and raised full-year target. The author and clients disclosed no positions; The Motley Fool disclosed positions and recommendations in both plus an Adobe option spread. Decision: reject escalation today because the catalysts were more than a month old, markets were closed and no fresh issuer event created a current entry.</x:v>
      </x:c>
      <x:c r="I604" s="44" t="str">
        <x:v>Rejected trigger escalation; no stale weekend action</x:v>
      </x:c>
      <x:c r="J604" s="44" t="n">
        <x:v>4</x:v>
      </x:c>
      <x:c r="K604" s="44" t="str">
        <x:v>AVGO's top five customers represented about 55% of revenue, creating concentration and AI-capital-cycle risk. Adobe still faces slowing growth and AI substitution risk. The editorial is opinion, not independent confirmation, and its valuation claims depend on adjusted and forward earnings.</x:v>
      </x:c>
    </x:row>
    <x:row r="605">
      <x:c r="A605" t="str">
        <x:v>EV-2026-605</x:v>
      </x:c>
      <x:c r="B605"/>
      <x:c r="C605" s="21" t="d">
        <x:v>2026-10-24T12:17:49.000Z</x:v>
      </x:c>
      <x:c r="D605" t="str">
        <x:v>Motley Fool PepsiCo income idea screen</x:v>
      </x:c>
      <x:c r="E605" t="str">
        <x:v>The Motley Fool / Will Healy</x:v>
      </x:c>
      <x:c r="F605" t="str">
        <x:v>Free editorial trigger only; SEC and issuer records checked separately</x:v>
      </x:c>
      <x:c r="G605" s="44" t="str">
        <x:v>https://www.fool.com/investing/2026/10/24/want-income-for-life-pepsico-yields-43-and-has-the/</x:v>
      </x:c>
      <x:c r="H605" s="44" t="str">
        <x:v>A free October 24, 5:55 a.m. ET editorial proposed PepsiCo for its 4.3% yield, 54-year dividend-growth record, $10.8 billion trailing free cash flow and roughly 17-times earnings valuation. The author and The Motley Fool disclosed no position. Primary Q3 records confirmed $25.274 billion of revenue and $3.048 billion of net income. Decision: reject escalation; the October 8 results were not a fresh catalyst, and the closed market precluded a current executable decision.</x:v>
      </x:c>
      <x:c r="I605" s="44" t="str">
        <x:v>Rejected trigger escalation</x:v>
      </x:c>
      <x:c r="J605" s="44" t="n">
        <x:v>4</x:v>
      </x:c>
      <x:c r="K605" s="44" t="str">
        <x:v>PepsiCo cut its 2026 profit outlook, North American recovery and margins lag, and debt remains substantial. Trailing free cash flow covered the dividend, but dividend safety alone does not establish near-term total-return upside at Friday's $135.77 close.</x:v>
      </x:c>
    </x:row>
    <x:row r="606">
      <x:c r="A606" t="str">
        <x:v>EV-2026-606</x:v>
      </x:c>
      <x:c r="B606"/>
      <x:c r="C606" s="21" t="d">
        <x:v>2026-10-24T12:17:49.000Z</x:v>
      </x:c>
      <x:c r="D606" t="str">
        <x:v>Federal-contract award screen</x:v>
      </x:c>
      <x:c r="E606" t="str">
        <x:v>Department of War / AwardTape</x:v>
      </x:c>
      <x:c r="F606" t="str">
        <x:v>Official announcement restatement with award-record analysis</x:v>
      </x:c>
      <x:c r="G606" s="44" t="str">
        <x:v>https://awardtape.com/contracts/2026-10-23/</x:v>
      </x:c>
      <x:c r="H606" s="44" t="str">
        <x:v>The October 23 release contained eight actions totaling about $3.0 billion. Fluor Marine Propulsion's $2.409 billion modification to N0002418C2130 obligated only $597,900 at the action; Vitol's $230.1 million IDIQ showed no initial obligation; Huntington Ingalls/Oceaneering's $98.1 million action was a ceiling increase with no initial obligation. Lockheed's $114.6 million F-35 order and Northrop's $43.9 million Trident facility contract were fully obligated but immaterial to their parents. Decision: no new listed-equity thesis.</x:v>
      </x:c>
      <x:c r="I606" s="44" t="str">
        <x:v>No qualifying public-company catalyst</x:v>
      </x:c>
      <x:c r="J606" s="44" t="n">
        <x:v>5</x:v>
      </x:c>
      <x:c r="K606" s="44" t="str">
        <x:v>The largest figures were modifications, ceilings or private-company vehicles rather than unexpected current revenue. Public-parent awards were too small relative to consolidated revenue and backlog to create a distinct thesis; the Hampton Roads barracks close involved a private developer.</x:v>
      </x:c>
    </x:row>
    <x:row r="607">
      <x:c r="A607" t="str">
        <x:v>EV-2026-607</x:v>
      </x:c>
      <x:c r="B607" t="str">
        <x:v>EEI-2026-001</x:v>
      </x:c>
      <x:c r="C607" s="21" t="d">
        <x:v>2026-10-24T12:17:49.000Z</x:v>
      </x:c>
      <x:c r="D607" t="str">
        <x:v>Paper-portfolio material-change review</x:v>
      </x:c>
      <x:c r="E607" t="str">
        <x:v>StockAnalysis / ledger calculations</x:v>
      </x:c>
      <x:c r="F607" t="str">
        <x:v>Official-close market data and fixed historical paper units</x:v>
      </x:c>
      <x:c r="G607" s="44" t="str">
        <x:v>https://stockanalysis.com/etf/bno/history/</x:v>
      </x:c>
      <x:c r="H607" s="44" t="str">
        <x:v>Using the fixed September 8 paper units and the already logged October 23 closes, BNO, USO and XOP were worth $3,453.77 in total, up $453.77 or 15.13% on $3,000. The one-day change from the October 22 total of $3,344.00 was $109.77 or 3.28%. SPY closed at $759.97 versus its September 8 open of $769.07, a decline of 1.18%, so the paper portfolio led by 16.31 percentage points. Decision: hold the three recorded paper positions; do not add after the oil gap.</x:v>
      </x:c>
      <x:c r="I607" s="44" t="str">
        <x:v>Material portfolio change; concise notification warranted</x:v>
      </x:c>
      <x:c r="J607" s="44" t="n">
        <x:v>5</x:v>
      </x:c>
      <x:c r="K607" s="44" t="str">
        <x:v>The outperformance is concentrated in one geopolitical energy thesis and is not diversified. BNO and USO embed futures-structure risk, XOP adds equity and company risk, and Middle East export volumes have materially recovered despite continuing shipping and attack risk.</x:v>
      </x:c>
    </x:row>
    <x:row r="608">
      <x:c r="A608" t="str">
        <x:v>EV-2026-608</x:v>
      </x:c>
      <x:c r="B608" t="str">
        <x:v>EEI-2026-001</x:v>
      </x:c>
      <x:c r="C608" s="21" t="d">
        <x:v>2026-10-25T12:43:55.000Z</x:v>
      </x:c>
      <x:c r="D608" t="str">
        <x:v>Middle East conflict and energy-paper review</x:v>
      </x:c>
      <x:c r="E608" t="str">
        <x:v>Reuters</x:v>
      </x:c>
      <x:c r="F608" t="str">
        <x:v>Independent regional-market reporting and the existing fixed paper ledger</x:v>
      </x:c>
      <x:c r="G608" s="44" t="str">
        <x:v>https://www.reuters.com/world/middle-east/gulf-bourses-slip-houthi-saudi-clashes-rattle-investors-2026-10-25/</x:v>
      </x:c>
      <x:c r="H608" s="44" t="str">
        <x:v>Saudi Arabia's benchmark fell 2.6%, Saudi Aramco 1.1% and Egypt's EGX30 2.5% on Sunday as Saudi forces intercepted drones and missiles and Yemen fighting intensified. The escalation supports the existing geopolitical energy variable, but U.S. markets were closed and October 23 closes remain reference prices only. Decision: HOLD the existing BNO, USO and XOP paper positions; do not add without a fresh regular-session quote and a renewed reward-to-invalidation check.</x:v>
      </x:c>
      <x:c r="I608" s="44" t="str">
        <x:v>Hold existing positions; no add while market closed</x:v>
      </x:c>
      <x:c r="J608" s="44" t="n">
        <x:v>5</x:v>
      </x:c>
      <x:c r="K608" s="44" t="str">
        <x:v>The regional equity selloff is risk confirmation, not direct evidence of a new physical supply loss. Recovered Middle East exports, a possible de-escalation and a Monday gap could rapidly compress the oil risk premium; the paper portfolio remains concentrated in one thesis.</x:v>
      </x:c>
    </x:row>
    <x:row r="609">
      <x:c r="A609" t="str">
        <x:v>EV-2026-609</x:v>
      </x:c>
      <x:c r="B609"/>
      <x:c r="C609" s="21" t="d">
        <x:v>2026-10-25T12:43:55.000Z</x:v>
      </x:c>
      <x:c r="D609" t="str">
        <x:v>Bloom Energy post-earnings dislocation</x:v>
      </x:c>
      <x:c r="E609" t="str">
        <x:v>Bloom Energy</x:v>
      </x:c>
      <x:c r="F609" t="str">
        <x:v>Primary issuer results and observable official-close data</x:v>
      </x:c>
      <x:c r="G609" s="44" t="str">
        <x:v>https://investor.bloomenergy.com/press-releases/press-release-details/2026/Bloom-Energy-Reports-Record-Third-Quarter-2026-Financial-Results-and-Raises-Full-Year-2026-Guidance/default.aspx</x:v>
      </x:c>
      <x:c r="H609" s="44" t="str">
        <x:v>Bloom Energy reported Q3 revenue of $1.236 billion, up 138%, GAAP gross margin of 33.8%, operating income of $225 million and EPS of $0.78, and raised 2026 revenue guidance to $4.4-$4.6 billion. It closed October 23 at $193.30, down 11.3%. Decision: REJECT a weekend paper entry despite the growth because the approximately 118-times trailing earnings valuation, negative free cash flow, rising contract assets and inventory, dilution and roughly $2.5 billion of recourse debt leave inadequate downside protection without a fresh executable price.</x:v>
      </x:c>
      <x:c r="I609" s="44" t="str">
        <x:v>Rejected current entry</x:v>
      </x:c>
      <x:c r="J609" s="44" t="n">
        <x:v>5</x:v>
      </x:c>
      <x:c r="K609" s="44" t="str">
        <x:v>Cash and restricted cash of about $3.7 billion are meaningful, but shares outstanding rose to 295.5 million from 280.0 million, Q3 free cash flow was materially negative, and execution requires very large capital and working-capital commitments. The stock remained more than double its prior-year level even after the decline.</x:v>
      </x:c>
    </x:row>
    <x:row r="610">
      <x:c r="A610" t="str">
        <x:v>EV-2026-610</x:v>
      </x:c>
      <x:c r="B610"/>
      <x:c r="C610" s="21" t="d">
        <x:v>2026-10-25T12:43:55.000Z</x:v>
      </x:c>
      <x:c r="D610" t="str">
        <x:v>Comfort Systems earnings dislocation</x:v>
      </x:c>
      <x:c r="E610" t="str">
        <x:v>Comfort Systems USA</x:v>
      </x:c>
      <x:c r="F610" t="str">
        <x:v>Primary issuer results and observable official-close data</x:v>
      </x:c>
      <x:c r="G610" s="44" t="str">
        <x:v>https://investors.comfortsystemsusa.com/news-events/news-releases/</x:v>
      </x:c>
      <x:c r="H610" s="44" t="str">
        <x:v>Comfort Systems reported quarterly revenue of about $3.77 billion, up 54%, EPS of $13.91 and backlog of $17.81 billion, up about 90%. FIX closed October 23 at $1,160.86, down 9.35%. Decision: REJECT a weekend entry; powerful data-center and industrial demand is already embedded in a roughly $40.8 billion valuation, sequential margin softening and cyclical execution risk, and no current executable quote was available.</x:v>
      </x:c>
      <x:c r="I610" s="44" t="str">
        <x:v>Rejected current entry</x:v>
      </x:c>
      <x:c r="J610" s="44" t="n">
        <x:v>4</x:v>
      </x:c>
      <x:c r="K610" s="44" t="str">
        <x:v>Backlog gives visibility but does not remove labor, project-mix, acquisition-integration or data-center concentration risk. The share price remains far above its pre-boom structure, so a one-day drop alone does not establish a margin of safety.</x:v>
      </x:c>
    </x:row>
    <x:row r="611">
      <x:c r="A611" t="str">
        <x:v>EV-2026-611</x:v>
      </x:c>
      <x:c r="B611"/>
      <x:c r="C611" s="21" t="d">
        <x:v>2026-10-25T12:43:55.000Z</x:v>
      </x:c>
      <x:c r="D611" t="str">
        <x:v>Hasbro raised-guidance momentum screen</x:v>
      </x:c>
      <x:c r="E611" t="str">
        <x:v>Hasbro</x:v>
      </x:c>
      <x:c r="F611" t="str">
        <x:v>Primary issuer results and observable official-close data</x:v>
      </x:c>
      <x:c r="G611" s="44" t="str">
        <x:v>https://investor.hasbro.com/news-releases/news-release-details/hasbro-reports-third-quarter-2026-financial-results</x:v>
      </x:c>
      <x:c r="H611" s="44" t="str">
        <x:v>Hasbro reported Q3 revenue up 15%, Wizards and Digital Gaming revenue up 31%, adjusted operating profit up 52%, and raised its full-year revenue outlook to growth of 7%-9% with adjusted EBITDA of $1.575-$1.625 billion. HAS closed October 23 at $117.44 after gaining about 18.9% for the week. Decision: REJECT a post-results weekend entry; the rapid repricing, concentration in Magic and a $55 million tariff refund reduce confidence that the reported acceleration is fully repeatable.</x:v>
      </x:c>
      <x:c r="I611" s="44" t="str">
        <x:v>Rejected post-results chase</x:v>
      </x:c>
      <x:c r="J611" s="44" t="n">
        <x:v>5</x:v>
      </x:c>
      <x:c r="K611" s="44" t="str">
        <x:v>Consumer Products grew only 4%, the tariff refund flattered the quarter, and franchise concentration raises volatility. A fresh regular-session quote and holiday sell-through would be required before reconsideration.</x:v>
      </x:c>
    </x:row>
    <x:row r="612">
      <x:c r="A612" t="str">
        <x:v>EV-2026-612</x:v>
      </x:c>
      <x:c r="B612"/>
      <x:c r="C612" s="21" t="d">
        <x:v>2026-10-25T12:43:55.000Z</x:v>
      </x:c>
      <x:c r="D612" t="str">
        <x:v>Roper Technologies raised-guidance momentum screen</x:v>
      </x:c>
      <x:c r="E612" t="str">
        <x:v>Roper Technologies</x:v>
      </x:c>
      <x:c r="F612" t="str">
        <x:v>Primary issuer results and observable official-close data</x:v>
      </x:c>
      <x:c r="G612" s="44" t="str">
        <x:v>https://www.ropertech.com/news-releases/news-release-details/roper-technologies-announces-third-quarter-financial-results-2</x:v>
      </x:c>
      <x:c r="H612" s="44" t="str">
        <x:v>Roper reported Q3 revenue up 8% to $2.17 billion, organic revenue up 7%, adjusted EBITDA up 7% to $864 million and adjusted EPS up 15% to $5.89, and raised full-year adjusted diluted EPS guidance to $22.35-$22.40. ROP closed October 23 at $438.14 after a roughly 16% weekly rise. Decision: REJECT a weekend entry after the repricing; recurring software economics are attractive, but the one-week move and 40-basis-point EBITDA-margin decline leave insufficient current edge without a fresh quote.</x:v>
      </x:c>
      <x:c r="I612" s="44" t="str">
        <x:v>Rejected post-results chase</x:v>
      </x:c>
      <x:c r="J612" s="44" t="n">
        <x:v>5</x:v>
      </x:c>
      <x:c r="K612" s="44" t="str">
        <x:v>Acquisition execution and capital allocation remain essential to compounding, while elevated rates can pressure valuation. The strong operating report is confirmation of quality, not an automatically favorable entry price.</x:v>
      </x:c>
    </x:row>
    <x:row r="613">
      <x:c r="A613" t="str">
        <x:v>EV-2026-613</x:v>
      </x:c>
      <x:c r="B613"/>
      <x:c r="C613" s="21" t="d">
        <x:v>2026-10-25T12:43:55.000Z</x:v>
      </x:c>
      <x:c r="D613" t="str">
        <x:v>Applied Digital insider-buy dislocation</x:v>
      </x:c>
      <x:c r="E613" t="str">
        <x:v>Applied Digital / SEC</x:v>
      </x:c>
      <x:c r="F613" t="str">
        <x:v>Primary issuer results and public insider filings</x:v>
      </x:c>
      <x:c r="G613" s="44" t="str">
        <x:v>https://ir.applieddigital.com/news-events/press-releases/detail/163/applied-digital-reports-fiscal-first-quarter-2027-results</x:v>
      </x:c>
      <x:c r="H613" s="44" t="str">
        <x:v>Applied Digital insiders disclosed sizable open-market purchases after the share decline, including roughly $1 million by the CEO and about $5.7 million by the president. Fiscal Q1 revenue rose 322% to $341.9 million, but the company lost $221 million and reported about $6.4 billion of debt against $3.7 billion of cash and restricted cash. APLD closed October 23 at $18.25. Decision: REJECT a current entry; insider alignment is supportive but does not offset financing, dilution, construction and cash-burn risk.</x:v>
      </x:c>
      <x:c r="I613" s="44" t="str">
        <x:v>Rejected insider-buy signal</x:v>
      </x:c>
      <x:c r="J613" s="44" t="n">
        <x:v>4</x:v>
      </x:c>
      <x:c r="K613" s="44" t="str">
        <x:v>The CEO sold roughly $6 million of stock in January, and large purchases can still lose money. Capital needs are unusually high, net losses remain substantial and customer or project delays could force unfavorable financing.</x:v>
      </x:c>
    </x:row>
    <x:row r="614">
      <x:c r="A614" t="str">
        <x:v>EV-2026-614</x:v>
      </x:c>
      <x:c r="B614"/>
      <x:c r="C614" s="21" t="d">
        <x:v>2026-10-25T12:43:55.000Z</x:v>
      </x:c>
      <x:c r="D614" t="str">
        <x:v>Motley Fool weekend trigger screen</x:v>
      </x:c>
      <x:c r="E614" t="str">
        <x:v>The Motley Fool / Eric Volkman and Daniel Sparks</x:v>
      </x:c>
      <x:c r="F614" t="str">
        <x:v>Free editorial triggers only; primary issuer results checked separately</x:v>
      </x:c>
      <x:c r="G614" s="44" t="str">
        <x:v>https://www.fool.com/investing/2026/10/25/is-spotify-technology-sa-a-buy-after-its-latest-earnings-report/</x:v>
      </x:c>
      <x:c r="H614" s="44" t="str">
        <x:v>Free October 25 editorials highlighted Spotify after earnings and Microsoft at a lower preferred purchase price. Spotify's primary results confirmed revenue near EUR5.0 billion, 306 million subscribers, 33% gross margin, EUR672 million operating income and EUR735 million free cash flow, but SPOT had already jumped 11.1% on October 22 and traded near 52-times forward earnings. Microsoft traded at $524.51 ahead of October 28 earnings; the article itself preferred a price about 12% lower. Decision: treat both as idea triggers only and REJECT weekend escalation at stale prices.</x:v>
      </x:c>
      <x:c r="I614" s="44" t="str">
        <x:v>Rejected trigger escalation</x:v>
      </x:c>
      <x:c r="J614" s="44" t="n">
        <x:v>4</x:v>
      </x:c>
      <x:c r="K614" s="44" t="str">
        <x:v>Neither editorial independently confirms a catalyst or favorable entry. Spotify's growth is increasingly priced, while Microsoft's AI capital spending compresses near-term free-cash-flow conversion and the next earnings release creates gap risk. No paid recommendation was inferred or accessed.</x:v>
      </x:c>
    </x:row>
  </x:sheetData>
  <x:mergeCells>
    <x:mergeCell ref="A2:K2"/>
  </x:mergeCells>
  <x:pageMargins left="0.7" right="0.7" top="0.75" bottom="0.75" header="0.3" footer="0.3"/>
  <x:tableParts count="1">
    <x:tablePart xmlns:r="http://schemas.openxmlformats.org/officeDocument/2006/relationships" r:id="R06ef29928ed748e6"/>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819e05ea532b40eb"/>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70.99</x:v>
      </x:c>
      <x:c r="K6" s="46" t="n">
        <x:f>I6*J6</x:f>
        <x:v>1240.866981296976</x:v>
      </x:c>
      <x:c r="L6" s="46" t="n">
        <x:f>K6-H6</x:f>
        <x:v>240.86698129697606</x:v>
      </x:c>
      <x:c r="M6" s="48" t="n">
        <x:f>L6/H6</x:f>
        <x:v>0.24086698129697606</x:v>
      </x:c>
      <x:c r="N6" s="30"/>
      <x:c r="O6" s="32"/>
      <x:c r="P6" s="32" t="str">
        <x:f>IF(OR(I6="",O6=""),"",I6*O6)</x:f>
      </x:c>
      <x:c r="Q6" s="32" t="str">
        <x:f>IF(P6="","",P6-H6)</x:f>
      </x:c>
      <x:c r="R6" s="29" t="str">
        <x:v>10/23/26 close: $70.99; position value $1,240.87; +$240.87 (+24.09%). BNO rose 3.02% as Brent climbed 3.14% to $116.72. Houthi attacks on Saudi infrastructure and record maritime-security incidents strengthened the risk premium.</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169.53</x:v>
      </x:c>
      <x:c r="K7" s="46" t="n">
        <x:f>I7*J7</x:f>
        <x:v>1172.4066390041494</x:v>
      </x:c>
      <x:c r="L7" s="46" t="n">
        <x:f>K7-H7</x:f>
        <x:v>172.40663900414938</x:v>
      </x:c>
      <x:c r="M7" s="48" t="n">
        <x:f>L7/H7</x:f>
        <x:v>0.17240663900414938</x:v>
      </x:c>
      <x:c r="N7" s="30"/>
      <x:c r="O7" s="32"/>
      <x:c r="P7" s="32" t="str">
        <x:f>IF(OR(I7="",O7=""),"",I7*O7)</x:f>
      </x:c>
      <x:c r="Q7" s="32" t="str">
        <x:f>IF(P7="","",P7-H7)</x:f>
      </x:c>
      <x:c r="R7" s="29" t="str">
        <x:v>10/23/26 close: $169.53; position value $1,172.41; +$172.41 (+17.24%). USO rose 4.32% as WTI gained 3.8% to $103.27. The renewed supply-risk move outweighed emergency reserve releases and incoming Russian diesel.</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201.69</x:v>
      </x:c>
      <x:c r="K8" s="46" t="n">
        <x:f>I8*J8</x:f>
        <x:v>1040.4973173751548</x:v>
      </x:c>
      <x:c r="L8" s="46" t="n">
        <x:f>K8-H8</x:f>
        <x:v>40.49731737515481</x:v>
      </x:c>
      <x:c r="M8" s="48" t="n">
        <x:f>L8/H8</x:f>
        <x:v>0.04049731737515481</x:v>
      </x:c>
      <x:c r="N8" s="30"/>
      <x:c r="O8" s="32"/>
      <x:c r="P8" s="32" t="str">
        <x:f>IF(OR(I8="",O8=""),"",I8*O8)</x:f>
      </x:c>
      <x:c r="Q8" s="32" t="str">
        <x:f>IF(P8="","",P8-H8)</x:f>
      </x:c>
      <x:c r="R8" s="29" t="str">
        <x:v>10/23/26 close: $201.69; position value $1,040.50; +$40.50 (+4.05%). XOP rose 2.45% but still trails both direct crude funds, consistent with additional producer-company and equity-market risks.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346a6aef14344d96"/>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t="str">
        <x:v>RUN-2026-10-24-0817</x:v>
      </x:c>
      <x:c r="B67" s="28" t="d">
        <x:v>2026-10-24T12:17:49.000Z</x:v>
      </x:c>
      <x:c r="C67" s="27" t="str">
        <x:v>Easy E Invest daily scan — weekend discovery and material portfolio review</x:v>
      </x:c>
      <x:c r="D67" s="29" t="str">
        <x:v>More than two thirds of research effort was allocated outside the existing watchlist. Weekend public-data coverage included all major equity sectors through sector ETFs, earnings and mover screens; broad ETFs; Treasury duration and high-yield credit; gold, silver, crude and natural gas; valuation dislocations; corporate actions and accessible insider channels; federal awards and policy; supply and inventory developments; and newly published public Motley Fool ideas. Deep comparisons focused on Crown Castle, Robert Half, Broadcom, Adobe, PepsiCo, the October 23 federal-award slate and the existing energy paper portfolio.</x:v>
      </x:c>
      <x:c r="E67" s="29" t="str">
        <x:v>Crown Castle and Robert Half primary results; SEC and issuer records for Broadcom, Adobe and PepsiCo; Reuters; Department of War/AwardTape; official-close public market data; and free Motley Fool editorials. U.S. cash markets were closed, so Friday closes were comparison prices rather than executable Saturday quotes. No proprietary-flow feed, consolidated order book, paid research, complete real-time insider census or portfolio-capital rule was available; coverage was broad but not exhaustive.</x:v>
      </x:c>
      <x:c r="F67" s="29" t="n">
        <x:v>45</x:v>
      </x:c>
      <x:c r="G67" s="29" t="n">
        <x:v>7</x:v>
      </x:c>
      <x:c r="H67" s="29" t="n">
        <x:v>0</x:v>
      </x:c>
      <x:c r="I67" s="29" t="str">
        <x:v>Yes</x:v>
      </x:c>
      <x:c r="J67" s="29" t="str">
        <x:v>No new paper entry or priced pending order qualified. Crown Castle and Robert Half were explicitly rejected at current weekend reference prices after 9.1% and roughly 23% one-day gaps; the former still has declining reported site-rental revenue and EBITDA and an unconfirmed SpaceX catalyst, while the latter has only modest top-line recovery and nine-month cash generation below dividends paid. Public Motley Fool ideas in Broadcom, Adobe and PepsiCo were treated only as triggers; their factual claims were checked against primary records, but the cited catalysts were weeks old and did not justify stale weekend action. The October 23 federal screen was dominated by modifications, ceilings, private recipients or immaterial public-parent awards. Actual paper positions remain BNO, USO and XOP only. At the October 23 official close they were worth $3,453.77, up $453.77 (+15.13%) on $3,000 and up $109.77 (+3.28%) in one day, versus SPY down 1.18% from the September 8 open; the 16.31-point relative lead is concentrated in one geopolitical energy thesis. Hold existing paper positions and do not add after the oil gap. The material portfolio move warrants one concise notification. No real trade was recommended or executed.</x:v>
      </x:c>
    </x:row>
    <x:row r="68">
      <x:c r="A68" s="27" t="str">
        <x:v>RUN-2026-10-25-0843</x:v>
      </x:c>
      <x:c r="B68" s="28" t="d">
        <x:v>2026-10-25T12:43:55.000Z</x:v>
      </x:c>
      <x:c r="C68" s="27" t="str">
        <x:v>Easy E Invest daily scan — weekend cross-asset discovery and decision review</x:v>
      </x:c>
      <x:c r="D68" s="29" t="str">
        <x:v>More than two thirds of research effort was allocated outside the existing watchlist. Public-data coverage included all major equity sectors through sector ETFs and earnings/mover screens; broad ETFs; Treasury duration and high-yield credit; gold, silver, crude and natural gas; earnings and guidance surprises; price and relative-strength dislocations; valuation with identifiable catalysts; corporate actions and public insider filings; regulatory, federal-award and policy channels; physical supply and inventory developments; and newly published free Motley Fool ideas. Deep comparisons focused on Bloom Energy, Comfort Systems, Hasbro, Roper Technologies, Applied Digital, Spotify and Microsoft, plus the existing energy paper exposure after renewed Middle East escalation.</x:v>
      </x:c>
      <x:c r="E68" s="29" t="str">
        <x:v>Primary issuer results for BE, FIX, HAS, ROP, APLD, SPOT and MSFT; Reuters regional-market reporting; public insider filings; government and regulatory releases; official-close public market data; and free Motley Fool editorials as triggers only. U.S. cash markets were closed, so October 23 closes were references rather than executable Sunday quotes. No proprietary-flow feed, consolidated order book, paid research, complete real-time insider census or portfolio-capital rule was available; coverage was broad but not exhaustive.</x:v>
      </x:c>
      <x:c r="F68" s="29" t="n">
        <x:v>47</x:v>
      </x:c>
      <x:c r="G68" s="29" t="n">
        <x:v>7</x:v>
      </x:c>
      <x:c r="H68" s="29" t="n">
        <x:v>0</x:v>
      </x:c>
      <x:c r="I68" s="29" t="str">
        <x:v>No</x:v>
      </x:c>
      <x:c r="J68" s="29" t="str">
        <x:v>No new paper entry or priced pending order qualified. Bloom Energy, Comfort Systems, Hasbro, Roper Technologies and Applied Digital were explicitly rejected at weekend reference prices after considering catalyst materiality, valuation, cash flow, balance sheet, dilution, concentration, already-priced risk and the lack of a contemporaneous executable quote. Free Motley Fool items on Spotify and Microsoft were treated only as idea triggers; Spotify had already repriced sharply after earnings and Microsoft remained above the writer's own preferred price ahead of October 28 results. Sunday regional-market losses after renewed Saudi-Houthi escalation support the existing oil-risk variable but do not prove a new physical supply disruption. Actual paper positions remain BNO, USO and XOP only; no new market mark was available, so their last verified October 23 value remains $3,453.77, up $453.77 (+15.13%) on $3,000. Decision: hold the three existing positions and do not add while U.S. markets are closed; reassess with a fresh regular-session quote and gap-aware reward-to-invalidation test. No notification threshold was met and no email was sent. No real trade was recommended or executed.</x:v>
      </x:c>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8cd6d622454242b1"/>
  </x:tableParts>
</x:worksheet>
</file>