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ce0f923e13944e4" /></Relationships>
</file>

<file path=xl/workbook.xml><?xml version="1.0" encoding="utf-8"?>
<x:workbook xmlns:x="http://schemas.openxmlformats.org/spreadsheetml/2006/main">
  <x:sheets>
    <x:sheet xmlns:r="http://schemas.openxmlformats.org/officeDocument/2006/relationships" name="Summary" sheetId="1" r:id="Rcf77ed1e91ee4b7d"/>
    <x:sheet xmlns:r="http://schemas.openxmlformats.org/officeDocument/2006/relationships" name="Thesis Ledger" sheetId="2" r:id="R3e64e2afae484d25"/>
    <x:sheet xmlns:r="http://schemas.openxmlformats.org/officeDocument/2006/relationships" name="Evidence Log" sheetId="3" r:id="R7bc2202278254238"/>
    <x:sheet xmlns:r="http://schemas.openxmlformats.org/officeDocument/2006/relationships" name="Source Registry" sheetId="4" r:id="Rcdcaf780f9144043"/>
    <x:sheet xmlns:r="http://schemas.openxmlformats.org/officeDocument/2006/relationships" name="Paper Trades" sheetId="5" r:id="Rcedeb2193e874ca5"/>
    <x:sheet xmlns:r="http://schemas.openxmlformats.org/officeDocument/2006/relationships" name="Scan Runs" sheetId="6" r:id="Rf7e9578bf4ea4aa9"/>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2735063d241406e" /><Relationship Type="http://schemas.openxmlformats.org/officeDocument/2006/relationships/theme" Target="/xl/theme/theme1.xml" Id="R2774af1712c54b23" /><Relationship Type="http://schemas.openxmlformats.org/officeDocument/2006/relationships/sharedStrings" Target="/xl/sharedStrings.xml" Id="Re5d62a4f68654191" /><Relationship Type="http://schemas.openxmlformats.org/officeDocument/2006/relationships/worksheet" Target="/xl/worksheets/sheet1.xml" Id="Rcf77ed1e91ee4b7d" /><Relationship Type="http://schemas.openxmlformats.org/officeDocument/2006/relationships/worksheet" Target="/xl/worksheets/sheet2.xml" Id="R3e64e2afae484d25" /><Relationship Type="http://schemas.openxmlformats.org/officeDocument/2006/relationships/worksheet" Target="/xl/worksheets/sheet3.xml" Id="R7bc2202278254238" /><Relationship Type="http://schemas.openxmlformats.org/officeDocument/2006/relationships/worksheet" Target="/xl/worksheets/sheet4.xml" Id="Rcdcaf780f9144043" /><Relationship Type="http://schemas.openxmlformats.org/officeDocument/2006/relationships/worksheet" Target="/xl/worksheets/sheet5.xml" Id="Rcedeb2193e874ca5" /><Relationship Type="http://schemas.openxmlformats.org/officeDocument/2006/relationships/worksheet" Target="/xl/worksheets/sheet6.xml" Id="Rf7e9578bf4ea4aa9"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7ee703641bd4672" /></Relationships>
</file>

<file path=xl/worksheets/_rels/sheet3.xml.rels>&#65279;<?xml version="1.0" encoding="utf-8"?><Relationships xmlns="http://schemas.openxmlformats.org/package/2006/relationships"><Relationship Type="http://schemas.openxmlformats.org/officeDocument/2006/relationships/table" Target="/xl/tables/table2.xml" Id="Rffbba269cc7b4f15" /></Relationships>
</file>

<file path=xl/worksheets/_rels/sheet4.xml.rels>&#65279;<?xml version="1.0" encoding="utf-8"?><Relationships xmlns="http://schemas.openxmlformats.org/package/2006/relationships"><Relationship Type="http://schemas.openxmlformats.org/officeDocument/2006/relationships/table" Target="/xl/tables/table3.xml" Id="R2d3144779b6e4fac" /></Relationships>
</file>

<file path=xl/worksheets/_rels/sheet5.xml.rels>&#65279;<?xml version="1.0" encoding="utf-8"?><Relationships xmlns="http://schemas.openxmlformats.org/package/2006/relationships"><Relationship Type="http://schemas.openxmlformats.org/officeDocument/2006/relationships/table" Target="/xl/tables/table4.xml" Id="R40c9b62f43ae45ad" /></Relationships>
</file>

<file path=xl/worksheets/_rels/sheet6.xml.rels>&#65279;<?xml version="1.0" encoding="utf-8"?><Relationships xmlns="http://schemas.openxmlformats.org/package/2006/relationships"><Relationship Type="http://schemas.openxmlformats.org/officeDocument/2006/relationships/table" Target="/xl/tables/table5.xml" Id="R707dab67640649d7"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24</x:v>
      </x:c>
      <x:c r="C6" s="1"/>
      <x:c r="D6" s="1"/>
      <x:c r="E6" s="1"/>
      <x:c r="F6" s="1"/>
      <x:c r="G6" s="1"/>
      <x:c r="H6" s="1"/>
      <x:c r="I6" s="1"/>
      <x:c r="J6" s="1"/>
    </x:row>
    <x:row r="7">
      <x:c r="A7" s="1" t="str">
        <x:v>Open theses</x:v>
      </x:c>
      <x:c r="B7" s="40" t="n">
        <x:f>COUNTIFS('Thesis Ledger'!A6:A200,"&lt;&gt;",'Thesis Ledger'!F6:F200,"&lt;&gt;Closed",'Thesis Ledger'!F6:F200,"&lt;&gt;Invalidated")</x:f>
        <x:v>22</x:v>
      </x:c>
      <x:c r="C7" s="1"/>
      <x:c r="D7" s="1"/>
      <x:c r="E7" s="1"/>
      <x:c r="F7" s="1"/>
      <x:c r="G7" s="1"/>
      <x:c r="H7" s="1"/>
      <x:c r="I7" s="1"/>
      <x:c r="J7" s="1"/>
    </x:row>
    <x:row r="8">
      <x:c r="A8" s="1" t="str">
        <x:v>Evaluated theses</x:v>
      </x:c>
      <x:c r="B8" s="40" t="n">
        <x:f>COUNT('Thesis Ledger'!AE6:AE200)</x:f>
        <x:v>6</x:v>
      </x:c>
      <x:c r="C8" s="1"/>
      <x:c r="D8" s="1"/>
      <x:c r="E8" s="1"/>
      <x:c r="F8" s="1"/>
      <x:c r="G8" s="1"/>
      <x:c r="H8" s="1"/>
      <x:c r="I8" s="1"/>
      <x:c r="J8" s="1"/>
    </x:row>
    <x:row r="9">
      <x:c r="A9" s="1" t="str">
        <x:v>Average prediction score</x:v>
      </x:c>
      <x:c r="B9" s="55" t="n">
        <x:f>IFERROR(AVERAGE('Thesis Ledger'!AE6:AE200),"")</x:f>
        <x:v>0.6</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REJECT 2026-10-16</x:v>
      </x:c>
      <x:c r="H14" s="13" t="n">
        <x:f>'Thesis Ledger'!D7</x:f>
        <x:v>46275</x:v>
      </x:c>
      <x:c r="I14" s="1" t="str">
        <x:f>'Thesis Ledger'!H7</x:f>
        <x:v>Coal demand from fuel switching</x:v>
      </x:c>
      <x:c r="J14" s="13" t="n">
        <x:f>'Thesis Ledger'!W7</x:f>
        <x:v>46328</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5</x:v>
      </x:c>
      <x:c r="F15" s="1" t="n">
        <x:f>'Thesis Ledger'!L8</x:f>
        <x:v>1</x:v>
      </x:c>
      <x:c r="G15" s="1" t="str">
        <x:f>'Thesis Ledger'!M8</x:f>
        <x:v>REJECT 2026-10-16</x:v>
      </x:c>
      <x:c r="H15" s="13" t="n">
        <x:f>'Thesis Ledger'!D8</x:f>
        <x:v>46274</x:v>
      </x:c>
      <x:c r="I15" s="1" t="str">
        <x:f>'Thesis Ledger'!H8</x:f>
        <x:v>Market breadth, policy expectations and sector leadership</x:v>
      </x:c>
      <x:c r="J15" s="13" t="n">
        <x:f>'Thesis Ledger'!W8</x:f>
        <x:v>46330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REJECT 2026-10-16</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 October 12: Reuters analysis using Kpler data said Qatar's October LNG exports were on track for only about 0.6 million tonnes as ship attacks intensified. U.S. LNG exports rose about 14% in 2026 to 123 million tonnes, but the global replacement gap remained large. This strengthens the physical LNG constraint and fuel-switching mechanism. October 13: European benchmark gas reached a wartime high near EUR86.79/MWh while storage was below 74%, versus roughly 90% seasonally, strengthening the gas-availability and substitution mechanism.</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 October 8: U.S. and Russian officials were reported to be exploring possible Nord Stream-related business structures, a potential long-run gas normalization channel. Existing U.S. and EU sanctions, German and Polish opposition and security concerns make implementation highly uncertain, so this is a modifier rather than current supply relief. October 12: higher U.S. LNG exports, resumed guarded transits and any durable Hormuz normalization could improve availability. The 0.6-million-tonne Qatar estimate is a current-month tracking estimate, not a final customs total, and the coal expression still lacks clean price or equity confirmation. No clean coal-price or producer-equity confirmation emerged, and potential Russian fuel relief remains a competing normalization channel.</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 October 12: physical LNG evidence strengthened, but there is no new coal-price or public-equity confirmation and the U.S. cash market had not supplied a fresh regular-session signal by scan time. Status remains Strong 4/5, trading edge 2/5 and WAIT. October 13: gas-market confirmation strengthened, but the indirect coal expression remains unconfirmed. EEI-2026-002 stays Strong 4/5, edge 2/5 and WAIT.</x:v>
      </x:c>
      <x:c r="T7" s="29" t="str">
        <x:v>REJECT current coal-equity entry. The LNG constraint is supported, but the coal mapping remains indirect and lacks price/equity confirmation. Reassess after final October Qatar export and coal-burn data; no live order.</x:v>
      </x:c>
      <x:c r="U7" s="29" t="str">
        <x:v>Hormuz reopens and Qatari LNG operations normalize, alternative LNG supply fully offsets lost volumes, coal imports and burn fail to rise, or renewable output and demand destruction absorb the shock.</x:v>
      </x:c>
      <x:c r="V7" s="43" t="n">
        <x:v>46275</x:v>
      </x:c>
      <x:c r="W7" s="43" t="n">
        <x:v>46328</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 October 8: exploratory Nord Stream talks add a distant normalization scenario but do not change current LNG damage, force majeure or coal-switching evidence. EEI-2026-002 remains Strong 4/5, edge 2/5 and WAIT. Initial Prediction Frozen was not changed. October 12: EEI-2026-002 remains Strong at 4/5 confidence, 2/5 trading edge and WAIT. Qatar's sharply constrained tracked exports reinforce the economic variable, while alternative supply and partial transit normalization still limit the investable mapping. Initial Prediction Frozen was not changed. October 13: higher European gas and low storage support the economic variable, but do not activate the coal expression. Stage, confidence, edge and Entry Window are unchanged. Initial Prediction Frozen was not changed. October 16 decision review: REJECT current entry rather than renew WAIT. Physical LNG evidence remains strong, but no clean coal expression or market confirmation exists. Next evidence checkpoint November 2; no outcome field scored early.</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5</x:v>
      </x:c>
      <x:c r="L8" s="27" t="n">
        <x:v>1</x:v>
      </x:c>
      <x:c r="M8" s="27" t="str">
        <x:v>REJECT 2026-10-16</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 October 6: Reuters/Ipsos found Democrats leading 44%-37% among registered voters, 37%-21% among independents and 52%-26% among Hispanic voters; Trump approval was 32%, and Reuters said analysts expect a Democratic House while the Senate remains contested. Ohio early voting began with one Senate and two House races rated toss-ups. October 7: AP reported that Republicans' roughly $1 billion cash advantage has produced limited polling movement, outside groups are paying much higher late-cycle advertising rates, Democrats are expanding House targets into Arkansas and Tennessee, and Republican Senate resources are being pulled back in North Carolina. October 8: AP reported Democrats remain favored to make substantial House gains while Republicans are targeting a narrower group of vulnerable Democratic districts in New Hampshire, New York, Ohio, Nevada and New Mexico. October 9: Reuters reported that Democrats are expanding House targets into districts Trump carried by more than 20 points, while roughly three dozen House races remain competitive. The evidence continues to favor a possible House-control shift. October 10: Reuters reported that Democrats added 14 Republican-held districts to their target list, expanding it to 66 seats, while some Republican-aligned groups began defensive spending in newly targeted districts. A Reuters/Ipsos poll found 78% of adults blamed White House policies for higher costs, and the University of Michigan consumer-sentiment index fell to 46.3, with current conditions at a record-low 44.7. October 11: AP documented tariff-linked layoffs and closures in competitive Michigan, Iowa, Kansas and Ohio districts, while an AP-NORC poll found only about three in ten adults approved of the administration's trade handling and more than 64% said tariffs had gone too far. This reinforces cost-of-living and manufacturing pressure on the governing party. October 12: a $22.3 million-volume prediction market priced a Democratic sweep at 62% and a Democratic House with Republican Senate at 29%. The Washington Post reported that recent polling has made a Democratic Senate a serious possibility after months in which Republicans mainly expected to lose the House. October 13: Reuters reported Democrats are positioned to win the House and have an edge in the Senate, with potential subpoena-led scrutiny of banks, crypto, AI and housing if control shifts. AP reported that Republican concern has made Alaska competitive enough for a presidential campaign visit, adding a difficult-state Senate data point. October 14: Republican super PAC cancellations in four House races and Democratic expansion toward roughly a dozen additional targets strengthen the House-control branch. The Democratic agenda is now clearer: health subsidies, Medicaid reversals, tariff challenges, war-powers votes and oversight would be early priorities if the House flips.</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 October 6 contradiction: the Senate still begins 53-47 Republican, Democrats need a net four seats, 28% of independents remain undecided, the 10-year Treasury yield was near 5.28%, and Nasdaq leadership remained concentrated in AI beneficiaries. October 7 contradiction: Republicans still hold a substantial funding advantage, polling and spending are not votes, and Senate control remains structurally difficult for Democrats. The 10-year term premium reached a 12-year high near 96 basis points while long yields stayed near 24-year highs. October 8 contradiction: competitive district-level Republican opportunities and unresolved Senate control limit certainty. Brent moved above $104, the 10-year Treasury yield held near 5.34%, and oil-driven inflation risk intensified. October 9: Senate control remains structurally harder: Democrats must defend Michigan and New Hampshire and flip four seats from a difficult set including Alaska, Maine, North Carolina, Ohio, Iowa and Texas. Pimco warned the 10-year Treasury yield could approach 6%; it was about 5.29%, a material risk to breadth and rate-sensitive expressions. October 10: many newly targeted districts remain rated safely Republican, analysts want to see actual Democratic spending, Republicans retain a funding advantage, and Senate control is still structurally harder. Consumer weakness is uneven because wealthy households and equity gains continue supporting aggregate spending. October 11: tariffs were not the sole cause of every layoff, some affected voters still planned to support Republicans, and anecdotal worker reactions do not resolve district turnout or the structurally difficult Senate map. October 12: Democrats still need four net Senate seats, including at least two states Trump won by double digits in 2024. Prediction-market prices are not polls or votes and may be affected by participant mix, liquidity and regulatory controversy. The Senate map remains structurally hard, Republicans retain a large cash advantage, and only about 40-50 House races are genuinely competitive. Polls and campaign travel are not votes. Hawkish Fed commentary and elevated inflation/rate risk remain adverse to breadth. The Senate remains difficult, the agenda would still face Senate math and presidential vetoes, and prediction-market positioning is unusually concentrated: roughly 70% of congressional-market volume came from the top 1% of wallets. Betting odds therefore receive limited evidentiary weight.</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 October 6: election-control evidence strengthened, but the Nasdaq was at a record while equal-weight/cyclical confirmation remained insufficient and long yields stayed above 5%. Entry Window remains WAIT. October 7: the S&amp;P 500 and Nasdaq were at records on AI-led earnings expectations, but the Russell 2000 fell 0.6% on October 6 and the 10-year yield remained above 5%. Political evidence strengthened modestly; the required equal-weight, small-cap and cyclical breadth confirmation did not. October 8 premarket: SPY indications were about -0.2%, RSP -0.8% and IWM -1.3%. Equal-weight and small-cap participation weakened again as oil and yields rose, so the political signal still lacks the market-breadth confirmation required for entry. October 9: equity futures improved as oil retreated, but leadership remained technology-heavy rather than a demonstrated equal-weight or small-cap breadth regime. The conditional market expression remains inactive. October 10: the political-control signal strengthened incrementally, but no new equal-weight, small-cap, cyclical, rate or inflation confirmation activated the conditional market expression. Entry Window remains WAIT. October 11: the weekend political evidence supports the House-control trigger but supplied no new cash-market breadth, small-cap, cyclical, rate or inflation confirmation. Entry Window remains WAIT. October 12: political positioning strengthened, but U.S. regular-session confirmation was unavailable at scan time. The latest completed market data still showed high long yields and concentrated leadership; no durable equal-weight, small-cap or cyclical regime shift is established. Entry Window remains WAIT. October 13 premarket: S&amp;P 500 futures were about 0.1% lower, Nasdaq futures about 0.6% lower and AI/chip leadership weakened sharply in Asia. Political-control evidence strengthened, but equal-weight, small-cap and cyclical confirmation remains absent. October 14: political-control evidence strengthened, but breadth remains narrow, the 10-year yield was near 5.21% and CPI risk remains unresolved. EEI-2026-003 stays Strong 5/5, edge 1/5 and WAIT.</x:v>
      </x:c>
      <x:c r="T8" s="29" t="str">
        <x:v>REJECT current breadth trade. The election signal is strong, but chamber control is unresolved and inflation, rates and breadth do not support a clean expression. Reassess after the November 3 election; no live order.</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46330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 October 6: confidence increased from 4/5 to 5/5 as national and Ohio evidence strengthened the probability of a House shift and a competitive Senate. Stage remains Strong, trading edge 1/5 and Entry Window WAIT because control is unresolved and the required breadth/rates confirmation is absent. October 7: EEI-2026-003 remains Strong at 5/5 confidence, edge 1/5 and WAIT. Late Republican spending inefficiency supports the control-shift probability, but chamber outcomes, rates and breadth remain unresolved. Initial Prediction Frozen was not changed. October 8: EEI-2026-003 remains Strong at 5/5 confidence, edge 1/5 and WAIT. House-shift evidence remains strong, but chamber outcomes, high yields and weak equal-weight/small-cap breadth keep the conditional expression inactive. Initial Prediction Frozen was not changed. October 9: EEI-2026-003 remains Strong at 5/5 confidence, 1/5 trading edge and WAIT. House evidence is strong, but Senate difficulty, high yields and narrow leadership still prevent a chamber-control or breadth-based entry. Initial Prediction Frozen was not changed. October 10: EEI-2026-003 remains Strong at 5/5 confidence, 1/5 trading edge and WAIT. The House battlefield and cost-of-living evidence strengthened, but chamber outcomes and the required market-breadth/rates confirmation remain unresolved. Initial Prediction Frozen was not changed. October 11: EEI-2026-003 remains Strong at 5/5 confidence, 1/5 trading edge and WAIT. Tariff backlash adds district-level economic evidence, but chamber outcomes and the required market confirmation remain unresolved. Initial Prediction Frozen was not changed. October 12: EEI-2026-003 remains Strong at 5/5 confidence, 1/5 trading edge and WAIT. The Senate-control branch is now more credible and is a meaningful thesis update, but the election is unresolved and the required rates and breadth confirmation remains absent. Initial Prediction Frozen was not changed. October 13: policy implications are now more concrete for financials, crypto, AI and housing oversight, and Alaska adds incremental Senate evidence. EEI-2026-003 remains Strong 5/5, edge 1/5 and WAIT because the election is unresolved and rates/breadth do not confirm the conditional market expression. Initial Prediction Frozen was not changed. October 14: House-control evidence and the conditional policy map strengthened, but the Senate, veto, rates and breadth modifiers prevent an Entry Window change. Stage, confidence, edge and WAIT are unchanged. Initial Prediction Frozen was not changed. October 16 decision review: REJECT a pre-election breadth entry rather than renew WAIT. Hot import prices and unresolved chamber control keep the trade setup adverse. Next review November 4; frozen prediction unchanged.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4</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 October 13: two additional pivotal Phase 3 readouts independently strengthen the growth-portfolio mechanism. Admilparant 60 mg twice daily met the ALOFT-IPF primary endpoint with favorable topline safety, and RYZ101 produced a statistically significant, clinically meaningful progression-free-survival improvement at the planned ACTION-1 interim analysis.</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 October 8: a new free Motley Fool yield article explicitly acknowledged that Bristol Myers still has no clear replacement winner for upcoming patent losses. The opinion repeats the thesis risk and supplies no new operating, cash-flow, dividend-coverage or debt evidence. Admilparant's 120 mg dose missed statistical significance, full effect sizes and regulatory plans remain undisclosed, and the rare GEP-NET population limits near-term RYZ101 materiality. BMY fell 2.6% to $57.58 on high volume, showing that investors viewed the dose response and incomplete data as confounding. Legacy-drug erosion, cash-flow coverage and debt reduction still require the October 29 report.</x:v>
      </x:c>
      <x:c r="R10" s="29"/>
      <x:c r="S10" s="29" t="str">
        <x:v>BMY traded near $63.64 during the scan without a distinct new breakout tied to the article. Fundamental confirmation exists, but sustained post-earnings relative strength and another quarter of growth/FCF evidence are still needed. October 13: BMY's 2.6% decline despite two positive topline studies is adverse market confirmation; it improves valuation at the margin but does not establish an entry while full datasets, regulatory paths and portfolio-level offset remain unresolved.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 October 8: the new Motley Fool article is trigger commentary only and does not confirm the growth-portfolio offset. BMY remains Developing 3/5, edge 3/5 and WAIT pending October 29 results. Initial Prediction Frozen was not changed. October 13: confidence increased from 3/5 to 4/5 because two independent Phase 3 successes broaden the confirmed growth pipeline. Stage remains Developing, trading edge 3/5 and Entry Window WAIT pending full data, October 29 growth-portfolio revenue, legacy erosion, cash flow and debt evidence.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 October 8: lululemon filed an October 7 leadership restructuring that appointed former Nike executive Maggie Gauger chief product officer and expanded CFO Meghan Frank's interim brand and technology responsibilities.</x:v>
      </x:c>
      <x:c r="Q11" s="29" t="str">
        <x:v>Q2 revenue fell about 4% to $2.42 billion, global comparable sales fell 9%, Americas comps fell 12%, gross margin weakened excluding a tariff refund, and full-year revenue guidance was cut to a 5%-7% decline. The core economic variable is still deteriorating. October 8: the leadership reset may improve product execution, but it supplies no comparable-sales, inventory, gross-margin or brand-demand confirmation and adds organizational execution risk.</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 October 8: leadership changes are a relevant turnaround input but not proof that the operating variable has stabilized. LULU remains Hypothesis 2/5, edge 2/5 and WAIT. Initial Prediction Frozen was not changed.</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 October 9: AeroVironment disclosed that wholly owned VideoRay will support an AEVEX-led team selected as one of three awardees for a U.S. Navy and Defense Innovation Unit autonomous mine-countermeasure prototype effort after a competitive prize challenge. October 14: RTX disclosed $729 million of U.S., Qatar and Jordan LIDS counter-drone awards, including the first international sales of KuRFS and Coyote. This independently confirms strong counter-UAS procurement demand and international adoption.</x:v>
      </x:c>
      <x:c r="Q12" s="29" t="str">
        <x:v>Space, Cyber and Directed Energy revenue fell 21%; inventory rose to about $410.8 million; material weaknesses remain; a prior restatement corrected an $87.3 million equity overstatement; convertible debt and a high valuation magnify execution risk. October 9: the release disclosed no award identifier, obligation, ceiling, AVAV workshare, period of performance or expected revenue. It therefore supports demand and technical positioning but not material backlog, profitability, restatement remediation or valuation. The large incumbent win also confirms competitive intensity for AeroVironment. RTX did not disclose individual award identifiers, obligations, periods of performance, competition terms or revenue timing, so it does not prove AVAV backlog conversion or profitability.</x:v>
      </x:c>
      <x:c r="R12" s="29"/>
      <x:c r="S12" s="29" t="str">
        <x:v>AVAV traded near $146.71 during the scan. Demand and backlog are confirmed, but valuation and accounting-control risk leave limited evidence of a favorable entry rather than merely a valid business catalyst. October 9: no clean, independently observable market move or favorable price structure tied to the prototype selection established an entry. Entry Window remains WAIT. October 14: sector demand strengthened but the competitive signal is mixed for AVAV. EEI-2026-007 remains Strong 4/5, edge 2/5 and WAIT pending its own filing-quality, margin and cash-conversion evidence.</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 October 9: primary evidence strengthens the autonomous-systems demand mechanism, but undisclosed economics and unchanged accounting, profitability and valuation risks leave EEI-2026-007 Strong 4/5, edge 2/5 and WAIT. Motley Fool remains trigger only. Initial Prediction Frozen was not changed. October 14: RTX's LIDS awards support the counter-drone demand variable while reinforcing incumbent competition. No stage, confidence, edge or Entry Window change. Initial Prediction Frozen was not changed.</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REJECT 2026-10-16</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REJECT current ELMT entry. Government support remains material, but award detail, funding schedule, dilution and execution evidence remain incomplete. Reassess at the next primary filing or November 16; no live order.</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46342</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 October 16 documentation review: REJECT current entry rather than renew WAIT. No new primary award record resolved the obligation schedule or dilution/execution questions. Next review November 16; no outcome field scored early.</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 October 6: Aramco's CEO said replenishing crude and fuel inventories could take up to two years, and Kuwait Petroleum's CEO estimated roughly 6 million barrels per day of refined-product supply remained unavailable, supporting a longer refined-product and logistics constraint. October 7: European benchmark diesel futures traded about $77 per barrel above Brent and rose 13% intraday as strikes on Russian oil facilities and reduced Middle East refining runs tightened products; the IEA convened to discuss oil and diesel stock releases. October 11: Ukraine said it would halt attacks on Russian refineries only if Russia reciprocates by stopping strikes on Ukrainian energy infrastructure and provides real guarantees. Reuters reported that the announced U.S.-Russia diesel arrangement remained far below Russia's normal export volume. October 12: ICE gasoil fell 2.3% to $1,449 per tonne after the announced Russian diesel arrangement, but analysts said the initial 300,000-500,000 tonnes were too small for material near-term relief and Russia's refining capacity remained impaired. Ukraine said Russia violated the announced energy ceasefire. October 13: OFAC General License 135 formally authorized Russian-origin diesel transactions through April 7, 2027, and Russia promised 3.0-3.5 million tonnes per month by year-end. This is a larger policy supply channel than the prior limited arrangement and directly tests the scarcity thesis. October 14: the IEA said Russia's diesel-policy easing is unlikely to materially change the gasoil balance because damaged refining capacity remains limiting; constrained diesel supply could persist into 2027.</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 October 6: Gulf crude exports excluding Iran reached more than 81% of prewar levels in September, Saudi East-West pipeline flows reached 5.8 million barrels per day, Saudi Arabia cut Arab Light prices to six-year lows and a G7 release added policy supply. These facts materially weaken a broad crude-scarcity extension. October 7 counterweight: proposed IEA stock releases and recovering Middle East exports can relieve spot pressure, while Brent above $100 and the diesel spike raise headline-chasing risk rather than improve entry quality. October 11: a verified mutual energy-strike pause could restore Russian refinery utilization and pressure diesel cracks, but no agreement or guaranteed volume exists. The bilateral condition and limited proposed diesel supply leave the normalization path uncertain. October 12: larger verified Russian exports, accelerated IEA member releases or a durable reciprocal halt to refinery attacks could pressure diesel cracks. The initial market reaction shows that even limited policy supply can reduce the scarcity premium at the margin. Implementation remains uncertain because refinery damage constrains production, the new channel is sanctions relief rather than restored capacity, and the promised volumes are future targets. Still, Brent fell about 2% toward $104.63 and WTI toward $91.85, materially increasing normalization risk. Regional crude exports have held up and Russian policy relief remains a genuine normalization path. Brent above $106 reflects recognized scarcity, leaving little unpriced edge and substantial headline-reversal risk.</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 October 6: Brent fell to about $98.62 and WTI to $87.60 as traders emphasized restored exports and easing Bab el-Mandeb risk. Physical substitution costs and refined-product shortages remain, but the headline crude leg is not favorable for entry. October 7: the $77-per-barrel diesel premium and 13% session rise directly confirm the predicted economic variable and direction inside the stated horizon. Listed refiners were flat in premarket indications, so a clean equity-expression score remains unavailable. Entry Window stays WAIT. October 11 is a Sunday with no new listed-market confirmation. The de-escalation proposal is a material modifier, not a completed normalization signal; Entry Window remains WAIT after the physical diesel spike. October 12: gasoil's 2.3% decline is a modest contradiction, while the small proposed volumes and disputed ceasefire preserve the physical scarcity mechanism. The thesis remains Actionable 5/5, edge 1/5 and WAIT because headline and policy risk remain extreme. October 13 premarket: crude fell about 2% after the Russian diesel authorization, confirming that policy supply relief can compress the premium. Refined-product availability remains impaired, so EEI-2026-009 stays Actionable 5/5, edge 1/5 and WAIT. October 14: refined-product fundamentals strengthened while crude stayed elevated. EEI-2026-009 remains Actionable 5/5, edge 1/5 and WAIT because price structure is already extended.</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d">
        <x:v>2026-10-28T12:00:00.000Z</x:v>
      </x:c>
      <x:c r="X14" s="43" t="d">
        <x:v>2026-10-07T12:17:12.000Z</x:v>
      </x:c>
      <x:c r="Y14" s="29" t="str">
        <x:v>Yes</x:v>
      </x:c>
      <x:c r="Z14" s="29" t="str">
        <x:v>Yes</x:v>
      </x:c>
      <x:c r="AA14" s="29" t="str">
        <x:v>Yes</x:v>
      </x:c>
      <x:c r="AB14" s="29"/>
      <x:c r="AC14" s="29" t="str">
        <x:v>Yes</x:v>
      </x:c>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 October 6: Actionable 5/5, edge 1/5, Entry Window WAIT. Stronger crude-flow normalization narrows the valid mechanism toward refined products and logistics; no stage change because diesel availability and replacement-barrel costs remain stressed. Formal October 7 outcome review: Economic variable — Yes; the prompt diesel premium remained exceptionally high. Direction — Yes; diesel futures and the diesel-to-Brent spread rose. Timing — Yes; confirmation occurred within days to weeks of the September 16 prediction. Investment expression — left blank because no paper position or sufficiently clean listed expression was established. Entry discipline — Yes; WAIT avoided chasing record physical spreads and sharp policy headlines. The thesis remains Actionable 5/5, edge 1/5 and WAIT for continued monitoring; Initial Prediction Frozen was not changed. October 11: EEI-2026-009 remains Actionable 5/5, edge 1/5 and WAIT. Conditional refinery-strike de-escalation adds downside risk, while the absence of a reciprocal agreement and small proposed replacement volumes preserve the scarcity mechanism. Initial Prediction Frozen was not changed. October 12: EEI-2026-009 remains Actionable at 5/5 confidence, 1/5 trading edge and WAIT. The policy announcement produced some market relief but not enough verified supply to invalidate the diesel-shortage mechanism. Initial Prediction Frozen was not changed. October 13: the sanctions license and larger Russian diesel target materially strengthen the downside policy modifier, but damaged refining and uncertain delivery prevent invalidation. Stage, confidence, edge and Entry Window remain Actionable 5/5, 1/5 and WAIT. Initial Prediction Frozen was not changed. October 14: IEA confirmation supports persistent gasoil tightness into 2027, but exports and policy relief preserve two-way risk. No stage, confidence, edge or Entry Window change. Initial Prediction Frozen was not changed.</x:v>
      </x:c>
      <x:c r="AE14" s="31" t="n">
        <x:f>IF(COUNTA(Y14:AC14)=0,"",COUNTIF(Y14:AC14,"Yes")/COUNTA(Y14:AC14))</x:f>
        <x:v>1</x:v>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 October 6: replacement purchases by Chinese independent refiners carried delivered premiums of roughly $12-$20 per barrel, while shuttle routes and disrupted Iranian flows continued to consume logistics capacity. October 7: Houthi forces attacked Aden airport with ballistic missiles and explosive-laden drones, renewing Red Sea and Gulf of Aden security risk as regional conflict persisted. October 8: Kpler data showed only seven commodity vessels transited Hormuz on October 6, the fewest since July 23. Crude crossing the strait fell 27% week over week to at least 10.1 million bpd, about 74% of prewar flow, after tanker attacks reached their wartime high. Brent rose about 4.5% to $104.75 and WTI to $92.28 as shipping attacks and temporary U.S. Gulf production shut-ins reinforced logistics stress. October 9: Reuters reported that November VLCC freight from the U.S. Gulf to China reached about $80 million for a two-million-barrel cargo, or roughly $40 per barrel versus $8.60 before the war. U.S.-Asia arbitrage was no longer economic, refiners were switching toward Murban and Argentine crude, and both U.S. Gulf-Asia and Fujairah-East freight had risen more than 300% since mid-August. This confirms that tanker scarcity is changing delivered-crude economics and physical sourcing, not merely quoted shipping rates. October 11: U.S. Central Command said a fighter jet disabled the Panama-flagged cargo vessel Ocean Molica/Arika Sun after it ignored warnings and attempted to breach the Iran blockade after leaving an Iranian port. Reuters said Hormuz vessel transits fell to their lowest level in more than two months. October 12: two additional tanker attacks were reported near Sohar and in the Strait of Hormuz, and a Houthi strike on Riyadh's international airport killed 13 people and wounded more than 300. Brent rose 1.2% to $106.19 and WTI 1.2% to $92.96, near two-week highs. October 13: OPEC reported Gulf shipping and insurance costs exceeding one-third of commodity value in some movements, while attacks and security constraints preserve severe delivered-cost and vessel-utilization pressure. October 14: Iranian officials acknowledged new ship-targeting tactics; a tanker and container vessel were hit and a mine strike sank another ship. Brent traded near $106.60 and WTI near $95.79, confirming that physical security risk remains active.</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 October 6: Saudi-backed Yemeni forces advanced around Mocha and Bab el-Mandeb, easing one route-risk channel, while Gulf exports excluding Iran recovered above 81% of prewar levels. Higher flow efficiency or restored safe passage can compress extreme freight rates quickly. October 7: Middle East export recovery and prospective strategic-stock releases remain material normalization channels; early FRO and DHT indications were lower, so the freight mechanism did not receive a new favorable listed-equity entry signal. October 8 counterweight: Gulf of Oman and Red Sea exports rose to 6.7 million bpd, more than twice prewar levels, keeping overall Middle East exports near preconflict levels. The IEA is accelerating previously pledged stock releases, and the roughly 35% VLCC orderbook remains a medium-term supply risk. October 9 counterweight: President Trump said there would be no U.S. attack on Iran before November 3; Brent fell more than 1% below $103 after the prior session's 4% rise. Alternative export routes, strategic stocks and a roughly 35% VLCC orderbook remain substantial normalization risks. October 11: the strike reportedly caused no crew casualties and was an enforcement action against one cargo vessel rather than a new tanker loss. Alternate-coast oil exports, military-guided transits, emergency stocks and diplomacy remain substantial normalization counterweights. October 12: no major oil installation was reported damaged, Gulf of Mexico production was being restored after Hurricane Isaias, and additional Russian diesel plus possible strategic releases could ease product stress. Alternate export routes and guarded transits remain normalization channels. Near-full regional crude export recovery, the Russian diesel authorization and a roughly 2% crude decline show that freight stress can coexist with improving headline supply and rapidly compress equity upside. Oil exports continue to hold up, the Aramco incident caused only limited damage, and the crude premium is already elevated. Successful traffic adaptation or de-escalation could reverse the freight and equity expressions quickly.</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 October 6: FRO and DHT remained near highs and rose again, confirming recognition but worsening headline-chasing risk. Actionable status remains intact; Entry Window remains WAIT for an orderly consolidation plus continuing realized-rate evidence. October 7: renewed route-risk headlines support the physical thesis, but FRO and DHT pulled back in early indications after extreme year-to-date gains. Entry Window remains WAIT pending realized-rate persistence and orderly price structure. October 8 formal horizon check: FRO closed October 7 at $53.06 versus $49.81 on September 21, up about 6.5%; DHT closed at $23.71 versus $22.45, up about 5.6%. The equities participated, but far less than the freight spike and at near-record prices. Entry Window remains WAIT because the physical thesis is intact while price structure, policy supply and route normalization leave poor reward versus reversal risk. October 9: freight stress received a stronger physical-market confirmation as delivered costs closed the U.S.-Asia arbitrage and redirected purchases. The listed-equity Entry Window remains WAIT because freight is extreme, FRO and DHT remain near highs, and de-escalation headlines can reverse the risk premium abruptly. October 11 is a Sunday, so no fresh cash-market reaction can distinguish incremental freight support from headline chasing. The enforcement incident confirms severe route risk but does not improve an already extended Entry Window; WAIT remains. October 12: crude provided renewed commodity confirmation, but tracked producer equities remained weaker than direct crude in the latest completed session and the sharp headline move worsens chasing risk. Entry Window remains WAIT. October 13: extreme freight and insurance costs remain physical confirmation, but lower crude and recovered exports reinforce two-way risk. EEI-2026-011 remains Actionable 5/5, edge 1/5 and WAIT. October 14: new attacks and higher crude confirm the physical mechanism, but resilience of exports and an extended price structure keep EEI-2026-011 Actionable 5/5, edge 1/5 and WAIT.</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2026-10-22T12:00:00.000Z</x:v>
      </x:c>
      <x:c r="X16" s="43" t="d">
        <x:v>2026-10-08T12:43:03.000Z</x:v>
      </x:c>
      <x:c r="Y16" s="29" t="str">
        <x:v>Yes</x:v>
      </x:c>
      <x:c r="Z16" s="29" t="str">
        <x:v>Yes</x:v>
      </x:c>
      <x:c r="AA16" s="29" t="str">
        <x:v>Yes</x:v>
      </x:c>
      <x:c r="AB16" s="29" t="str">
        <x:v>Yes</x:v>
      </x:c>
      <x:c r="AC16" s="29" t="str">
        <x:v>Yes</x:v>
      </x:c>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 October 6: Actionable 5/5, edge 1/5, WAIT. Freight scarcity is still physically supported, but route-security improvement and recovered exports strengthen the two-way risk; no Entry Window change. October 7: no stage or Entry Window change. Security risk increased, but equities remain extended and route normalization plus policy releases preserve two-way risk. Initial Prediction Frozen was not changed. Formal October 8 outcome review: Economic variable — Yes; VLCC utilization and spot freight reached extreme levels as shuttle transfers, longer routes and conflict risk absorbed vessel capacity. Direction — Yes; rates and delivered-freight share rose sharply. Timing — Yes; confirmation arrived within the stated weeks-to-months horizon. Investment expression — Yes; FRO rose about 6.5% and DHT about 5.6% from September 21 through October 7, although both lagged the freight move. Entry discipline — Yes; WAIT avoided chasing record rates and near-high equities through a sharp interim reversal and preserved the requirement for cash-flow confirmation. EEI-2026-011 remains Actionable 5/5, edge 1/5 and WAIT. Initial Prediction Frozen was not changed. October 9: EEI-2026-011 remains Actionable at 5/5 confidence, 1/5 trading edge and WAIT. Record freight is now altering trade flows, strengthening the causal mechanism, but also worsening headline-chasing and normalization risk. Initial Prediction Frozen was not changed. October 11: EEI-2026-011 remains Actionable at 5/5 confidence, 1/5 trading edge and WAIT. Direct blockade enforcement and two-month-low transits reinforce the utilization and freight mechanism, but the evidence is continuation rather than a new underpriced entry. Initial Prediction Frozen was not changed. October 12: EEI-2026-011 remains Actionable at 5/5 confidence, 1/5 trading edge and WAIT. Multiple attacks plus higher crude materially reinforce route and insurance risk, but the move is already headline-driven and does not create a favorable entry. Initial Prediction Frozen was not changed. October 13: physical freight stress remains intact, but normalization channels strengthened. No stage, confidence, edge or Entry Window change; WAIT continues to avoid chasing an already recognized dislocation. Initial Prediction Frozen was not changed. October 14: physical disruption evidence strengthened without improving the risk/reward of chasing the move. Stage, confidence, edge and Entry Window remain unchanged. Initial Prediction Frozen was not changed.</x:v>
      </x:c>
      <x:c r="AE16" s="31" t="n">
        <x:f>IF(COUNTA(Y16:AC16)=0,"",COUNTIF(Y16:AC16,"Yes")/COUNTA(Y16:AC16))</x:f>
        <x:v>1</x:v>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 October 10: the Department of War announced new contract HQ0851-27-C-E001 for Raytheon to manufacture SM-3 Block IB all-up rounds. It is a noncompetitive, multi-year undefinitized action with a $4.432 billion base, $6.342 billion potential value including options and $454.215 million obligated at award. RTX separately confirmed a five-year term plus two option years and production in Tucson and Huntsville.</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 October 10: the new award remains undefinitized and only about 7.2% of the potential ceiling was obligated at award. NAICS and PSC were not yet visible in USAspending, congressional funding and option exercise remain necessary, and August production agreements made the broad direction partly expected. Fixed-price execution, supply-chain capacity and cash conversion remain material risks.</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 October 10: RTX closed October 9 at $185.97, up about 0.89% for the session. The modest response supports material operating confirmation but not a distinct unpriced entry. Entry Window remains WAIT pending definitization, larger funded obligations and backlog-to-cash-flow conversion, or an orderly consolidation.</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 October 10: EEI-2026-012 remains Strong at 5/5 confidence, 1/5 trading edge and WAIT. The SM-3 award broadens the confirmed Raytheon missile-production ramp across AMRAAM, SM-6 and SM-3, but partial funding, undefinitized terms and a modest market response leave limited remaining edge. Next review remains October 20.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Strong</x:v>
      </x:c>
      <x:c r="G20" s="27" t="str">
        <x:v>Government financing and energy policy</x:v>
      </x:c>
      <x:c r="H20" s="27" t="str">
        <x:v>Vistra nuclear generation capacity, capital cost and cash flow</x:v>
      </x:c>
      <x:c r="I20" s="27" t="str">
        <x:v>Up</x:v>
      </x:c>
      <x:c r="J20" s="27" t="str">
        <x:v>One to five years</x:v>
      </x:c>
      <x:c r="K20" s="27" t="n">
        <x:v>4</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 October 5 official DOE confirmation: a conditional loan commitment of up to $4.2 billion would finance Vistra uprates and modernization at Beaver Valley, Davis-Besse and Perry, preserve nearly 4 GW, add 433 MW and support operations for 20 years beyond existing licenses; an option covers possible Comanche Peak uprates.</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 The commitment is conditional, not funded: Vistra must satisfy technical, legal, environmental and financial conditions before definitive documents and disbursement. The 433 MW uprates and Meta PPAs were already public, and execution extends through 2034.</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 VST rose about 3.5% and closed above its 50-day average after the official announcement, providing market recognition but not a favorable entry after a headline move.</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 VST remains the direct conditional expression. Entry Window: WAIT for definitive financing documents, disclosed economics and an orderly price structure; NLR/URA dilute the company-specific financing and output mechanism.</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2026-11-06T12:00:00.000Z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 October 6: promoted from Developing 3/5 to Strong 4/5 after DOE formally announced the $4.2 billion conditional commitment and quantified 433 MW. Trading edge stays 1/5 and Entry Window WAIT because funding conditions, returns and execution remain unresolved.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t="str">
        <x:v>EEI-2026-017</x:v>
      </x:c>
      <x:c r="B22" s="27" t="str">
        <x:v>Constellation-Google nuclear uprates and PJM supply agreement</x:v>
      </x:c>
      <x:c r="C22" s="27" t="str">
        <x:v>Utilities, nuclear energy and data-center power</x:v>
      </x:c>
      <x:c r="D22" s="30" t="d">
        <x:v>2026-10-06T12:00:00.000Z</x:v>
      </x:c>
      <x:c r="E22" s="30" t="d">
        <x:v>2026-10-06T12:19:43.000Z</x:v>
      </x:c>
      <x:c r="F22" s="27" t="str">
        <x:v>Strong</x:v>
      </x:c>
      <x:c r="G22" s="27" t="str">
        <x:v>Corporate power purchase agreement and capacity expansion</x:v>
      </x:c>
      <x:c r="H22" s="27" t="str">
        <x:v>Contracted nuclear generation capacity and long-duration revenue certainty</x:v>
      </x:c>
      <x:c r="I22" s="27" t="str">
        <x:v>Up</x:v>
      </x:c>
      <x:c r="J22" s="27" t="str">
        <x:v>Two to twenty years</x:v>
      </x:c>
      <x:c r="K22" s="27" t="n">
        <x:v>5</x:v>
      </x:c>
      <x:c r="L22" s="27" t="n">
        <x:v>1</x:v>
      </x:c>
      <x:c r="M22" s="27" t="str">
        <x:v>WAIT</x:v>
      </x:c>
      <x:c r="N22" s="29" t="str">
        <x:v>Google and Constellation announced a 20-year PPA intended to enable 890 MW of entirely new nuclear capacity from uprates at 11 units, a 15-year supply agreement for 2,700 MW of existing PJM generation and more than $4.3 billion of Constellation investment.</x:v>
      </x:c>
      <x:c r="O22" s="29" t="str">
        <x:v>A long-duration creditworthy offtake contract can support turbine, steam-generator and control-system investments that add output without greenfield interconnection delays. The additional 2,700 MW supply agreement can increase revenue visibility for existing plants while data-center demand supports utilization.</x:v>
      </x:c>
      <x:c r="P22" s="29" t="str">
        <x:v>The joint Google-Constellation release specifies 890 MW of new capacity, first delivery expected in 2028, 2,700 MW of existing supply, 20- and 15-year terms and more than $4.3 billion of investment. Reuters independently confirmed the 3.59 GW package. Constellation's Q2 release reported $7.50 billion revenue, $2.55 adjusted operating EPS and raised full-year guidance.</x:v>
      </x:c>
      <x:c r="Q22" s="29" t="str">
        <x:v>Contract pricing, returns, termination protections and regulatory milestones were not disclosed. The program requires multi-site uprates and more than $4.3 billion of execution; Constellation is also integrating Calpine. Q2 GAAP EPS fell and nuclear capacity factor eased. Prior large technology PPAs made the theme partly anticipated. October 7 modifier: the market response confirms materiality, not project returns. Pricing, regulatory approvals, capital recovery, multi-site execution and Calpine integration remain unresolved, and the sharp one-day repricing reduces near-term trading edge.</x:v>
      </x:c>
      <x:c r="R22" s="29"/>
      <x:c r="S22" s="29" t="str">
        <x:v>CEG rose about 6.4% premarket and traded roughly 6%-7% higher, confirming materiality but creating immediate headline-chasing risk. The shares remained well below their 52-week high, but price discovery and contract economics are incomplete. October 6 regular-session close: CEG rose about 12.2% to $300.40 and helped lead a broader nuclear and power-equity rally, providing strong market confirmation that investors view the Google contract as economically material. The gap also worsens headline-chasing risk.</x:v>
      </x:c>
      <x:c r="T22" s="29" t="str">
        <x:v>CEG is the direct conditional expression; GOOGL is too diversified and nuclear/uranium funds dilute the company-specific PPA. Entry Window: WAIT for price discovery, disclosed project returns and regulatory/execution milestones. Construction, outage, integration, leverage and valuation risks apply.</x:v>
      </x:c>
      <x:c r="U22" s="29" t="str">
        <x:v>The PPA or supply agreement is canceled or materially delayed; uprates fail to clear regulatory or engineering milestones; capex or financing materially exceeds disclosed economics; contracted cash-flow benefits fail to emerge; or leverage and Calpine integration weaken materially.</x:v>
      </x:c>
      <x:c r="V22" s="43" t="str">
        <x:v>2026-10-06: Google's 20-year PPA should enable 890 MW of new Constellation nuclear capacity and the 15-year 2,700 MW supply agreement should improve contracted revenue certainty over several years, but project economics, execution and timing remain unproven. Initial Entry Window: WAIT after the headline gap pending price discovery, disclosed returns and execution milestones.</x:v>
      </x:c>
      <x:c r="W22" s="43" t="d">
        <x:v>2026-11-06T12:00:00.000Z</x:v>
      </x:c>
      <x:c r="X22" s="43"/>
      <x:c r="Y22" s="29"/>
      <x:c r="Z22" s="29"/>
      <x:c r="AA22" s="29"/>
      <x:c r="AB22" s="29"/>
      <x:c r="AC22" s="29"/>
      <x:c r="AD22" s="29" t="str">
        <x:v>Opened Strong at confidence 4/5 and trading edge 1/5. Primary contract terms and independent confirmation establish a material long-duration capacity mechanism. Entry Window WAIT because the stock gapped, returns are undisclosed and execution begins years before full delivery. No real trade is authorized. October 7: confidence increased from 4/5 to 5/5 after a roughly 12.2% regular-session gain and sector sympathy confirmed market recognition. Stage remains Strong, trading edge 1/5 and Entry Window WAIT because the price gap is extended and contract economics remain undisclosed. Initial Prediction Frozen was not changed.</x:v>
      </x:c>
      <x:c r="AE22" s="31" t="str">
        <x:f>IF(COUNTIF(Y22:AC22,"&lt;&gt;")=0,"",COUNTIF(Y22:AC22,"Yes")/COUNTA(Y22:AC22))</x:f>
      </x:c>
    </x:row>
    <x:row r="23">
      <x:c r="A23" s="27" t="str">
        <x:v>EEI-2026-018</x:v>
      </x:c>
      <x:c r="B23" s="27" t="str">
        <x:v>Boeing PAC-3 MSE seeker production ramp</x:v>
      </x:c>
      <x:c r="C23" s="27" t="str">
        <x:v>Defense and aerospace</x:v>
      </x:c>
      <x:c r="D23" s="30" t="d">
        <x:v>2026-10-05T18:52:00.000Z</x:v>
      </x:c>
      <x:c r="E23" s="30" t="d">
        <x:v>2026-10-06T12:19:43.000Z</x:v>
      </x:c>
      <x:c r="F23" s="27" t="str">
        <x:v>Developing</x:v>
      </x:c>
      <x:c r="G23" s="27" t="str">
        <x:v>Defense subcontract and industrial-base expansion</x:v>
      </x:c>
      <x:c r="H23" s="27" t="str">
        <x:v>Boeing PAC-3 seeker production, funded backlog and profitable defense revenue</x:v>
      </x:c>
      <x:c r="I23" s="27" t="str">
        <x:v>Up</x:v>
      </x:c>
      <x:c r="J23" s="27" t="str">
        <x:v>One to seven years</x:v>
      </x:c>
      <x:c r="K23" s="27" t="n">
        <x:v>3</x:v>
      </x:c>
      <x:c r="L23" s="27" t="n">
        <x:v>1</x:v>
      </x:c>
      <x:c r="M23" s="27" t="str">
        <x:v>REJECT 2026-10-27</x:v>
      </x:c>
      <x:c r="N23" s="29" t="str">
        <x:v>Boeing announced an approximately $14.7 billion undefinitized contract action from Lockheed Martin to scale PAC-3 MSE seeker production under a seven-year framework and triple output.</x:v>
      </x:c>
      <x:c r="O23" s="29" t="str">
        <x:v>If appropriations and definitization convert the framework into funded orders, higher seeker volume can expand Boeing Defense backlog and revenue while spreading factory investment over more units. Demand is driven by U.S. and allied missile-defense replenishment.</x:v>
      </x:c>
      <x:c r="P23" s="29" t="str">
        <x:v>Boeing's primary release identifies the recipient, Lockheed prime relationship, seven-year framework, $14.7 billion approximate ceiling, undefinitized action and triple-production objective. Reuters independently confirmed the award and the link to Lockheed's U.S. government production framework. Boeing reported first-half Defense revenue of $15.1 billion and an $85 billion Defense backlog.</x:v>
      </x:c>
      <x:c r="Q23" s="29" t="str">
        <x:v>The action is undefinitized and the public record does not disclose an award identifier, funded obligation, NAICS/PSC, competition status, definitive period milestones or profit terms. Congress has not appropriated full framework funding. The ramp was announced in April and production/hiring already began, limiting surprise. Boeing Defense posted a Q2 operating loss and fixed-price execution remains weak.</x:v>
      </x:c>
      <x:c r="R23" s="29"/>
      <x:c r="S23" s="29" t="str">
        <x:v>At 9:32 a.m. ET regular-session checkpoint (15-minute-delayed public feed), BA traded at $184.65 after Q3 results. Boeing reported positive free cash flow and better Defense revenue and margin, but the adjusted loss was worse than expected and commercial production problems still dominated the market read. The PAC-3 action remains an undefinitized ceiling without disclosed funded obligations.</x:v>
      </x:c>
      <x:c r="T23" s="29" t="str">
        <x:v>REJECT a Boeing paper entry. The PAC-3 demand mechanism remains plausible, but the listed equity is dominated by commercial-aircraft execution, debt and fixed-price program risk. Reopen only after definitization, funded obligations, backlog recognition and evidence of profitable defense conversion.</x:v>
      </x:c>
      <x:c r="U23" s="29" t="str">
        <x:v>The action is not definitized or materially funded; Congress does not appropriate the ramp; production fails to triple; supplier constraints or cost overruns prevent margin improvement; or the award fails to enter backlog and convert to cash flow.</x:v>
      </x:c>
      <x:c r="V23" s="43" t="str">
        <x:v>2026-10-06: A definitized and funded seven-year PAC-3 seeker award should raise Boeing defense production and backlog, but the $14.7 billion figure is an undefinitized ceiling and profitable conversion is unproven. Initial Entry Window: WAIT for obligations, definitization and margin evidence.</x:v>
      </x:c>
      <x:c r="W23" s="43" t="d">
        <x:v>2026-11-27T14:30:00.000Z</x:v>
      </x:c>
      <x:c r="X23" s="43"/>
      <x:c r="Y23" s="29"/>
      <x:c r="Z23" s="29"/>
      <x:c r="AA23" s="29"/>
      <x:c r="AB23" s="29"/>
      <x:c r="AC23" s="29"/>
      <x:c r="AD23" s="29" t="str">
        <x:v>October 27 due review: convert the legacy WAIT to REJECT. Q3 Defense revenue and margin improved and free cash flow turned positive, but the adjusted loss missed expectations, commercial production problems persist and the PAC-3 ceiling remains undefinitized and unfunded in the public record. BA was $184.65 at 9:32 a.m. ET regular-session checkpoint (15-minute-delayed public feed). Status stays Developing at confidence 3/5 and edge 1/5. Frozen prediction preserved.</x:v>
      </x:c>
      <x:c r="AE23" s="31" t="str">
        <x:f>IF(COUNTIF(Y23:AC23,"&lt;&gt;")=0,"",COUNTIF(Y23:AC23,"Yes")/COUNTA(Y23:AC23))</x:f>
      </x:c>
    </x:row>
    <x:row r="24">
      <x:c r="A24" s="27" t="str">
        <x:v>EEI-2026-019</x:v>
      </x:c>
      <x:c r="B24" s="27" t="str">
        <x:v>IonQ DARPA quantum validation and funded revenue</x:v>
      </x:c>
      <x:c r="C24" s="27" t="str">
        <x:v>Technology, quantum computing and defense</x:v>
      </x:c>
      <x:c r="D24" s="30" t="d">
        <x:v>2026-10-07T12:00:00.000Z</x:v>
      </x:c>
      <x:c r="E24" s="30" t="d">
        <x:v>2026-10-13T11:58:45.000Z</x:v>
      </x:c>
      <x:c r="F24" s="27" t="str">
        <x:v>Developing</x:v>
      </x:c>
      <x:c r="G24" s="27" t="str">
        <x:v>Government R&amp;D agreement and technical validation</x:v>
      </x:c>
      <x:c r="H24" s="27" t="str">
        <x:v>Funded quantum-computing revenue, backlog quality and third-party technical credibility</x:v>
      </x:c>
      <x:c r="I24" s="27" t="str">
        <x:v>Up</x:v>
      </x:c>
      <x:c r="J24" s="27" t="str">
        <x:v>One to three years</x:v>
      </x:c>
      <x:c r="K24" s="27" t="n">
        <x:v>3</x:v>
      </x:c>
      <x:c r="L24" s="27" t="n">
        <x:v>1</x:v>
      </x:c>
      <x:c r="M24" s="27" t="str">
        <x:v>WAIT</x:v>
      </x:c>
      <x:c r="N24" s="29" t="str">
        <x:v>A free October 13 Motley Fool editorial highlighted IonQ and IBM after DARPA advanced both into the final stage of its Quantum Benchmarking Initiative. DARPA and IonQ primary records independently confirm IonQ's Stage C agreement with potential value up to $300 million through 2029; Motley Fool is trigger only.</x:v>
      </x:c>
      <x:c r="O24" s="29" t="str">
        <x:v>Milestone funding can convert government validation into revenue and backlog while DARPA testing can improve technical credibility with commercial and defense buyers. The mechanism depends on appropriations, milestone achievement, roadmap execution and disclosed obligations rather than the headline ceiling.</x:v>
      </x:c>
      <x:c r="P24" s="29" t="str">
        <x:v>DARPA advanced IonQ, IBM, Atom Computing and Diraq into Stage C to test whether their systems can achieve utility-scale operation by 2033. IonQ reported Q2 revenue of $80.1 million, up 287% year over year, FY2026 revenue guidance of $280-$290 million and roughly $3.0 billion of cash and investments before the SkyWater transaction. A fully realized $300 million ceiling would be material relative to current annual revenue.</x:v>
      </x:c>
      <x:c r="Q24" s="29" t="str">
        <x:v>The initial obligation, award identifier, NAICS/PSC, competition terms and milestone payment schedule are undisclosed; future funding depends on appropriations and DARPA actions. QBI is multi-performer and not a winner-take-all competition. IonQ reported a six-month operating loss near $608.8 million, trades around 46 times the top of 2026 revenue guidance, and agreed to an all-stock Elisity acquisition worth up to $1.3 billion plus a $150 million earnout without disclosing acquired revenue, creating dilution and integration risk.</x:v>
      </x:c>
      <x:c r="R24" s="29"/>
      <x:c r="S24" s="29" t="str">
        <x:v>IONQ did not positively confirm the October 7 selection: it closed $41.34 on October 7, $39.45 on October 8, $39.89 on October 9 and about $36.27 on October 12 after the Elisity announcement. The decline argues that the DARPA headline was partly anticipated or overwhelmed by valuation and dilution risk.</x:v>
      </x:c>
      <x:c r="T24" s="29" t="str">
        <x:v>IONQ is the direct conditional expression only after DARPA discloses a funded obligation or milestone schedule, contracted backlog converts to cash revenue, dilution remains controlled and the shares establish an orderly non-headline base. IBM is too diversified for the Stage C mechanism. Valuation, technical, appropriation, acquisition, dilution and execution risks apply.</x:v>
      </x:c>
      <x:c r="U24" s="29" t="str">
        <x:v>No meaningful DARPA obligation or milestone funding; failure to progress in Stage C; inability to meet technical roadmaps; government or commercial backlog failing to convert to revenue and cash; acquisition dilution or cash burn overwhelming growth; or competing architectures materially outperforming IonQ.</x:v>
      </x:c>
      <x:c r="V24" s="43" t="str">
        <x:v>2026-10-13: IonQ's DARPA Stage C selection should improve government-funded quantum revenue and technical credibility through 2029 if milestone funding is appropriated and earned, but the $300 million figure is a conditional ceiling and valuation, cash burn and dilution risk are high. Initial Entry Window: WAIT.</x:v>
      </x:c>
      <x:c r="W24" s="43" t="d">
        <x:v>2026-11-15T12:00:00.000Z</x:v>
      </x:c>
      <x:c r="X24" s="43"/>
      <x:c r="Y24" s="29"/>
      <x:c r="Z24" s="29"/>
      <x:c r="AA24" s="29"/>
      <x:c r="AB24" s="29"/>
      <x:c r="AC24" s="29"/>
      <x:c r="AD24" s="29" t="str">
        <x:v>Opened Developing at confidence 3/5 and trading edge 1/5. Primary DARPA and issuer records establish a credible government-validation mechanism, but no initial obligation is disclosed, several architectures remain in Stage C, the stock lacks positive confirmation and valuation, operating losses and acquisition dilution materially limit edge. Motley Fool is trigger only. No real trade is authorized.</x:v>
      </x:c>
      <x:c r="AE24" s="31" t="str">
        <x:f>IF(COUNTIF(Y24:AC24,"&lt;&gt;")=0,"",COUNTIF(Y24:AC24,"Yes")/COUNTA(Y24:AC24))</x:f>
      </x:c>
    </x:row>
    <x:row r="25">
      <x:c r="A25" s="27" t="str">
        <x:v>EEI-2026-020</x:v>
      </x:c>
      <x:c r="B25" s="27" t="str">
        <x:v>ASML AI lithography demand and constrained capacity</x:v>
      </x:c>
      <x:c r="C25" s="27" t="str">
        <x:v>Semiconductors and capital equipment</x:v>
      </x:c>
      <x:c r="D25" s="30" t="d">
        <x:v>2026-10-13T10:12:00.000Z</x:v>
      </x:c>
      <x:c r="E25" s="30" t="d">
        <x:v>2026-10-14T12:01:57.000Z</x:v>
      </x:c>
      <x:c r="F25" s="27" t="str">
        <x:v>Strong</x:v>
      </x:c>
      <x:c r="G25" s="27" t="str">
        <x:v>Public Motley Fool editorial followed by primary quarterly results</x:v>
      </x:c>
      <x:c r="H25" s="27" t="str">
        <x:v>ASML system shipments, installed-base sales, order visibility, gross margin and manufacturing-capacity utilization</x:v>
      </x:c>
      <x:c r="I25" s="27" t="str">
        <x:v>Up</x:v>
      </x:c>
      <x:c r="J25" s="27" t="str">
        <x:v>One to four years</x:v>
      </x:c>
      <x:c r="K25" s="27" t="n">
        <x:v>4</x:v>
      </x:c>
      <x:c r="L25" s="27" t="n">
        <x:v>1</x:v>
      </x:c>
      <x:c r="M25" s="27" t="str">
        <x:v>WAIT</x:v>
      </x:c>
      <x:c r="N25" s="29" t="str">
        <x:v>A free October 13 Motley Fool article by Daniel Foelber proposed ASML as an AI-infrastructure beneficiary and identified Q3 system mix, High-NA adoption, gross margin and capacity as the tests. ASML's October 14 primary release independently confirmed €11.7 billion of sales, €5.0 billion of net income, 57.5% gross margin, 113 new systems sold and customer demand beyond planned 2027-2028 capacity. Motley Fool is trigger only, not confirmation.</x:v>
      </x:c>
      <x:c r="O25" s="29" t="str">
        <x:v>AI-driven logic and high-bandwidth-memory capital spending raises demand for ASML's EUV and DUV tools; a larger installed base lifts recurring service revenue, while capacity constraint and product mix support margins. The long-run expression depends on customer capex converting to binding orders and ASML expanding capacity without eroding returns.</x:v>
      </x:c>
      <x:c r="P25" s="29" t="str">
        <x:v>Q3 sales rose to €11.662 billion from €9.326 billion in Q2, gross margin rose to 57.5% from 54.0%, net income reached €4.960 billion and new-system shipments rose to 113 from 86. ASML guided Q4 sales to €14.2-€15.2 billion, full-year sales to €44-€45 billion and full-year gross margin near 56%. Management said planned 2027-2028 supply is insufficient for customer forecasts and is exploring capacity beyond a 30% increase. Cash and short-term investments were about €12.7 billion.</x:v>
      </x:c>
      <x:c r="Q25" s="29" t="str">
        <x:v>The shares had already risen roughly 65%-70% year to date and valuation was about 53.5 times trailing earnings and 30 times forward earnings. Q3 sales narrowly missed consensus and the early market response was modest and mixed. Customer forecasts are not binding orders; semiconductor capex is cyclical and concentrated. China export controls threaten DUV demand, while rapid capacity expansion creates execution and cost risk.</x:v>
      </x:c>
      <x:c r="R25" s="29"/>
      <x:c r="S25" s="29" t="str">
        <x:v>Early European shares rose about 1%-3%, while the U.S. ADR response was mixed to roughly flat. That is fundamental confirmation without a decisive new price breakout and supports WAIT rather than headline chasing.</x:v>
      </x:c>
      <x:c r="T25" s="29" t="str">
        <x:v>ASML is the direct conditional expression only after a non-headline consolidation or orderly retracement, continued order conversion, durable 56%-plus gross margin and evidence that capacity expansion remains demand-backed. Broad semiconductor ETFs dilute the ASML-specific mechanism. Valuation, export-control, customer-concentration, capex-cycle and expansion-execution risks apply.</x:v>
      </x:c>
      <x:c r="U25" s="29" t="str">
        <x:v>Material order cancellations or customer-capex reductions; planned 2027-2028 capacity no longer constrained because demand weakens; sustained margin deterioration; export controls materially erode China/DUV economics; installed-base growth stalls; or capacity expansion consumes cash without commensurate orders and returns.</x:v>
      </x:c>
      <x:c r="V25" s="43" t="str">
        <x:v>2026-10-14: AI-driven lithography demand should keep ASML revenue, installed-base sales and margins elevated over one to four years if customer forecasts convert to orders and planned capacity remains constrained. Initial Entry Window: WAIT because valuation and prior repricing leave limited unpriced edge.</x:v>
      </x:c>
      <x:c r="W25" s="43" t="d">
        <x:v>2026-11-14T12:00:00.000Z</x:v>
      </x:c>
      <x:c r="X25" s="43"/>
      <x:c r="Y25" s="29"/>
      <x:c r="Z25" s="29"/>
      <x:c r="AA25" s="29"/>
      <x:c r="AB25" s="29"/>
      <x:c r="AC25" s="29"/>
      <x:c r="AD25" s="29" t="str">
        <x:v>Opened Strong at confidence 4/5 and trading edge 1/5. Primary results confirm the economic variable and capacity mechanism, but valuation, prior price appreciation, export-control risk and a modest mixed market reaction make the Entry Window WAIT. Motley Fool is trigger only. No real trade is authorized.</x:v>
      </x:c>
      <x:c r="AE25" s="31" t="str">
        <x:f>IF(COUNTIF(Y25:AC25,"&lt;&gt;")=0,"",COUNTIF(Y25:AC25,"Yes")/COUNTA(Y25:AC25))</x:f>
      </x:c>
    </x:row>
    <x:row r="26">
      <x:c r="A26" s="27" t="str">
        <x:v>EEI-2026-021</x:v>
      </x:c>
      <x:c r="B26" s="27" t="str">
        <x:v>Travelers underwriting and investment-income dislocation</x:v>
      </x:c>
      <x:c r="C26" s="27" t="str">
        <x:v>Financials and insurance</x:v>
      </x:c>
      <x:c r="D26" s="30" t="n">
        <x:v>46311</x:v>
      </x:c>
      <x:c r="E26" s="30" t="n">
        <x:v>46311.378</x:v>
      </x:c>
      <x:c r="F26" s="27" t="str">
        <x:v>Developing</x:v>
      </x:c>
      <x:c r="G26" s="27" t="str">
        <x:v>Earnings and valuation dislocation</x:v>
      </x:c>
      <x:c r="H26" s="27" t="str">
        <x:v>Underlying underwriting profitability, investment income and core return on equity</x:v>
      </x:c>
      <x:c r="I26" s="27" t="str">
        <x:v>Up</x:v>
      </x:c>
      <x:c r="J26" s="27" t="str">
        <x:v>6 to 12 months</x:v>
      </x:c>
      <x:c r="K26" s="27" t="n">
        <x:v>4</x:v>
      </x:c>
      <x:c r="L26" s="27" t="n">
        <x:v>3</x:v>
      </x:c>
      <x:c r="M26" s="27" t="str">
        <x:v>REJECT 2026-10-17</x:v>
      </x:c>
      <x:c r="N26" s="29" t="str">
        <x:v>Travelers reported $9.18 of third-quarter core EPS, 22.1% core ROE, an 84.1% underlying combined ratio and record investment income, while the shares were indicated at $371.30 at 8:59 a.m. ET, down 3.28% from the October 15 close.</x:v>
      </x:c>
      <x:c r="O26" s="29" t="str">
        <x:v>Sustained underwriting margins, favorable reserve development, higher reinvestment yields and repurchases can support earnings and per-share value. A post-report discount creates a better risk/reward only if premium growth resumes and catastrophe losses do not overwhelm pricing and reserves.</x:v>
      </x:c>
      <x:c r="P26" s="29" t="str">
        <x:v>The SEC-filed release reported $1.947 billion of core income, 22.1% core ROE, $1.736 billion of underlying underwriting income, an 84.1% underlying combined ratio, $1.098 billion of pre-tax net investment income and $1.508 billion of repurchases.</x:v>
      </x:c>
      <x:c r="Q26" s="29" t="str">
        <x:v>Net written premiums were essentially flat year over year, catastrophe losses increased, the underlying combined ratio was slightly worse than the prior-year quarter, and part of per-share growth came from repurchases and favorable prior-year reserve development. Premarket price discovery is not regular-session confirmation.</x:v>
      </x:c>
      <x:c r="R26" s="29"/>
      <x:c r="S26" s="29" t="str">
        <x:v>TRV closed October 16 at $389.54 after opening at $370.00 and trading as high as $390.91. It finished 6.72% above the proposed $365 entry and only 2.30% below its 52-week high, on more than twice average volume. The fundamental thesis remains supported, but the original entry edge was consumed.</x:v>
      </x:c>
      <x:c r="T26" s="29" t="str">
        <x:v>REJECT the stale $365 proposal and do not chase at $389.54. If TRV is reconsidered, use a fresh regular-session quote and label it ACTIONABLE NOW only when the current market price still offers acceptable downside-to-reward; no limit-order alert is intended for the user.</x:v>
      </x:c>
      <x:c r="U26" s="29" t="str">
        <x:v>Withdraw the proposal if the October 23 expiry passes without a qualifying price, if reserve development turns materially adverse, if premium growth remains nonpositive while the underlying combined ratio worsens materially, or if catastrophe losses overwhelm pricing and investment-income support.</x:v>
      </x:c>
      <x:c r="V26" s="43" t="str">
        <x:v>2026-10-16: Travelers' underwriting profitability and investment income should support high core returns over 6 to 12 months. A price at or below $365 is expected to offer a better chance of outperforming SPY if premium growth resumes and catastrophe losses do not overwhelm pricing and reserves. Initial paper decision: proposed $500 limit at $365 expiring October 23; not live and not filled without capital rules and executable evidence.</x:v>
      </x:c>
      <x:c r="W26" s="43" t="d">
        <x:v>2026-11-26T14:30:00.000Z</x:v>
      </x:c>
      <x:c r="X26" s="43"/>
      <x:c r="Y26" s="29"/>
      <x:c r="Z26" s="29"/>
      <x:c r="AA26" s="29"/>
      <x:c r="AB26" s="29"/>
      <x:c r="AC26" s="29" t="str">
        <x:v>8:33 a.m. ET premarket checkpoint review: TRV's last official close was $398.28. The prior $365 proposal remains withdrawn and no position exists. Strong underwriting evidence persists, but the reference price still fails the original valuation discipline and no new catalyst justifies a market-price chase. Review again after the next operating update or a materially better price.</x:v>
      </x:c>
      <x:c r="AD26" s="29" t="str">
        <x:v>New October 16 thesis. Proposed pending order, not an actual position. Review on October 23: execute only with qualifying price and complete execution/capital evidence, renew only with new evidence, or reject. Frozen initial prediction preserved. October 17 execution-preference review: REJECT and withdraw the proposed $365 pending order. The user does not intend to use limit orders, TRV closed at $389.54, and a stale setup cannot be converted into a market-price chase. Recheck only with a fresh regular-session quote and acceptable current-price risk/reward. No position or fill exists. October 19 review: REJECT remains in force. No fresh regular-session quote was available before this scan, the $365 proposal stays withdrawn and no position exists. Next evidence checkpoint October 26; reassess only with a current-price risk/reward case.</x:v>
      </x:c>
      <x:c r="AE26" s="31" t="n">
        <x:f>IF(COUNTIF(Y26:AC26,"&lt;&gt;")=0,"",COUNTIF(Y26:AC26,"Yes")/COUNTA(Y26:AC26))</x:f>
        <x:v>0</x:v>
      </x:c>
    </x:row>
    <x:row r="27">
      <x:c r="A27" s="27" t="str">
        <x:v>EEI-2026-022</x:v>
      </x:c>
      <x:c r="B27" s="27" t="str">
        <x:v>AT&amp;T connectivity growth and valuation dislocation</x:v>
      </x:c>
      <x:c r="C27" s="27" t="str">
        <x:v>Communication services and telecom</x:v>
      </x:c>
      <x:c r="D27" s="30" t="d">
        <x:v>2026-10-21T13:46:46.000Z</x:v>
      </x:c>
      <x:c r="E27" s="30" t="d">
        <x:v>2026-10-21T13:46:46.000Z</x:v>
      </x:c>
      <x:c r="F27" s="27" t="str">
        <x:v>Developing</x:v>
      </x:c>
      <x:c r="G27" s="27" t="str">
        <x:v>Earnings, guidance and valuation dislocation</x:v>
      </x:c>
      <x:c r="H27" s="27" t="str">
        <x:v>Advanced Connectivity service revenue, subscribers, free cash flow and net leverage</x:v>
      </x:c>
      <x:c r="I27" s="27" t="str">
        <x:v>Up</x:v>
      </x:c>
      <x:c r="J27" s="27" t="str">
        <x:v>Six to eighteen months</x:v>
      </x:c>
      <x:c r="K27" s="27" t="n">
        <x:v>3</x:v>
      </x:c>
      <x:c r="L27" s="27" t="n">
        <x:v>2</x:v>
      </x:c>
      <x:c r="M27" s="27" t="str">
        <x:v>REJECT 2026-10-23</x:v>
      </x:c>
      <x:c r="N27" s="29" t="str">
        <x:v>AT&amp;T reported faster revenue, adjusted EPS, EBITDA and Advanced Connectivity growth, raised 2026 adjusted-EPS guidance to about $2.40 and reiterated at least $18B of free cash flow. The shares traded at $22.01 at 9:31 a.m. ET (15-minute-delayed public feed), within the precommitted $23.50 no-chase ceiling.</x:v>
      </x:c>
      <x:c r="O27" s="29" t="str">
        <x:v>Fiber, fixed wireless and postpaid subscriber additions should expand higher-quality connectivity revenue and cash generation. At the observed price, the equity is valued below ten times raised adjusted EPS and carries a meaningful dividend-plus-buyback yield before growth, providing potential rerating room if debt reduction and legacy-cost removal hold.</x:v>
      </x:c>
      <x:c r="P27" s="29" t="str">
        <x:v>AT&amp;T's primary Q3 release reported revenue of $32.3B, up 5.3%; adjusted EPS of $0.65; adjusted EBITDA of $12.5B, up 5.4%; operating cash flow of $10.5B; free cash flow of $5.0B; Advanced Connectivity service revenue up 6.1%; and 442,000 fiber, 327,000 fixed-wireless and 379,000 postpaid-phone net additions. Reuters independently confirmed the revenue and EPS beats and raised outlook.</x:v>
      </x:c>
      <x:c r="Q27" s="29" t="str">
        <x:v>Net debt remained $149.8B and total debt $159.6B; management does not expect to reach roughly 2.5 times leverage until 2029. Legacy revenue fell 24.5%, Mexico produced a $2.6B impairment, capital intensity remains high, and the initial market reaction was negative despite the beat. On October 22, Reuters reported that SpaceX was discussing access to at least 80,000 U.S. cell sites, potentially enabling a fourth nationwide carrier and creating a direct long-horizon contradiction to AT&amp;T's competitive-position assumptions.</x:v>
      </x:c>
      <x:c r="R27" s="29"/>
      <x:c r="S27" s="29" t="str">
        <x:v>AT&amp;T, Verizon and T-Mobile fell roughly 4.2%-5% in extended trading after the SpaceX report. The broad industry reaction confirms that investors viewed the potential entrant as material, but it was not a regular-session executable price and the underlying talks were unconfirmed by the named companies.</x:v>
      </x:c>
      <x:c r="T27" s="29" t="str">
        <x:v>T common equity. No paper position exists and the prior $300 proposal was never filled. Reject a current entry. Reopen only after a fresh regular-session quote and evidence that the reported site-access talks either fail to mature or do not impair AT&amp;T's subscriber economics; require continued Advanced Connectivity growth and no deterioration in free cash flow or leverage guidance.</x:v>
      </x:c>
      <x:c r="U27" s="29" t="str">
        <x:v>A daily close below $21.50; a cut to 2026 free-cash-flow or adjusted-EPS guidance; weakening Advanced Connectivity service growth or subscriber additions; or deterioration in the net-debt path.</x:v>
      </x:c>
      <x:c r="V27" s="43" t="str">
        <x:v>2026-10-21: Advanced Connectivity growth, subscriber additions and at least $18B of free cash flow should support per-share value over six to eighteen months if leverage trends down and legacy declines remain contained. Initial paper decision: proposed $300 exploratory market-price entry near $22.01; do not chase above $23.50. No fill without capital and sizing rules.</x:v>
      </x:c>
      <x:c r="W27" s="43" t="d">
        <x:v>2026-11-26T14:30:00.000Z</x:v>
      </x:c>
      <x:c r="X27" s="43"/>
      <x:c r="Y27" s="29"/>
      <x:c r="Z27" s="29"/>
      <x:c r="AA27" s="29"/>
      <x:c r="AB27" s="29"/>
      <x:c r="AC27" s="29" t="str">
        <x:v>8:33 a.m. ET premarket checkpoint review: T's last official close was $20.93. The October 21 proposal remains unfilled and the October 23 rejection remains in force. The SpaceX buildout report is not a signed network, but no primary evidence has removed the competitive threat; no AT&amp;T paper position exists.</x:v>
      </x:c>
      <x:c r="AD27" s="29" t="str">
        <x:v>Opened Strong at confidence 4/5 and trading edge 3/5. The October 21 ACTIONABLE NOW proposal was never a fill because capital and sizing rules were unavailable; its October 22 premarket watch expired unfilled. October 23 review: downgrade to Developing, confidence 3/5 and edge 2/5, and classify the current entry as REJECT after new reporting that SpaceX is seeking access to at least 80,000 U.S. sites for a possible fourth national carrier. The report is not a signed contract and a buildout could take years and more than $80B, so the economic thesis is weakened rather than invalidated. Paper Trades remains unchanged. No real trade is authorized.</x:v>
      </x:c>
      <x:c r="AE27" s="31" t="n">
        <x:f>IF(COUNTIF(Y27:AC27,"&lt;&gt;")=0,"",COUNTIF(Y27:AC27,"Yes")/COUNTA(Y27:AC27))</x:f>
        <x:v>0</x:v>
      </x:c>
    </x:row>
    <x:row r="28">
      <x:c r="A28" s="27" t="str">
        <x:v>EEI-2026-023</x:v>
      </x:c>
      <x:c r="B28" s="27" t="str">
        <x:v>Verizon subscriber acceleration and AI-fiber monetization</x:v>
      </x:c>
      <x:c r="C28" s="27" t="str">
        <x:v>Communication services and digital infrastructure</x:v>
      </x:c>
      <x:c r="D28" s="30" t="d">
        <x:v>2026-10-26T12:33:04.000Z</x:v>
      </x:c>
      <x:c r="E28" s="30" t="d">
        <x:v>2026-10-26T12:33:04.000Z</x:v>
      </x:c>
      <x:c r="F28" s="27" t="str">
        <x:v>Strong</x:v>
      </x:c>
      <x:c r="G28" s="27" t="str">
        <x:v>Earnings, raised guidance and commercial infrastructure agreement</x:v>
      </x:c>
      <x:c r="H28" s="27" t="str">
        <x:v>Postpaid subscriber growth, free cash flow and leverage-adjusted per-share value</x:v>
      </x:c>
      <x:c r="I28" s="27" t="str">
        <x:v>Up</x:v>
      </x:c>
      <x:c r="J28" s="27" t="str">
        <x:v>Six to twelve months</x:v>
      </x:c>
      <x:c r="K28" s="27" t="n">
        <x:v>4</x:v>
      </x:c>
      <x:c r="L28" s="27" t="n">
        <x:v>3</x:v>
      </x:c>
      <x:c r="M28" s="27" t="str">
        <x:v>REJECT 2026-10-27</x:v>
      </x:c>
      <x:c r="N28" s="29" t="str">
        <x:v>Verizon reported 406,000 postpaid phone net additions, raised 2026 adjusted-EPS and free-cash-flow growth guidance, and signed a framework with Amazon Web Services representing more than $2 billion of AI-infrastructure opportunity. The regular-session quote remained below a predefined no-chase ceiling.</x:v>
      </x:c>
      <x:c r="O28" s="29" t="str">
        <x:v>Sustained subscriber gains and service-revenue growth can lift EBITDA and free cash flow, while an AWS fiber build can add long-duration infrastructure demand. If free cash flow grows faster than debt and dividends, leverage and per-share value can improve over six to twelve months.</x:v>
      </x:c>
      <x:c r="P28" s="29" t="str">
        <x:v>Primary results show service revenue of $23.5 billion (+2.9%), adjusted EBITDA of $13.8 billion (+8.0%), adjusted EPS of $1.31 (+8.3%) and free cash flow of $7.8 billion (+12.1%). Verizon raised full-year adjusted EPS to $5.04-$5.06, postpaid phone net additions to 1.1-1.2 million and free-cash-flow growth to nearly 12%. The AWS framework exceeds $2 billion.</x:v>
      </x:c>
      <x:c r="Q28" s="29" t="str">
        <x:v>Quarterly revenue of $34.3 billion missed consensus, net unsecured debt was $123.7 billion and net debt to adjusted EBITDA was 2.3 times. Capital intensity remains high, the stock still carries telecom-disruption risk, and SpaceX's reported U.S. wireless ambitions could pressure long-run subscriber economics. The AWS framework must convert to revenue and attractive returns.</x:v>
      </x:c>
      <x:c r="R28" s="29"/>
      <x:c r="S28" s="29" t="str">
        <x:v>The October 26 proposal expired unfilled. At 9:32 a.m. ET regular-session checkpoint (15-minute-delayed public feed), VZ traded at $43.25. The fundamental evidence remains supportive, but the quote is close to or below the frozen $43.40 daily-close invalidation threshold and no new evidence justifies renewing the expired proposal.</x:v>
      </x:c>
      <x:c r="T28" s="29" t="str">
        <x:v>No Verizon position exists. Reject renewal of the expired proposal. Reassess only after a confirmed daily close above $43.40 with subscriber, free-cash-flow and debt evidence intact; use a fresh regular-session quote and a new finite decision.</x:v>
      </x:c>
      <x:c r="U28" s="29" t="str">
        <x:v>Withdraw the proposal above $45.25. Exit or invalidate on a daily close below $43.40, a cut to 2026 adjusted-EPS or free-cash-flow guidance, worsening subscriber economics, a materially weaker debt path, or evidence that competitive or buildout spending erodes returns.</x:v>
      </x:c>
      <x:c r="V28" s="43" t="str">
        <x:v>2026-10-26: Verizon's subscriber acceleration, raised guidance and AWS AI-fiber framework should support service revenue, free cash flow and per-share value over six to twelve months if debt trends improve and competition remains manageable. Initial paper decision: propose a $300 research-test entry only at or below $45.25 through October 26 close; no fill without capital and sizing rules.</x:v>
      </x:c>
      <x:c r="W28" s="43" t="d">
        <x:v>2026-11-26T14:30:00.000Z</x:v>
      </x:c>
      <x:c r="X28" s="43"/>
      <x:c r="Y28" s="29"/>
      <x:c r="Z28" s="29"/>
      <x:c r="AA28" s="29"/>
      <x:c r="AB28" s="29"/>
      <x:c r="AC28" s="29"/>
      <x:c r="AD28" s="29" t="str">
        <x:v>October 27 expiry review: the October 26 $300 proposal expired unfilled and is now REJECT, not WAIT. At 9:32 a.m. ET regular-session checkpoint (15-minute-delayed public feed), VZ was $43.25, near or below the frozen $43.40 daily-close invalidation level. The thesis remains Strong 4/5 with edge 3/5 pending a closing-price test; no position or fill exists and the frozen prediction was not altered.</x:v>
      </x:c>
      <x:c r="AE28" s="31"/>
    </x:row>
    <x:row r="29">
      <x:c r="A29" s="27" t="str">
        <x:v>EEI-2026-024</x:v>
      </x:c>
      <x:c r="B29" s="27" t="str">
        <x:v>SoFi earnings inflection and valuation reset</x:v>
      </x:c>
      <x:c r="C29" s="27" t="str">
        <x:v>Financials and fintech</x:v>
      </x:c>
      <x:c r="D29" s="30" t="d">
        <x:v>2026-10-27T13:32:55.000Z</x:v>
      </x:c>
      <x:c r="E29" s="30" t="d">
        <x:v>2026-10-27T13:32:55.000Z</x:v>
      </x:c>
      <x:c r="F29" s="27" t="str">
        <x:v>Strong</x:v>
      </x:c>
      <x:c r="G29" s="27" t="str">
        <x:v>Earnings, raised guidance and valuation dislocation</x:v>
      </x:c>
      <x:c r="H29" s="27" t="str">
        <x:v>Revenue, member growth, credit performance and earnings per share</x:v>
      </x:c>
      <x:c r="I29" s="27" t="str">
        <x:v>Up</x:v>
      </x:c>
      <x:c r="J29" s="27" t="str">
        <x:v>Six to twelve months</x:v>
      </x:c>
      <x:c r="K29" s="27" t="n">
        <x:v>4</x:v>
      </x:c>
      <x:c r="L29" s="27" t="n">
        <x:v>3</x:v>
      </x:c>
      <x:c r="M29" s="27" t="str">
        <x:v>REJECT 2026-10-27</x:v>
      </x:c>
      <x:c r="N29" s="29" t="str">
        <x:v>SoFi reported record Q3 revenue and profit, raised 2026 guidance and introduced a 2027 outlook implying 27% adjusted-revenue growth and $0.90 EPS. The shares remained far below their year-to-date high, creating a potential earnings-growth versus valuation dislocation.</x:v>
      </x:c>
      <x:c r="O29" s="29" t="str">
        <x:v>Member and product growth, higher fee-based revenue, cheaper deposits and operating leverage can raise net income and per-share value. The mechanism requires personal-loan credit to remain controlled and technology-platform weakness not to spread into consolidated growth.</x:v>
      </x:c>
      <x:c r="P29" s="29" t="str">
        <x:v>SoFi reported $1.385B of GAAP revenue, up 44%, $241M of net income, $0.18 diluted EPS, $469.8M of adjusted EBITDA, 17.1M members and $570.6M of fee-based revenue. It guided to $5.04B of 2026 adjusted revenue and $0.61 EPS, and approximately $6.4B and $0.90 EPS for 2027. Personal-loan charge-offs improved and deposits reached $51.3B.</x:v>
      </x:c>
      <x:c r="Q29" s="29" t="str">
        <x:v>Technology Platform revenue fell 24% year over year to $87.4M and contribution profit fell 56%, largely after a major client left. The thesis remains exposed to consumer credit, rate sensitivity, personal-loan concentration, stock-based compensation, dilution and execution against ambitious 2027 guidance.</x:v>
      </x:c>
      <x:c r="R29" s="29"/>
      <x:c r="S29" s="29" t="str">
        <x:v>At 9:32 a.m. ET regular-session checkpoint (15-minute-delayed public feed), SOFI traded at $15.86 in the regular session. The quote exceeded the $15.25 no-chase ceiling; at that ceiling the company's 2027 EPS outlook implies about 16.9 times earnings.</x:v>
      </x:c>
      <x:c r="T29" s="29" t="str">
        <x:v>REJECT an immediate paper entry at $15.86 because the quote exceeded the precommitted $15.25 no-chase ceiling. Reassess after an orderly consolidation or the next credit and technology-platform update; no live order.</x:v>
      </x:c>
      <x:c r="U29" s="29" t="str">
        <x:v>Exit or invalidate on a daily close below $13.75, a cut to 2027 revenue or EPS guidance, materially worsening personal-loan charge-offs or delinquencies, or technology-platform weakness spreading into consolidated growth. Do not chase above $15.25.</x:v>
      </x:c>
      <x:c r="V29" s="43" t="str">
        <x:v>2026-10-27: SoFi's member growth, fee mix, controlled credit and operating leverage should lift revenue and EPS over six to twelve months if the 2027 outlook converts and technology-platform weakness remains contained. Initial paper decision: reject an immediate entry above $15.25 and require an orderly consolidation or new evidence.</x:v>
      </x:c>
      <x:c r="W29" s="43" t="d">
        <x:v>2026-11-27T14:30:00.000Z</x:v>
      </x:c>
      <x:c r="X29" s="43"/>
      <x:c r="Y29" s="29"/>
      <x:c r="Z29" s="29"/>
      <x:c r="AA29" s="29"/>
      <x:c r="AB29" s="29"/>
      <x:c r="AC29" s="29"/>
      <x:c r="AD29" s="29" t="str">
        <x:v>Opened Strong at confidence 4/5 and trading edge 3/5. Primary results establish the earnings inflection and credit evidence, while an independent market report confirms materiality. The $15.86 regular-session quote exceeded the no-chase ceiling, so entry is rejected today. No actual position or fill exists because portfolio capital and sizing rules are unavailable. Review November 27.</x:v>
      </x:c>
      <x:c r="AE29" s="31"/>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a7ee703641bd4672"/>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A346" t="str">
        <x:v>EV-2026-341</x:v>
      </x:c>
      <x:c r="B346" t="str">
        <x:v>EEI-2026-001</x:v>
      </x:c>
      <x:c r="C346" s="21" t="n">
        <x:v>46300.833333333336</x:v>
      </x:c>
      <x:c r="D346" t="str">
        <x:v>Paper-trade outcome</x:v>
      </x:c>
      <x:c r="E346" t="str">
        <x:v>S&amp;P Global Market Intelligence via StockAnalysis</x:v>
      </x:c>
      <x:c r="F346" t="str">
        <x:v>Regular-session closing market data</x:v>
      </x:c>
      <x:c r="G346" s="44" t="str">
        <x:v>https://stockanalysis.com/etf/bno/history/</x:v>
      </x:c>
      <x:c r="H346" s="44" t="str">
        <x:v>BNO closed October 5 at $61.45 versus the $57.21 September 8 opening entry. The $1,000 paper position was worth $1,074.11, up $74.11 or 7.41%; BNO fell 2.61% for the session.</x:v>
      </x:c>
      <x:c r="I346" s="44" t="str">
        <x:v>Direct Brent expression remains positive but weakened</x:v>
      </x:c>
      <x:c r="J346" s="44" t="str">
        <x:v>5</x:v>
      </x:c>
      <x:c r="K346" s="44" t="str">
        <x:v>BNO remains the strongest cumulative paper position, but recovered regional exports and the G7 emergency release compressed part of its gain. This post-horizon mark does not change the completed September 18 score.</x:v>
      </x:c>
    </x:row>
    <x:row r="347">
      <x:c r="A347" t="str">
        <x:v>EV-2026-342</x:v>
      </x:c>
      <x:c r="B347" t="str">
        <x:v>EEI-2026-001</x:v>
      </x:c>
      <x:c r="C347" s="21" t="n">
        <x:v>46300.833333333336</x:v>
      </x:c>
      <x:c r="D347" t="str">
        <x:v>Paper-trade outcome</x:v>
      </x:c>
      <x:c r="E347" t="str">
        <x:v>S&amp;P Global Market Intelligence via StockAnalysis</x:v>
      </x:c>
      <x:c r="F347" t="str">
        <x:v>Regular-session closing market data</x:v>
      </x:c>
      <x:c r="G347" s="44" t="str">
        <x:v>https://stockanalysis.com/etf/uso/history/</x:v>
      </x:c>
      <x:c r="H347" s="44" t="str">
        <x:v>USO closed October 5 at $143.99 versus the $144.60 September 8 opening entry. The $1,000 paper position was worth $995.78, down $4.22 or 0.42%; USO fell 2.29% for the session.</x:v>
      </x:c>
      <x:c r="I347" s="44" t="str">
        <x:v>Weakens the direct WTI expression after the formal horizon</x:v>
      </x:c>
      <x:c r="J347" s="44" t="str">
        <x:v>5</x:v>
      </x:c>
      <x:c r="K347" s="44" t="str">
        <x:v>USO slipped below entry as recovered crude flows and emergency releases reduced the original crude-availability premium.</x:v>
      </x:c>
    </x:row>
    <x:row r="348">
      <x:c r="A348" t="str">
        <x:v>EV-2026-343</x:v>
      </x:c>
      <x:c r="B348" t="str">
        <x:v>EEI-2026-001</x:v>
      </x:c>
      <x:c r="C348" s="21" t="n">
        <x:v>46300.833333333336</x:v>
      </x:c>
      <x:c r="D348" t="str">
        <x:v>Paper-trade outcome</x:v>
      </x:c>
      <x:c r="E348" t="str">
        <x:v>S&amp;P Global Market Intelligence via StockAnalysis</x:v>
      </x:c>
      <x:c r="F348" t="str">
        <x:v>Regular-session closing market data</x:v>
      </x:c>
      <x:c r="G348" s="44" t="str">
        <x:v>https://stockanalysis.com/etf/xop/history/</x:v>
      </x:c>
      <x:c r="H348" s="44" t="str">
        <x:v>XOP closed October 5 at $187.44 versus the $193.84 September 8 opening entry. The $1,000 paper position was worth $966.98, down $33.02 or 3.30%; XOP gained 1.36% for the session.</x:v>
      </x:c>
      <x:c r="I348" s="44" t="str">
        <x:v>Narrows the indirect-expression loss but remains negative</x:v>
      </x:c>
      <x:c r="J348" s="44" t="str">
        <x:v>5</x:v>
      </x:c>
      <x:c r="K348" s="44" t="str">
        <x:v>XOP outperformed the direct crude funds for the session but remains below entry and remains the weakest cumulative paper position.</x:v>
      </x:c>
    </x:row>
    <x:row r="349">
      <x:c r="A349" t="str">
        <x:v>EV-2026-344</x:v>
      </x:c>
      <x:c r="B349" t="str">
        <x:v>EEI-2026-001</x:v>
      </x:c>
      <x:c r="C349" s="21" t="n">
        <x:v>46300.833333333336</x:v>
      </x:c>
      <x:c r="D349" t="str">
        <x:v>Post-horizon normalization counterevidence</x:v>
      </x:c>
      <x:c r="E349" t="str">
        <x:v>Reuters / Kpler / Vortexa</x:v>
      </x:c>
      <x:c r="F349" t="str">
        <x:v>High-quality reporting and independent shipping data</x:v>
      </x:c>
      <x:c r="G349" s="44" t="str">
        <x:v>https://www.reuters.com/business/energy/middle-east-crude-oil-exports-exceed-pre-war-levels-tanker-attacks-increase-2026-10-05/</x:v>
      </x:c>
      <x:c r="H349" s="44" t="str">
        <x:v>The seven-day average for regional crude exports reached 18.3 million barrels per day on September 30, and the fourteen-day average reached 18.6 million, matching or exceeding prewar levels. Saudi Arabia loaded from both the Red Sea and Gulf.</x:v>
      </x:c>
      <x:c r="I349" s="44" t="str">
        <x:v>Strongly weakens the original crude-availability constraint</x:v>
      </x:c>
      <x:c r="J349" s="44" t="str">
        <x:v>5</x:v>
      </x:c>
      <x:c r="K349" s="44" t="str">
        <x:v>The market has adapted through higher Saudi loadings, tanker shuttles and transfers. This is strong post-horizon invalidating evidence for a simple crude-volume shortage.</x:v>
      </x:c>
    </x:row>
    <x:row r="350">
      <x:c r="A350" t="str">
        <x:v>EV-2026-345</x:v>
      </x:c>
      <x:c r="B350" t="str">
        <x:v>EEI-2026-001</x:v>
      </x:c>
      <x:c r="C350" s="21" t="n">
        <x:v>46300.833333333336</x:v>
      </x:c>
      <x:c r="D350" t="str">
        <x:v>Post-horizon market and logistics modifier</x:v>
      </x:c>
      <x:c r="E350" t="str">
        <x:v>Reuters</x:v>
      </x:c>
      <x:c r="F350" t="str">
        <x:v>High-quality reporting and settlement data</x:v>
      </x:c>
      <x:c r="G350" s="44" t="str">
        <x:v>https://www.reuters.com/business/energy/oil-climbs-after-yemeni-houthis-attack-saudi-aramco-sites-2026-10-04/</x:v>
      </x:c>
      <x:c r="H350" s="44" t="str">
        <x:v>Brent settled October 5 at $100.32, down 1.89%, and WTI at $89.43, down 1.84%, after the G7 pledged a 100-million-barrel emergency release. At least seven tanker incidents, thin inventories and continuing infrastructure attacks limited the decline.</x:v>
      </x:c>
      <x:c r="I350" s="44" t="str">
        <x:v>Weakens the extended hold; confirms residual logistics risk</x:v>
      </x:c>
      <x:c r="J350" s="44" t="str">
        <x:v>5</x:v>
      </x:c>
      <x:c r="K350" s="44" t="str">
        <x:v>Crude-volume normalization and policy supply buffers dominate today. Tanker attacks, strained transport capacity, low inventories and an elusive truce keep a residual risk premium.</x:v>
      </x:c>
    </x:row>
    <x:row r="351">
      <x:c r="A351" t="str">
        <x:v>EV-2026-346</x:v>
      </x:c>
      <x:c r="B351" t="str">
        <x:v>EEI-2026-009</x:v>
      </x:c>
      <x:c r="C351" s="21" t="d">
        <x:v>2026-10-06T12:19:43.000Z</x:v>
      </x:c>
      <x:c r="D351" t="str">
        <x:v>Physical supply and price normalization</x:v>
      </x:c>
      <x:c r="E351" t="str">
        <x:v>Reuters / Kpler / Vortexa</x:v>
      </x:c>
      <x:c r="F351" t="str">
        <x:v>High-quality independent reporting and shipping data</x:v>
      </x:c>
      <x:c r="G351" s="44" t="str">
        <x:v>https://www.reuters.com/business/energy/oil-prices-slip-traders-weigh-strong-mideast-exports-against-gulf-tensions-2026-10-06/</x:v>
      </x:c>
      <x:c r="H351" s="44" t="str">
        <x:v>Gulf crude flows excluding Iran recovered above 81% of prewar levels in September, the Saudi East-West pipeline reached 5.8 million bpd and Saudi Arabia cut Arab Light prices to six-year lows; Brent and WTI fell about 1.7% and 2.1% intraday.</x:v>
      </x:c>
      <x:c r="I351" s="44" t="str">
        <x:v>Strengthens crude-normalization contradiction</x:v>
      </x:c>
      <x:c r="J351" s="44" t="n">
        <x:v>5</x:v>
      </x:c>
      <x:c r="K351" s="44" t="str">
        <x:v>Refined-product and security risks persist, but a simple crude-volume shortage is increasingly contradicted. EEI-2026-009 remains Actionable / WAIT and narrows toward products and logistics.</x:v>
      </x:c>
    </x:row>
    <x:row r="352">
      <x:c r="A352" t="str">
        <x:v>EV-2026-347</x:v>
      </x:c>
      <x:c r="B352" t="str">
        <x:v>EEI-2026-009</x:v>
      </x:c>
      <x:c r="C352" s="21" t="d">
        <x:v>2026-10-06T12:19:43.000Z</x:v>
      </x:c>
      <x:c r="D352" t="str">
        <x:v>Industry supply-duration context</x:v>
      </x:c>
      <x:c r="E352" t="str">
        <x:v>Reuters — Saudi Aramco and Kuwait Petroleum executives</x:v>
      </x:c>
      <x:c r="F352" t="str">
        <x:v>Credible executive statements; enhancer/context rather than proof</x:v>
      </x:c>
      <x:c r="G352" s="44" t="str">
        <x:v>https://www.reuters.com/business/energy/replenishing-crude-fuel-supplies-could-take-two-years-saudi-aramco-ceo-says-2026-10-05/</x:v>
      </x:c>
      <x:c r="H352" s="44" t="str">
        <x:v>Aramco's CEO said crude and fuel inventory replenishment could take up to two years, while Kuwait Petroleum's CEO estimated roughly 6 million bpd of refined-product supply remained unavailable.</x:v>
      </x:c>
      <x:c r="I352" s="44" t="str">
        <x:v>Supports persistent refined-product constraint</x:v>
      </x:c>
      <x:c r="J352" s="44" t="n">
        <x:v>3</x:v>
      </x:c>
      <x:c r="K352" s="44" t="str">
        <x:v>Executive estimates support duration but are not treated as independent proof. Physical data and market confirmation remain controlling.</x:v>
      </x:c>
    </x:row>
    <x:row r="353">
      <x:c r="A353" t="str">
        <x:v>EV-2026-348</x:v>
      </x:c>
      <x:c r="B353" t="str">
        <x:v>EEI-2026-011</x:v>
      </x:c>
      <x:c r="C353" s="21" t="d">
        <x:v>2026-10-06T12:19:43.000Z</x:v>
      </x:c>
      <x:c r="D353" t="str">
        <x:v>Replacement-barrel and refinery evidence</x:v>
      </x:c>
      <x:c r="E353" t="str">
        <x:v>Reuters / Kpler / Vortexa</x:v>
      </x:c>
      <x:c r="F353" t="str">
        <x:v>High-quality independent reporting and physical-flow data</x:v>
      </x:c>
      <x:c r="G353" s="44" t="str">
        <x:v>https://www.reuters.com/business/energy/chinese-independent-refiners-boost-iraqi-oil-purchases-iranian-flows-fall-2026-10-06/</x:v>
      </x:c>
      <x:c r="H353" s="44" t="str">
        <x:v>Chinese independent refiners bought 12-20 million barrels of Iraqi and Qatari replacement crude at delivered premiums around $12-$20 per barrel as Iranian exports and floating storage fell; Shandong utilization dropped toward 55%.</x:v>
      </x:c>
      <x:c r="I353" s="44" t="str">
        <x:v>Supports substitution and logistics-cost mechanism</x:v>
      </x:c>
      <x:c r="J353" s="44" t="n">
        <x:v>4</x:v>
      </x:c>
      <x:c r="K353" s="44" t="str">
        <x:v>Replacement supply exists, limiting outright scarcity, but the premiums and utilization loss show continuing friction and economic cost.</x:v>
      </x:c>
    </x:row>
    <x:row r="354">
      <x:c r="A354" t="str">
        <x:v>EV-2026-349</x:v>
      </x:c>
      <x:c r="B354" t="str">
        <x:v>EEI-2026-009</x:v>
      </x:c>
      <x:c r="C354" s="21" t="d">
        <x:v>2026-10-06T12:19:43.000Z</x:v>
      </x:c>
      <x:c r="D354" t="str">
        <x:v>Sanctions modifier</x:v>
      </x:c>
      <x:c r="E354" t="str">
        <x:v>Reuters / U.S. Treasury alert</x:v>
      </x:c>
      <x:c r="F354" t="str">
        <x:v>High-quality reporting of official policy</x:v>
      </x:c>
      <x:c r="G354" s="44" t="str">
        <x:v>https://www.reuters.com/world/middle-east/us-says-foreign-financial-institutions-doing-business-with-iran-may-be-sanctioned-without-notice-2026-10-05/</x:v>
      </x:c>
      <x:c r="H354" s="44" t="str">
        <x:v>The U.S. Treasury warned that foreign financial institutions transacting with Iran may be sanctioned without notice.</x:v>
      </x:c>
      <x:c r="I354" s="44" t="str">
        <x:v>Supports Iranian-flow isolation; no clean entry</x:v>
      </x:c>
      <x:c r="J354" s="44" t="n">
        <x:v>4</x:v>
      </x:c>
      <x:c r="K354" s="44" t="str">
        <x:v>The policy can increase payment and routing friction, but recovered non-Iran Gulf flows and policy stock releases offset the broader crude effect.</x:v>
      </x:c>
    </x:row>
    <x:row r="355">
      <x:c r="A355" t="str">
        <x:v>EV-2026-350</x:v>
      </x:c>
      <x:c r="B355" t="str">
        <x:v>EEI-2026-015</x:v>
      </x:c>
      <x:c r="C355" s="21" t="d">
        <x:v>2026-10-06T12:19:43.000Z</x:v>
      </x:c>
      <x:c r="D355" t="str">
        <x:v>Official financing confirmation</x:v>
      </x:c>
      <x:c r="E355" t="str">
        <x:v>U.S. Department of Energy</x:v>
      </x:c>
      <x:c r="F355" t="str">
        <x:v>Primary government announcement</x:v>
      </x:c>
      <x:c r="G355" s="44" t="str">
        <x:v>https://www.energy.gov/articles/energy-department-announces-42-billion-investment-boost-nuclear-power-and-help-lower</x:v>
      </x:c>
      <x:c r="H355" s="44" t="str">
        <x:v>DOE announced a conditional loan commitment of up to $4.2 billion for Vistra uprates and modernization, preserving nearly 4 GW and adding 433 MW across Pennsylvania and Ohio, with an option for Comanche Peak.</x:v>
      </x:c>
      <x:c r="I355" s="44" t="str">
        <x:v>Promotes thesis to Strong</x:v>
      </x:c>
      <x:c r="J355" s="44" t="n">
        <x:v>5</x:v>
      </x:c>
      <x:c r="K355" s="44" t="str">
        <x:v>The official amount and capacity resolve the prior confirmation gap. Funding still requires technical, legal, environmental and financial conditions and definitive documents.</x:v>
      </x:c>
    </x:row>
    <x:row r="356">
      <x:c r="A356" t="str">
        <x:v>EV-2026-351</x:v>
      </x:c>
      <x:c r="B356" t="str">
        <x:v>EEI-2026-017</x:v>
      </x:c>
      <x:c r="C356" s="21" t="d">
        <x:v>2026-10-06T12:19:43.000Z</x:v>
      </x:c>
      <x:c r="D356" t="str">
        <x:v>Primary contract and capacity confirmation</x:v>
      </x:c>
      <x:c r="E356" t="str">
        <x:v>Google and Constellation Energy</x:v>
      </x:c>
      <x:c r="F356" t="str">
        <x:v>Joint primary issuer announcement</x:v>
      </x:c>
      <x:c r="G356" s="44" t="str">
        <x:v>https://www.googlecloudpresscorner.com/2026-10-06-Google-and-Constellation-Announce-Landmark-Agreement-to-Bring-890-MW-of-New-Nuclear-Capacity-to-PJM-Grid-as-Part-of-Long-Term-Power-Deal</x:v>
      </x:c>
      <x:c r="H356" s="44" t="str">
        <x:v>A 20-year PPA is intended to enable 890 MW of new nuclear uprates at 11 units; a 15-year agreement covers 2,700 MW of existing PJM supply; Constellation expects more than $4.3 billion of investment and first uprate delivery in 2028.</x:v>
      </x:c>
      <x:c r="I356" s="44" t="str">
        <x:v>Opens EEI-2026-017 as Strong</x:v>
      </x:c>
      <x:c r="J356" s="44" t="n">
        <x:v>5</x:v>
      </x:c>
      <x:c r="K356" s="44" t="str">
        <x:v>The capacity, terms and investment are material, but pricing, returns and regulatory milestones were not disclosed.</x:v>
      </x:c>
    </x:row>
    <x:row r="357">
      <x:c r="A357" t="str">
        <x:v>EV-2026-352</x:v>
      </x:c>
      <x:c r="B357" t="str">
        <x:v>EEI-2026-017</x:v>
      </x:c>
      <x:c r="C357" s="21" t="d">
        <x:v>2026-10-06T12:19:43.000Z</x:v>
      </x:c>
      <x:c r="D357" t="str">
        <x:v>Independent contract confirmation</x:v>
      </x:c>
      <x:c r="E357" t="str">
        <x:v>Reuters</x:v>
      </x:c>
      <x:c r="F357" t="str">
        <x:v>High-quality independent reporting</x:v>
      </x:c>
      <x:c r="G357" s="44" t="str">
        <x:v>https://www.reuters.com/business/energy/google-enters-massive-36-gw-power-deal-with-constellation-energy-2026-10-06/</x:v>
      </x:c>
      <x:c r="H357" s="44" t="str">
        <x:v>Reuters independently confirmed the 3.59 GW package: 890 MW of new nuclear capacity and 2,700 MW of existing supply under long-duration agreements.</x:v>
      </x:c>
      <x:c r="I357" s="44" t="str">
        <x:v>Confirms materiality and structure</x:v>
      </x:c>
      <x:c r="J357" s="44" t="n">
        <x:v>4</x:v>
      </x:c>
      <x:c r="K357" s="44" t="str">
        <x:v>Independent confirmation supports the mechanism; economics and execution remain undisclosed.</x:v>
      </x:c>
    </x:row>
    <x:row r="358">
      <x:c r="A358" t="str">
        <x:v>EV-2026-353</x:v>
      </x:c>
      <x:c r="B358" t="str">
        <x:v>EEI-2026-017</x:v>
      </x:c>
      <x:c r="C358" s="21" t="d">
        <x:v>2026-10-06T12:19:43.000Z</x:v>
      </x:c>
      <x:c r="D358" t="str">
        <x:v>Primary financial baseline</x:v>
      </x:c>
      <x:c r="E358" t="str">
        <x:v>Constellation Energy investor relations</x:v>
      </x:c>
      <x:c r="F358" t="str">
        <x:v>Primary issuer earnings release</x:v>
      </x:c>
      <x:c r="G358" s="44" t="str">
        <x:v>https://investors.constellationenergy.com/news-releases/news-release-details/constellation-reports-second-quarter-2026-results</x:v>
      </x:c>
      <x:c r="H358" s="44" t="str">
        <x:v>Constellation reported Q2 revenue of $7.50 billion, adjusted operating EPS of $2.55 and raised 2026 guidance; nuclear capacity factor was 93% and Calpine integration remained an execution consideration.</x:v>
      </x:c>
      <x:c r="I358" s="44" t="str">
        <x:v>Supports capacity to invest; adds execution modifiers</x:v>
      </x:c>
      <x:c r="J358" s="44" t="n">
        <x:v>5</x:v>
      </x:c>
      <x:c r="K358" s="44" t="str">
        <x:v>The baseline is strong but does not disclose PPA economics or prove returns on the $4.3 billion program.</x:v>
      </x:c>
    </x:row>
    <x:row r="359">
      <x:c r="A359" t="str">
        <x:v>EV-2026-354</x:v>
      </x:c>
      <x:c r="B359" t="str">
        <x:v>EEI-2026-003</x:v>
      </x:c>
      <x:c r="C359" s="21" t="d">
        <x:v>2026-10-06T12:19:43.000Z</x:v>
      </x:c>
      <x:c r="D359" t="str">
        <x:v>National election control signal</x:v>
      </x:c>
      <x:c r="E359" t="str">
        <x:v>Reuters / Ipsos</x:v>
      </x:c>
      <x:c r="F359" t="str">
        <x:v>High-quality independent poll reporting</x:v>
      </x:c>
      <x:c r="G359" s="44" t="str">
        <x:v>https://www.reuters.com/world/us/trump-approval-record-low-hispanic-voters-sour-on-republicans-reutersipsos-poll-2026-10-05/</x:v>
      </x:c>
      <x:c r="H359" s="44" t="str">
        <x:v>Trump approval was 32%; registered voters preferred Democrats 44%-37%, independents 37%-21% and Hispanic voters 52%-26%. Reuters said analysts expect a Democratic House while the Senate remains competitive.</x:v>
      </x:c>
      <x:c r="I359" s="44" t="str">
        <x:v>Raises confidence to 5/5</x:v>
      </x:c>
      <x:c r="J359" s="44" t="n">
        <x:v>4</x:v>
      </x:c>
      <x:c r="K359" s="44" t="str">
        <x:v>Polling supports a control shift but is not a vote; 28% of independents remained undecided.</x:v>
      </x:c>
    </x:row>
    <x:row r="360">
      <x:c r="A360" t="str">
        <x:v>EV-2026-355</x:v>
      </x:c>
      <x:c r="B360" t="str">
        <x:v>EEI-2026-003</x:v>
      </x:c>
      <x:c r="C360" s="21" t="d">
        <x:v>2026-10-06T12:19:43.000Z</x:v>
      </x:c>
      <x:c r="D360" t="str">
        <x:v>State-level control signal</x:v>
      </x:c>
      <x:c r="E360" t="str">
        <x:v>Reuters</x:v>
      </x:c>
      <x:c r="F360" t="str">
        <x:v>High-quality independent reporting</x:v>
      </x:c>
      <x:c r="G360" s="44" t="str">
        <x:v>https://www.reuters.com/world/us/ohio-early-voting-begins-with-us-congress-control-line-2026-10-06/</x:v>
      </x:c>
      <x:c r="H360" s="44" t="str">
        <x:v>Ohio early voting began with its Senate contest and two House races rated toss-ups. Republicans hold the Senate 53-47, so Democrats need a net four seats.</x:v>
      </x:c>
      <x:c r="I360" s="44" t="str">
        <x:v>Strengthens competitive-control evidence</x:v>
      </x:c>
      <x:c r="J360" s="44" t="n">
        <x:v>4</x:v>
      </x:c>
      <x:c r="K360" s="44" t="str">
        <x:v>A toss-up is uncertainty, not confirmation. The required market-breadth and rates signal remains absent.</x:v>
      </x:c>
    </x:row>
    <x:row r="361">
      <x:c r="A361" t="str">
        <x:v>EV-2026-356</x:v>
      </x:c>
      <x:c r="B361"/>
      <x:c r="C361" s="21" t="d">
        <x:v>2026-10-06T12:19:43.000Z</x:v>
      </x:c>
      <x:c r="D361" t="str">
        <x:v>Rejected Motley Fool trigger cluster</x:v>
      </x:c>
      <x:c r="E361" t="str">
        <x:v>The Motley Fool — Neil Patel, Matt DiLallo, Eric Volkman and other public contributors</x:v>
      </x:c>
      <x:c r="F361" t="str">
        <x:v>Trigger only; free public editorials; article disclosures reviewed; no item treated as an official paid-service recommendation</x:v>
      </x:c>
      <x:c r="G361" s="44" t="str">
        <x:v>https://www.fool.com/investing-news/</x:v>
      </x:c>
      <x:c r="H361" s="44" t="str">
        <x:v>Public October 6 pieces promoted COST, BND, MKC, VZ, VUG, TSM and a possible MU stock split using valuation, yield, routine earnings, quality or split narratives.</x:v>
      </x:c>
      <x:c r="I361" s="44" t="str">
        <x:v>Rejected as distinct theses</x:v>
      </x:c>
      <x:c r="J361" s="44" t="n">
        <x:v>2</x:v>
      </x:c>
      <x:c r="K361" s="44" t="str">
        <x:v>No new material primary catalyst or underappreciated economic variable cleared the methodology. A stock split has no direct economic value; routine earnings and valuation claims are not confirmation.</x:v>
      </x:c>
    </x:row>
    <x:row r="362">
      <x:c r="A362" t="str">
        <x:v>EV-2026-357</x:v>
      </x:c>
      <x:c r="B362"/>
      <x:c r="C362" s="21" t="d">
        <x:v>2026-10-06T12:19:43.000Z</x:v>
      </x:c>
      <x:c r="D362" t="str">
        <x:v>Rejected Motley Fool technology trigger</x:v>
      </x:c>
      <x:c r="E362" t="str">
        <x:v>The Motley Fool — Daniel Sparks</x:v>
      </x:c>
      <x:c r="F362" t="str">
        <x:v>Trigger only; free public editorial; disclosures reviewed</x:v>
      </x:c>
      <x:c r="G362" s="44" t="str">
        <x:v>https://www.fool.com/investing/2026/10/06/anthropics-42-billion-deal-with-broadcom/</x:v>
      </x:c>
      <x:c r="H362" s="44" t="str">
        <x:v>The article highlighted Broadcom's financing and chip lease arrangement with Anthropic.</x:v>
      </x:c>
      <x:c r="I362" s="44" t="str">
        <x:v>Rejected as a new thesis</x:v>
      </x:c>
      <x:c r="J362" s="44" t="n">
        <x:v>2</x:v>
      </x:c>
      <x:c r="K362" s="44" t="str">
        <x:v>The factual catalyst was publicly filed and independently reported on October 1; circular-financing, counterparty and already-priced risks dominate five days later.</x:v>
      </x:c>
    </x:row>
    <x:row r="363">
      <x:c r="A363" t="str">
        <x:v>EV-2026-358</x:v>
      </x:c>
      <x:c r="B363"/>
      <x:c r="C363" s="21" t="d">
        <x:v>2026-10-06T12:19:43.000Z</x:v>
      </x:c>
      <x:c r="D363" t="str">
        <x:v>Rejected Motley Fool multi-stock list</x:v>
      </x:c>
      <x:c r="E363" t="str">
        <x:v>The Motley Fool — Parkev Tatevosian, CFA</x:v>
      </x:c>
      <x:c r="F363" t="str">
        <x:v>Trigger only; free public article/video published October 5 at 6:13 p.m. ET; author and publication position disclosures reviewed</x:v>
      </x:c>
      <x:c r="G363" s="44" t="str">
        <x:v>https://www.fool.com/investing/2026/10/05/the-9-best-stocks-to-buy-right-now-in-october-2026/</x:v>
      </x:c>
      <x:c r="H363" s="44" t="str">
        <x:v>The public list promoted large-cap technology, payments, consumer and platform companies using long-run quality and valuation narratives.</x:v>
      </x:c>
      <x:c r="I363" s="44" t="str">
        <x:v>Rejected as distinct theses</x:v>
      </x:c>
      <x:c r="J363" s="44" t="n">
        <x:v>2</x:v>
      </x:c>
      <x:c r="K363" s="44" t="str">
        <x:v>No newly published material primary catalyst was identified. Promotional framing was excluded, and the article did not create a separate economic-variable prediction.</x:v>
      </x:c>
    </x:row>
    <x:row r="364">
      <x:c r="A364" t="str">
        <x:v>EV-2026-359</x:v>
      </x:c>
      <x:c r="B364" t="str">
        <x:v>EEI-2026-018</x:v>
      </x:c>
      <x:c r="C364" s="21" t="d">
        <x:v>2026-10-06T12:19:43.000Z</x:v>
      </x:c>
      <x:c r="D364" t="str">
        <x:v>Primary subcontract action</x:v>
      </x:c>
      <x:c r="E364" t="str">
        <x:v>Boeing</x:v>
      </x:c>
      <x:c r="F364" t="str">
        <x:v>Primary issuer announcement</x:v>
      </x:c>
      <x:c r="G364" s="44" t="str">
        <x:v>https://investors.boeing.com/investors/news/press-release-details/2026/Boeing-receives-seven-year-contract-to-accelerate-PAC-3-MSE-seeker-output/default.aspx</x:v>
      </x:c>
      <x:c r="H364" s="44" t="str">
        <x:v>Boeing received an approximately $14.7 billion undefinitized contract action from Lockheed Martin to triple PAC-3 MSE seeker production under a seven-year framework.</x:v>
      </x:c>
      <x:c r="I364" s="44" t="str">
        <x:v>Opens EEI-2026-018 as Developing</x:v>
      </x:c>
      <x:c r="J364" s="44" t="n">
        <x:v>5</x:v>
      </x:c>
      <x:c r="K364" s="44" t="str">
        <x:v>Recipient/parent: Boeing. Prime: Lockheed Martin. Action: undefinitized subcontract. Current obligation, award identifier, NAICS/PSC, competition status and definitive milestones were not disclosed.</x:v>
      </x:c>
    </x:row>
    <x:row r="365">
      <x:c r="A365" t="str">
        <x:v>EV-2026-360</x:v>
      </x:c>
      <x:c r="B365" t="str">
        <x:v>EEI-2026-018</x:v>
      </x:c>
      <x:c r="C365" s="21" t="d">
        <x:v>2026-10-06T12:19:43.000Z</x:v>
      </x:c>
      <x:c r="D365" t="str">
        <x:v>Independent subcontract confirmation</x:v>
      </x:c>
      <x:c r="E365" t="str">
        <x:v>Reuters</x:v>
      </x:c>
      <x:c r="F365" t="str">
        <x:v>High-quality independent reporting</x:v>
      </x:c>
      <x:c r="G365" s="44" t="str">
        <x:v>https://www.reuters.com/business/aerospace-defense/boeing-receives-lockheed-pac-3-mse-contract-worth-up-147-billion-2026-10-05/</x:v>
      </x:c>
      <x:c r="H365" s="44" t="str">
        <x:v>Reuters confirmed the seven-year Boeing award, triple-production objective and connection to Lockheed's plan to raise annual PAC-3 output from about 600 to 2,000.</x:v>
      </x:c>
      <x:c r="I365" s="44" t="str">
        <x:v>Confirms materiality; highlights funding risk</x:v>
      </x:c>
      <x:c r="J365" s="44" t="n">
        <x:v>4</x:v>
      </x:c>
      <x:c r="K365" s="44" t="str">
        <x:v>Reuters reported that Congress has not yet appropriated funding for the framework deals, limiting immediate investment certainty.</x:v>
      </x:c>
    </x:row>
    <x:row r="366">
      <x:c r="A366" t="str">
        <x:v>EV-2026-361</x:v>
      </x:c>
      <x:c r="B366" t="str">
        <x:v>EEI-2026-018</x:v>
      </x:c>
      <x:c r="C366" s="21" t="d">
        <x:v>2026-10-06T12:19:43.000Z</x:v>
      </x:c>
      <x:c r="D366" t="str">
        <x:v>Primary financial materiality check</x:v>
      </x:c>
      <x:c r="E366" t="str">
        <x:v>Boeing investor relations</x:v>
      </x:c>
      <x:c r="F366" t="str">
        <x:v>Primary issuer earnings release</x:v>
      </x:c>
      <x:c r="G366" s="44" t="str">
        <x:v>https://investors.boeing.com/investors/news/press-release-details/2026/Boeing-Reports-Second-Quarter-Results/</x:v>
      </x:c>
      <x:c r="H366" s="44" t="str">
        <x:v>Boeing Defense produced $15.1 billion of first-half revenue and held $85 billion of backlog, but Q2 operating margin was negative 0.2% due in part to fixed-price program losses.</x:v>
      </x:c>
      <x:c r="I366" s="44" t="str">
        <x:v>Award is material; profitable conversion unproven</x:v>
      </x:c>
      <x:c r="J366" s="44" t="n">
        <x:v>5</x:v>
      </x:c>
      <x:c r="K366" s="44" t="str">
        <x:v>The $14.7 billion ceiling is large relative to segment revenue, but the lack of definitization and Boeing's weak program margins constrain confidence and trading edge.</x:v>
      </x:c>
    </x:row>
    <x:row r="367">
      <x:c r="A367" t="str">
        <x:v>EV-2026-362</x:v>
      </x:c>
      <x:c r="B367"/>
      <x:c r="C367" s="21" t="d">
        <x:v>2026-10-06T12:19:43.000Z</x:v>
      </x:c>
      <x:c r="D367" t="str">
        <x:v>USAspending and federal-award screen</x:v>
      </x:c>
      <x:c r="E367" t="str">
        <x:v>USAspending.gov and public federal contract notices</x:v>
      </x:c>
      <x:c r="F367" t="str">
        <x:v>Primary public award databases</x:v>
      </x:c>
      <x:c r="G367" s="44" t="str">
        <x:v>https://www.usaspending.gov/search</x:v>
      </x:c>
      <x:c r="H367" s="44" t="str">
        <x:v>No newly indexed USAspending record independently supplied all required fields for a material public-company award beyond announced corporate/framework actions reviewed separately.</x:v>
      </x:c>
      <x:c r="I367" s="44" t="str">
        <x:v>No qualifying USAspending thesis</x:v>
      </x:c>
      <x:c r="J367" s="44" t="n">
        <x:v>3</x:v>
      </x:c>
      <x:c r="K367" s="44" t="str">
        <x:v>The Boeing PAC-3 item is a Lockheed subcontract/UCA with public recipient, parent, approximate ceiling and action type, but no indexed prime-award identifier, obligation, NAICS/PSC, competition status or performance milestones at cutoff.</x:v>
      </x:c>
    </x:row>
    <x:row r="368">
      <x:c r="A368" t="str">
        <x:v>EV-2026-363</x:v>
      </x:c>
      <x:c r="B368" t="str">
        <x:v>EEI-2026-001</x:v>
      </x:c>
      <x:c r="C368" s="21" t="n">
        <x:v>46301.833333333336</x:v>
      </x:c>
      <x:c r="D368" t="str">
        <x:v>Paper-trade outcome</x:v>
      </x:c>
      <x:c r="E368" t="str">
        <x:v>S&amp;P Global Market Intelligence via StockAnalysis</x:v>
      </x:c>
      <x:c r="F368" t="str">
        <x:v>Regular-session closing market data</x:v>
      </x:c>
      <x:c r="G368" s="44" t="str">
        <x:v>https://stockanalysis.com/etf/bno/</x:v>
      </x:c>
      <x:c r="H368" s="44" t="str">
        <x:v>BNO closed October 6 at $61.93 versus the $57.21 September 8 opening entry. The $1,000 paper position was worth $1082.50, up $82.50 (+8.25%).</x:v>
      </x:c>
      <x:c r="I368" s="44" t="str">
        <x:v>Direct Brent expression remains the strongest cumulative position</x:v>
      </x:c>
      <x:c r="J368" s="44" t="n">
        <x:v>5</x:v>
      </x:c>
      <x:c r="K368" s="44" t="str">
        <x:v>BNO gained 0.78% for the session and remains well above entry; this is a hypothetical fractional-share paper position.</x:v>
      </x:c>
    </x:row>
    <x:row r="369">
      <x:c r="A369" t="str">
        <x:v>EV-2026-364</x:v>
      </x:c>
      <x:c r="B369" t="str">
        <x:v>EEI-2026-001</x:v>
      </x:c>
      <x:c r="C369" s="21" t="n">
        <x:v>46301.833333333336</x:v>
      </x:c>
      <x:c r="D369" t="str">
        <x:v>Paper-trade outcome</x:v>
      </x:c>
      <x:c r="E369" t="str">
        <x:v>S&amp;P Global Market Intelligence via StockAnalysis</x:v>
      </x:c>
      <x:c r="F369" t="str">
        <x:v>Regular-session closing market data</x:v>
      </x:c>
      <x:c r="G369" s="44" t="str">
        <x:v>https://stockanalysis.com/etf/uso/</x:v>
      </x:c>
      <x:c r="H369" s="44" t="str">
        <x:v>USO closed October 6 at $144.91 versus the $144.60 September 8 opening entry. The $1,000 paper position was worth $1002.14, up $2.14 (+0.21%).</x:v>
      </x:c>
      <x:c r="I369" s="44" t="str">
        <x:v>WTI expression returned slightly above entry</x:v>
      </x:c>
      <x:c r="J369" s="44" t="n">
        <x:v>5</x:v>
      </x:c>
      <x:c r="K369" s="44" t="str">
        <x:v>USO gained 0.64% for the session but remains far below its mid-September peak; this is a hypothetical fractional-share paper position.</x:v>
      </x:c>
    </x:row>
    <x:row r="370">
      <x:c r="A370" t="str">
        <x:v>EV-2026-365</x:v>
      </x:c>
      <x:c r="B370" t="str">
        <x:v>EEI-2026-001</x:v>
      </x:c>
      <x:c r="C370" s="21" t="n">
        <x:v>46301.833333333336</x:v>
      </x:c>
      <x:c r="D370" t="str">
        <x:v>Paper-trade outcome</x:v>
      </x:c>
      <x:c r="E370" t="str">
        <x:v>S&amp;P Global Market Intelligence via StockAnalysis</x:v>
      </x:c>
      <x:c r="F370" t="str">
        <x:v>Regular-session closing market data</x:v>
      </x:c>
      <x:c r="G370" s="44" t="str">
        <x:v>https://stockanalysis.com/etf/xop/</x:v>
      </x:c>
      <x:c r="H370" s="44" t="str">
        <x:v>XOP closed October 6 at $188.46 versus the $193.84 September 8 opening entry. The $1,000 paper position was worth $972.25, down $27.75 (-2.78%).</x:v>
      </x:c>
      <x:c r="I370" s="44" t="str">
        <x:v>Indirect producer-equity expression remains negative</x:v>
      </x:c>
      <x:c r="J370" s="44" t="n">
        <x:v>5</x:v>
      </x:c>
      <x:c r="K370" s="44" t="str">
        <x:v>XOP gained 0.54% for the session but remains the weakest cumulative expression; this is a hypothetical fractional-share paper position.</x:v>
      </x:c>
    </x:row>
    <x:row r="371">
      <x:c r="A371" t="str">
        <x:v>EV-2026-366</x:v>
      </x:c>
      <x:c r="B371" t="str">
        <x:v>EEI-2026-001</x:v>
      </x:c>
      <x:c r="C371" s="21" t="n">
        <x:v>46301.833333333336</x:v>
      </x:c>
      <x:c r="D371" t="str">
        <x:v>Post-horizon market and normalization evidence</x:v>
      </x:c>
      <x:c r="E371" t="str">
        <x:v>Reuters</x:v>
      </x:c>
      <x:c r="F371" t="str">
        <x:v>High-quality reporting, settlement data and industry flow estimates</x:v>
      </x:c>
      <x:c r="G371" s="44" t="str">
        <x:v>https://www.reuters.com/business/energy/oil-prices-slip-traders-weigh-strong-mideast-exports-against-gulf-tensions-2026-10-06/</x:v>
      </x:c>
      <x:c r="H371" s="44" t="str">
        <x:v>Brent settled October 6 at $100.58 and WTI at $89.44. Vitol estimated about 12 million bpd of crude and 2 million bpd of products left the Middle East over the prior seven to 10 days; Saudi Arabia reported 5.8 million barrels moved through the East-West Pipeline, while the G7 planned a 100-million-barrel emergency release.</x:v>
      </x:c>
      <x:c r="I371" s="44" t="str">
        <x:v>Strongly weakens the extended-hold crude-availability constraint</x:v>
      </x:c>
      <x:c r="J371" s="44" t="n">
        <x:v>5</x:v>
      </x:c>
      <x:c r="K371" s="44" t="str">
        <x:v>Recovered flows, bypass capacity and emergency stocks cap the scarcity premium. Houthi attacks, infrastructure risk and low accessible inventories prevent full invalidation of residual risk.</x:v>
      </x:c>
    </x:row>
    <x:row r="372">
      <x:c r="A372" t="str">
        <x:v>EV-2026-367</x:v>
      </x:c>
      <x:c r="B372" t="str">
        <x:v>EEI-2026-001</x:v>
      </x:c>
      <x:c r="C372" s="21" t="n">
        <x:v>46301.833333333336</x:v>
      </x:c>
      <x:c r="D372" t="str">
        <x:v>Post-horizon structural logistics risk</x:v>
      </x:c>
      <x:c r="E372" t="str">
        <x:v>Reuters</x:v>
      </x:c>
      <x:c r="F372" t="str">
        <x:v>High-quality reporting of industry statements and infrastructure plans</x:v>
      </x:c>
      <x:c r="G372" s="44" t="str">
        <x:v>https://www.reuters.com/business/energy/just-in-time-just-in-case-oil-executives-say-world-needs-more-export-routes-2026-10-06/</x:v>
      </x:c>
      <x:c r="H372" s="44" t="str">
        <x:v>Energy executives said attacks around Hormuz and Bab el-Mandeb have cut exports and are prompting consideration of new pipelines through Syria, Turkey and Fujairah to bypass chokepoints.</x:v>
      </x:c>
      <x:c r="I372" s="44" t="str">
        <x:v>Confirms the original logistics mechanism but not a fresh entry</x:v>
      </x:c>
      <x:c r="J372" s="44" t="n">
        <x:v>4</x:v>
      </x:c>
      <x:c r="K372" s="44" t="str">
        <x:v>The need for redundant routes shows the disruption was economically real. Proposed infrastructure is long-dated and does not reverse the current normalization counterevidence or improve the original WAIT entry.</x:v>
      </x:c>
    </x:row>
    <x:row r="373">
      <x:c r="A373" t="str">
        <x:v>EV-2026-368</x:v>
      </x:c>
      <x:c r="B373" t="str">
        <x:v>EEI-2026-009</x:v>
      </x:c>
      <x:c r="C373" s="21" t="d">
        <x:v>2026-10-07T12:17:12.000Z</x:v>
      </x:c>
      <x:c r="D373" t="str">
        <x:v>Formal outcome — physical diesel confirmation</x:v>
      </x:c>
      <x:c r="E373" t="str">
        <x:v>Reuters</x:v>
      </x:c>
      <x:c r="F373" t="str">
        <x:v>High-quality independent market and physical-supply reporting</x:v>
      </x:c>
      <x:c r="G373" s="44" t="str">
        <x:v>https://www.reuters.com/business/energy/oil-prices-rise-storms-air-strikes-threaten-supply-2026-10-07/</x:v>
      </x:c>
      <x:c r="H373" s="44" t="str">
        <x:v>European diesel futures traded about $77 per barrel above Brent and rose 13% intraday; Reuters linked the move to reduced Middle East refining runs and strikes on Russian oil facilities. The IEA met to discuss oil and diesel stock releases.</x:v>
      </x:c>
      <x:c r="I373" s="44" t="str">
        <x:v>Confirms economic variable, direction and timing</x:v>
      </x:c>
      <x:c r="J373" s="44" t="n">
        <x:v>5</x:v>
      </x:c>
      <x:c r="K373" s="44" t="str">
        <x:v>Outcome review: variable Yes, direction Yes, timing Yes, expression blank, Entry discipline Yes. EEI-2026-009 remains Actionable / WAIT because policy releases and extreme headline sensitivity limit entry quality.</x:v>
      </x:c>
    </x:row>
    <x:row r="374">
      <x:c r="A374" t="str">
        <x:v>EV-2026-369</x:v>
      </x:c>
      <x:c r="B374" t="str">
        <x:v>EEI-2026-011</x:v>
      </x:c>
      <x:c r="C374" s="21" t="d">
        <x:v>2026-10-07T12:17:12.000Z</x:v>
      </x:c>
      <x:c r="D374" t="str">
        <x:v>Renewed Red Sea route-security trigger</x:v>
      </x:c>
      <x:c r="E374" t="str">
        <x:v>Reuters</x:v>
      </x:c>
      <x:c r="F374" t="str">
        <x:v>High-quality independent reporting</x:v>
      </x:c>
      <x:c r="G374" s="44" t="str">
        <x:v>https://www.reuters.com/business/energy/oil-prices-rise-storms-air-strikes-threaten-supply-2026-10-07/</x:v>
      </x:c>
      <x:c r="H374" s="44" t="str">
        <x:v>Houthis attacked Aden airport with ballistic missiles and explosive-laden drones while regional conflict persisted.</x:v>
      </x:c>
      <x:c r="I374" s="44" t="str">
        <x:v>Supports route and insurance risk</x:v>
      </x:c>
      <x:c r="J374" s="44" t="n">
        <x:v>4</x:v>
      </x:c>
      <x:c r="K374" s="44" t="str">
        <x:v>The attack increases security risk but does not by itself prove another freight-rate leg. Middle East export recovery, strategic releases and extended tanker equities remain contradictions.</x:v>
      </x:c>
    </x:row>
    <x:row r="375">
      <x:c r="A375" t="str">
        <x:v>EV-2026-370</x:v>
      </x:c>
      <x:c r="B375"/>
      <x:c r="C375" s="21" t="d">
        <x:v>2026-10-07T12:17:12.000Z</x:v>
      </x:c>
      <x:c r="D375" t="str">
        <x:v>U.S. Gulf weather supply watch</x:v>
      </x:c>
      <x:c r="E375" t="str">
        <x:v>Reuters / U.S. forecasters</x:v>
      </x:c>
      <x:c r="F375" t="str">
        <x:v>Independent reporting of official forecasts</x:v>
      </x:c>
      <x:c r="G375" s="44" t="str">
        <x:v>https://www.reuters.com/business/energy/oil-prices-rise-storms-air-strikes-threaten-supply-2026-10-07/</x:v>
      </x:c>
      <x:c r="H375" s="44" t="str">
        <x:v>A Gulf of Mexico storm was forecast to become the first Atlantic hurricane of 2026 and threaten a region producing about 15% of U.S. crude and 5% of U.S. natural gas.</x:v>
      </x:c>
      <x:c r="I375" s="44" t="str">
        <x:v>Watch only; no confirmed outage</x:v>
      </x:c>
      <x:c r="J375" s="44" t="n">
        <x:v>3</x:v>
      </x:c>
      <x:c r="K375" s="44" t="str">
        <x:v>The trigger compounds global supply risk, but no production loss was confirmed at the scan cutoff and no distinct thesis was opened.</x:v>
      </x:c>
    </x:row>
    <x:row r="376">
      <x:c r="A376" t="str">
        <x:v>EV-2026-371</x:v>
      </x:c>
      <x:c r="B376" t="str">
        <x:v>EEI-2026-017</x:v>
      </x:c>
      <x:c r="C376" s="21" t="d">
        <x:v>2026-10-07T12:17:12.000Z</x:v>
      </x:c>
      <x:c r="D376" t="str">
        <x:v>Regular-session market confirmation</x:v>
      </x:c>
      <x:c r="E376" t="str">
        <x:v>AP / observable market data</x:v>
      </x:c>
      <x:c r="F376" t="str">
        <x:v>Independent market reporting</x:v>
      </x:c>
      <x:c r="G376" s="44" t="str">
        <x:v>https://apnews.com/article/e8285ec7afbe81e9df277e8ee2127982</x:v>
      </x:c>
      <x:c r="H376" s="44" t="str">
        <x:v>Constellation Energy gained about 12.2% on October 6 after the Google nuclear and PJM supply agreement, while power peers rallied in sympathy.</x:v>
      </x:c>
      <x:c r="I376" s="44" t="str">
        <x:v>Raises confidence to 5/5; worsens entry structure</x:v>
      </x:c>
      <x:c r="J376" s="44" t="n">
        <x:v>4</x:v>
      </x:c>
      <x:c r="K376" s="44" t="str">
        <x:v>The move confirms perceived materiality but not disclosed returns. EEI-2026-017 remains Strong, edge 1/5 and WAIT after the headline gap.</x:v>
      </x:c>
    </x:row>
    <x:row r="377">
      <x:c r="A377" t="str">
        <x:v>EV-2026-372</x:v>
      </x:c>
      <x:c r="B377" t="str">
        <x:v>EEI-2026-003</x:v>
      </x:c>
      <x:c r="C377" s="21" t="d">
        <x:v>2026-10-07T12:17:12.000Z</x:v>
      </x:c>
      <x:c r="D377" t="str">
        <x:v>Late-cycle election control signal</x:v>
      </x:c>
      <x:c r="E377" t="str">
        <x:v>Associated Press</x:v>
      </x:c>
      <x:c r="F377" t="str">
        <x:v>High-quality independent political reporting</x:v>
      </x:c>
      <x:c r="G377" s="44" t="str">
        <x:v>https://apnews.com/article/midterms-campaign-money-republicans-democrats-a47f6b38c2490efae42eafdb63676fa9</x:v>
      </x:c>
      <x:c r="H377" s="44" t="str">
        <x:v>AP reported Republican anxiety that roughly $1 billion may not prevent losses, sharply higher late outside-group ad rates, reduced North Carolina Senate spending and expanding Democratic House targets in Arkansas and Tennessee.</x:v>
      </x:c>
      <x:c r="I377" s="44" t="str">
        <x:v>Modestly supports House-shift and competitive-Senate thesis</x:v>
      </x:c>
      <x:c r="J377" s="44" t="n">
        <x:v>4</x:v>
      </x:c>
      <x:c r="K377" s="44" t="str">
        <x:v>Republican funding remains larger and campaign behavior is not an election result. EEI-2026-003 stays Strong / WAIT.</x:v>
      </x:c>
    </x:row>
    <x:row r="378">
      <x:c r="A378" t="str">
        <x:v>EV-2026-373</x:v>
      </x:c>
      <x:c r="B378" t="str">
        <x:v>EEI-2026-003</x:v>
      </x:c>
      <x:c r="C378" s="21" t="d">
        <x:v>2026-10-07T12:17:12.000Z</x:v>
      </x:c>
      <x:c r="D378" t="str">
        <x:v>Rates and breadth contradiction</x:v>
      </x:c>
      <x:c r="E378" t="str">
        <x:v>Reuters</x:v>
      </x:c>
      <x:c r="F378" t="str">
        <x:v>High-quality independent market reporting</x:v>
      </x:c>
      <x:c r="G378" s="44" t="str">
        <x:v>https://www.reuters.com/commentary/reuters-open-interest/global-markets-view-usa-2026-10-07/</x:v>
      </x:c>
      <x:c r="H378" s="44" t="str">
        <x:v>The S&amp;P 500 and Nasdaq reached records on expectations for roughly 30% S&amp;P earnings growth, but the New York Fed 10-year term premium reached a 12-year high near 96 basis points and long yields remained near 24-year highs.</x:v>
      </x:c>
      <x:c r="I378" s="44" t="str">
        <x:v>Keeps breadth expression on WAIT</x:v>
      </x:c>
      <x:c r="J378" s="44" t="n">
        <x:v>4</x:v>
      </x:c>
      <x:c r="K378" s="44" t="str">
        <x:v>Mega-cap and AI earnings strength can support the index without confirming the equal-weight, small-cap and cyclical leadership required by EEI-2026-003.</x:v>
      </x:c>
    </x:row>
    <x:row r="379">
      <x:c r="A379" t="str">
        <x:v>EV-2026-374</x:v>
      </x:c>
      <x:c r="B379"/>
      <x:c r="C379" s="21" t="d">
        <x:v>2026-10-07T12:17:12.000Z</x:v>
      </x:c>
      <x:c r="D379" t="str">
        <x:v>Rejected Motley Fool physical-AI trigger</x:v>
      </x:c>
      <x:c r="E379" t="str">
        <x:v>The Motley Fool — Lee Samaha</x:v>
      </x:c>
      <x:c r="F379" t="str">
        <x:v>Trigger only; free public editorial published October 7, 2026 at 5:55 a.m. ET; author disclosed no position; publication recommends ON Semiconductor</x:v>
      </x:c>
      <x:c r="G379" s="44" t="str">
        <x:v>https://www.fool.com/investing/2026/10/07/forget-nvidia-amd-under-radar-chip-stock-on/</x:v>
      </x:c>
      <x:c r="H379" s="44" t="str">
        <x:v>Ticker ON. Claimed catalyst: physical-AI exposure and management's 2030 targets of 12%-14% annual revenue growth and $3.5 billion free cash flow. Expected variable: automotive and industrial semiconductor revenue and free cash flow, up through 2030.</x:v>
      </x:c>
      <x:c r="I379" s="44" t="str">
        <x:v>Rejected as a new thesis</x:v>
      </x:c>
      <x:c r="J379" s="44" t="n">
        <x:v>3</x:v>
      </x:c>
      <x:c r="K379" s="44" t="str">
        <x:v>Primary results show current improvement, but the article depends heavily on long-dated management targets; ON traded near 57 times trailing earnings, mixed segment demand and execution risk leave no demonstrated edge. This was not an official paid-service recommendation.</x:v>
      </x:c>
    </x:row>
    <x:row r="380">
      <x:c r="A380" t="str">
        <x:v>EV-2026-375</x:v>
      </x:c>
      <x:c r="B380"/>
      <x:c r="C380" s="21" t="d">
        <x:v>2026-10-07T12:17:12.000Z</x:v>
      </x:c>
      <x:c r="D380" t="str">
        <x:v>Independent ON Semiconductor validation</x:v>
      </x:c>
      <x:c r="E380" t="str">
        <x:v>ON Semiconductor SEC filing</x:v>
      </x:c>
      <x:c r="F380" t="str">
        <x:v>Primary filing</x:v>
      </x:c>
      <x:c r="G380" s="44" t="str">
        <x:v>https://investor.onsemi.com/static-files/02f573b1-86c1-4a65-a271-a375fd4aba52</x:v>
      </x:c>
      <x:c r="H380" s="44" t="str">
        <x:v>Q2 revenue rose 9% year over year to $1.60 billion and gross margin improved to 38.4% from 37.6%; PSG revenue rose 19%, while AMG fell 2% and industrial demand remained mixed.</x:v>
      </x:c>
      <x:c r="I380" s="44" t="str">
        <x:v>Supports partial operational recovery, not the full Fool catalyst</x:v>
      </x:c>
      <x:c r="J380" s="44" t="n">
        <x:v>5</x:v>
      </x:c>
      <x:c r="K380" s="44" t="str">
        <x:v>The primary filing confirms near-term improvement but not 2030 revenue or free-cash-flow targets, physical-AI market share or sufficient valuation support. No thesis opened.</x:v>
      </x:c>
    </x:row>
    <x:row r="381">
      <x:c r="A381" t="str">
        <x:v>EV-2026-376</x:v>
      </x:c>
      <x:c r="B381"/>
      <x:c r="C381" s="21" t="d">
        <x:v>2026-10-07T12:17:12.000Z</x:v>
      </x:c>
      <x:c r="D381" t="str">
        <x:v>Rejected Motley Fool memory-stock trigger</x:v>
      </x:c>
      <x:c r="E381" t="str">
        <x:v>The Motley Fool — Micah Zimmerman</x:v>
      </x:c>
      <x:c r="F381" t="str">
        <x:v>Trigger only; free public editorial published October 7, 2026 at 5:15 a.m. ET; author disclosed no position; publication disclosed positions/recommendations in Micron, Nvidia, Western Digital and Goldman Sachs</x:v>
      </x:c>
      <x:c r="G381" s="44" t="str">
        <x:v>https://www.fool.com/investing/2026/10/07/sandisk-is-up-500-in-2026-and-micron-isnt-far-behi/</x:v>
      </x:c>
      <x:c r="H381" s="44" t="str">
        <x:v>Tickers MU and SNDK. Claimed catalyst: diversified AI memory demand and a custom Nvidia HBM relationship favor MU over SNDK. Expected variable: HBM, DRAM and data-center SSD revenue, up over several years.</x:v>
      </x:c>
      <x:c r="I381" s="44" t="str">
        <x:v>Rejected as a new thesis after extreme repricing</x:v>
      </x:c>
      <x:c r="J381" s="44" t="n">
        <x:v>3</x:v>
      </x:c>
      <x:c r="K381" s="44" t="str">
        <x:v>Micron's primary results confirm the catalyst, but MU was near $1.2 trillion market value and SNDK had risen more than 600% in 2026. Pricing cyclicality, concentration and headline-chasing risk dominate; this was not an official paid-service recommendation.</x:v>
      </x:c>
    </x:row>
    <x:row r="382">
      <x:c r="A382" t="str">
        <x:v>EV-2026-377</x:v>
      </x:c>
      <x:c r="B382"/>
      <x:c r="C382" s="21" t="d">
        <x:v>2026-10-07T12:17:12.000Z</x:v>
      </x:c>
      <x:c r="D382" t="str">
        <x:v>Independent Micron catalyst validation</x:v>
      </x:c>
      <x:c r="E382" t="str">
        <x:v>Micron Technology investor relations</x:v>
      </x:c>
      <x:c r="F382" t="str">
        <x:v>Primary issuer earnings materials</x:v>
      </x:c>
      <x:c r="G382" s="44" t="str">
        <x:v>https://investors.micron.com/files/doc_financials/2026/q4/Q4-26-Earnings-Deck.pdf</x:v>
      </x:c>
      <x:c r="H382" s="44" t="str">
        <x:v>Micron reported record fiscal 2026 results, HBM revenue growing faster than the company, agreements covering most calendar-2027 HBM bit supply with significant price increases, a custom Nvidia HBM4E program and data-center SSD revenue near $10 billion in fiscal Q4.</x:v>
      </x:c>
      <x:c r="I382" s="44" t="str">
        <x:v>Confirms catalyst; no underappreciated entry</x:v>
      </x:c>
      <x:c r="J382" s="44" t="n">
        <x:v>5</x:v>
      </x:c>
      <x:c r="K382" s="44" t="str">
        <x:v>The facts support AI-memory growth, but the market has already repriced the cycle dramatically. No distinct thesis or acceptable Entry Window was opened.</x:v>
      </x:c>
    </x:row>
    <x:row r="383">
      <x:c r="A383" t="str">
        <x:v>EV-2026-378</x:v>
      </x:c>
      <x:c r="B383" t="str">
        <x:v>EEI-2026-005</x:v>
      </x:c>
      <x:c r="C383" s="21" t="d">
        <x:v>2026-10-07T12:17:12.000Z</x:v>
      </x:c>
      <x:c r="D383" t="str">
        <x:v>BMY candidate queue checkpoint</x:v>
      </x:c>
      <x:c r="E383" t="str">
        <x:v>Bristol Myers Squibb</x:v>
      </x:c>
      <x:c r="F383" t="str">
        <x:v>Primary issuer calendar</x:v>
      </x:c>
      <x:c r="G383" s="44" t="str">
        <x:v>https://news.bms.com/news/corporate-financial/2026/Bristol-Myers-Squibb-to-Report-Results-for-Third-Quarter-2026-on-October-29-2026/default.aspx</x:v>
      </x:c>
      <x:c r="H383" s="44" t="str">
        <x:v>No new operating release resolved the growth-portfolio versus legacy-erosion test. Third-quarter results remain scheduled for October 29.</x:v>
      </x:c>
      <x:c r="I383" s="44" t="str">
        <x:v>No stage or Entry Window change</x:v>
      </x:c>
      <x:c r="J383" s="44" t="n">
        <x:v>5</x:v>
      </x:c>
      <x:c r="K383" s="44" t="str">
        <x:v>BMY stays Developing 3/5, edge 3/5 and WAIT pending growth-portfolio, cash-flow, dividend-coverage and debt evidence.</x:v>
      </x:c>
    </x:row>
    <x:row r="384">
      <x:c r="A384" t="str">
        <x:v>EV-2026-379</x:v>
      </x:c>
      <x:c r="B384" t="str">
        <x:v>EEI-2026-006</x:v>
      </x:c>
      <x:c r="C384" s="21" t="d">
        <x:v>2026-10-07T12:17:12.000Z</x:v>
      </x:c>
      <x:c r="D384" t="str">
        <x:v>LULU candidate queue checkpoint</x:v>
      </x:c>
      <x:c r="E384" t="str">
        <x:v>lululemon</x:v>
      </x:c>
      <x:c r="F384" t="str">
        <x:v>Primary issuer product announcement</x:v>
      </x:c>
      <x:c r="G384" s="44" t="str">
        <x:v>https://corporate.lululemon.com/newsroom/our-stories/2026/lululemon-expands-outerwear-with-new-designs-and-technology</x:v>
      </x:c>
      <x:c r="H384" s="44" t="str">
        <x:v>The company launched a fall outerwear campaign and new products, but supplied no comparable-sales, inventory, margin or demand data.</x:v>
      </x:c>
      <x:c r="I384" s="44" t="str">
        <x:v>No thesis confirmation</x:v>
      </x:c>
      <x:c r="J384" s="44" t="n">
        <x:v>5</x:v>
      </x:c>
      <x:c r="K384" s="44" t="str">
        <x:v>Marketing activity is not evidence that the turnaround variable has stabilized. LULU remains Hypothesis 2/5, edge 2/5 and WAIT.</x:v>
      </x:c>
    </x:row>
    <x:row r="385">
      <x:c r="A385" t="str">
        <x:v>EV-2026-380</x:v>
      </x:c>
      <x:c r="B385" t="str">
        <x:v>EEI-2026-007</x:v>
      </x:c>
      <x:c r="C385" s="21" t="d">
        <x:v>2026-10-07T12:17:12.000Z</x:v>
      </x:c>
      <x:c r="D385" t="str">
        <x:v>AVAV candidate queue checkpoint</x:v>
      </x:c>
      <x:c r="E385" t="str">
        <x:v>AeroVironment investor relations</x:v>
      </x:c>
      <x:c r="F385" t="str">
        <x:v>Primary issuer filings and results center</x:v>
      </x:c>
      <x:c r="G385" s="44" t="str">
        <x:v>https://investor.avinc.com/financial-information/financial-filings-and-releases</x:v>
      </x:c>
      <x:c r="H385" s="44" t="str">
        <x:v>No new operating filing after the September quarter update changed backlog, restatement, profitability or valuation evidence at the scan cutoff.</x:v>
      </x:c>
      <x:c r="I385" s="44" t="str">
        <x:v>No stage or Entry Window change</x:v>
      </x:c>
      <x:c r="J385" s="44" t="n">
        <x:v>5</x:v>
      </x:c>
      <x:c r="K385" s="44" t="str">
        <x:v>AVAV remains Strong 4/5, edge 2/5 and WAIT. The demand catalyst is supported, but accounting, profitability and valuation risks remain unresolved.</x:v>
      </x:c>
    </x:row>
    <x:row r="386">
      <x:c r="A386" t="str">
        <x:v>EV-2026-381</x:v>
      </x:c>
      <x:c r="B386"/>
      <x:c r="C386" s="21" t="d">
        <x:v>2026-10-07T12:17:12.000Z</x:v>
      </x:c>
      <x:c r="D386" t="str">
        <x:v>USAspending and announced-award screen</x:v>
      </x:c>
      <x:c r="E386" t="str">
        <x:v>USAspending.gov / Reuters</x:v>
      </x:c>
      <x:c r="F386" t="str">
        <x:v>Primary award database plus independent reporting</x:v>
      </x:c>
      <x:c r="G386" s="44" t="str">
        <x:v>https://www.usaspending.gov/search</x:v>
      </x:c>
      <x:c r="H386" s="44" t="str">
        <x:v>Anduril Industries, a private recipient, announced a new Navy-related commitment associated with Virginia-class submarine components: reported potential contract value $2.9 billion and private investment $3.7 billion, with operations targeted by 2030. Public records reviewed did not expose a PIID, current obligation, NAICS/PSC, competition status, definitive period milestones or parent-company public equity.</x:v>
      </x:c>
      <x:c r="I386" s="44" t="str">
        <x:v>Rejected as a public-market thesis pending award detail</x:v>
      </x:c>
      <x:c r="J386" s="44" t="n">
        <x:v>3</x:v>
      </x:c>
      <x:c r="K386" s="44" t="str">
        <x:v>This appears to be a new announced award rather than a routine modification, but the recipient is private, the reported ceiling is not equivalent to obligated backlog, required award fields are missing and GD/HII mapping is indirect. Market expectation and materiality to any public beneficiary remain unproven.</x:v>
      </x:c>
    </x:row>
    <x:row r="387">
      <x:c r="A387" t="str">
        <x:v>EV-2026-382</x:v>
      </x:c>
      <x:c r="B387" t="str">
        <x:v>EEI-2026-001</x:v>
      </x:c>
      <x:c r="C387" s="21" t="n">
        <x:v>46302.833333333336</x:v>
      </x:c>
      <x:c r="D387" t="str">
        <x:v>Paper-trade outcome</x:v>
      </x:c>
      <x:c r="E387" t="str">
        <x:v>S&amp;P Global Market Intelligence via StockAnalysis</x:v>
      </x:c>
      <x:c r="F387" t="str">
        <x:v>Regular-session closing market data</x:v>
      </x:c>
      <x:c r="G387" s="44" t="str">
        <x:v>https://stockanalysis.com/etf/bno/</x:v>
      </x:c>
      <x:c r="H387" s="44" t="str">
        <x:v>BNO closed October 7 at $61.90 versus the $57.21 September 8 opening entry. The $1,000 paper position was worth $1081.98, up $81.98 (+8.20%).</x:v>
      </x:c>
      <x:c r="I387" s="44" t="str">
        <x:v>Direct Brent expression remains the strongest cumulative position</x:v>
      </x:c>
      <x:c r="J387" s="44" t="n">
        <x:v>5</x:v>
      </x:c>
      <x:c r="K387" s="44" t="str">
        <x:v>BNO fell 0.05% for the session and remains well above entry; this is a hypothetical fractional-share paper position.</x:v>
      </x:c>
    </x:row>
    <x:row r="388">
      <x:c r="A388" t="str">
        <x:v>EV-2026-383</x:v>
      </x:c>
      <x:c r="B388" t="str">
        <x:v>EEI-2026-001</x:v>
      </x:c>
      <x:c r="C388" s="21" t="n">
        <x:v>46302.833333333336</x:v>
      </x:c>
      <x:c r="D388" t="str">
        <x:v>Paper-trade outcome</x:v>
      </x:c>
      <x:c r="E388" t="str">
        <x:v>S&amp;P Global Market Intelligence via StockAnalysis</x:v>
      </x:c>
      <x:c r="F388" t="str">
        <x:v>Regular-session closing market data</x:v>
      </x:c>
      <x:c r="G388" s="44" t="str">
        <x:v>https://stockanalysis.com/etf/uso/</x:v>
      </x:c>
      <x:c r="H388" s="44" t="str">
        <x:v>USO closed October 7 at $143.91 versus the $144.60 September 8 opening entry. The $1,000 paper position was worth $995.23, down $4.77 (-0.48%).</x:v>
      </x:c>
      <x:c r="I388" s="44" t="str">
        <x:v>WTI expression moved slightly below entry</x:v>
      </x:c>
      <x:c r="J388" s="44" t="n">
        <x:v>5</x:v>
      </x:c>
      <x:c r="K388" s="44" t="str">
        <x:v>USO fell 0.69% for the session and remains far below its mid-September peak; this is a hypothetical fractional-share paper position.</x:v>
      </x:c>
    </x:row>
    <x:row r="389">
      <x:c r="A389" t="str">
        <x:v>EV-2026-384</x:v>
      </x:c>
      <x:c r="B389" t="str">
        <x:v>EEI-2026-001</x:v>
      </x:c>
      <x:c r="C389" s="21" t="n">
        <x:v>46302.833333333336</x:v>
      </x:c>
      <x:c r="D389" t="str">
        <x:v>Paper-trade outcome</x:v>
      </x:c>
      <x:c r="E389" t="str">
        <x:v>S&amp;P Global Market Intelligence via StockAnalysis</x:v>
      </x:c>
      <x:c r="F389" t="str">
        <x:v>Regular-session closing market data</x:v>
      </x:c>
      <x:c r="G389" s="44" t="str">
        <x:v>https://stockanalysis.com/etf/xop/</x:v>
      </x:c>
      <x:c r="H389" s="44" t="str">
        <x:v>XOP closed October 7 at $188.24 versus the $193.84 September 8 opening entry. The $1,000 paper position was worth $971.11, down $28.89 (-2.89%).</x:v>
      </x:c>
      <x:c r="I389" s="44" t="str">
        <x:v>Indirect producer-equity expression remains negative</x:v>
      </x:c>
      <x:c r="J389" s="44" t="n">
        <x:v>5</x:v>
      </x:c>
      <x:c r="K389" s="44" t="str">
        <x:v>XOP fell 0.12% for the session and remains the weakest cumulative expression; this is a hypothetical fractional-share paper position.</x:v>
      </x:c>
    </x:row>
    <x:row r="390">
      <x:c r="A390" t="str">
        <x:v>EV-2026-385</x:v>
      </x:c>
      <x:c r="B390" t="str">
        <x:v>EEI-2026-001</x:v>
      </x:c>
      <x:c r="C390" s="21" t="n">
        <x:v>46302.833333333336</x:v>
      </x:c>
      <x:c r="D390" t="str">
        <x:v>Post-horizon market, inventory and policy evidence</x:v>
      </x:c>
      <x:c r="E390" t="str">
        <x:v>Reuters</x:v>
      </x:c>
      <x:c r="F390" t="str">
        <x:v>High-quality reporting, settlement data and official inventory figures</x:v>
      </x:c>
      <x:c r="G390" s="44" t="str">
        <x:v>https://www.reuters.com/business/energy/oil-prices-rise-storms-air-strikes-threaten-supply-2026-10-07/</x:v>
      </x:c>
      <x:c r="H390" s="44" t="str">
        <x:v>Brent settled October 7 at $100.20 and WTI at $88.28 after the IEA agreed to accelerate delivery of about 100 million barrels still outstanding under its March release plan. U.S. crude inventories unexpectedly fell 3.2 million barrels to 424.1 million; Houthi attacks, Russian-facility strikes and a Gulf hurricane threat supported residual supply risk.</x:v>
      </x:c>
      <x:c r="I390" s="44" t="str">
        <x:v>Policy supply weakens the extended hold; physical risks still support a residual premium</x:v>
      </x:c>
      <x:c r="J390" s="44" t="n">
        <x:v>5</x:v>
      </x:c>
      <x:c r="K390" s="44" t="str">
        <x:v>The IEA volume is largely accelerated delivery of previously pledged barrels, not necessarily a new 100-million-barrel intervention. The mixed evidence leaves the formal September 18 outcome unchanged and does not create a new entry.</x:v>
      </x:c>
    </x:row>
    <x:row r="391">
      <x:c r="A391" t="str">
        <x:v>EV-2026-386</x:v>
      </x:c>
      <x:c r="B391" t="str">
        <x:v>EEI-2026-011</x:v>
      </x:c>
      <x:c r="C391" s="21" t="d">
        <x:v>2026-10-08T12:43:03.000Z</x:v>
      </x:c>
      <x:c r="D391" t="str">
        <x:v>Physical shipping and flow confirmation</x:v>
      </x:c>
      <x:c r="E391" t="str">
        <x:v>Reuters / Kpler / LSEG</x:v>
      </x:c>
      <x:c r="F391" t="str">
        <x:v>High-quality independent reporting of shipping data</x:v>
      </x:c>
      <x:c r="G391" s="44" t="str">
        <x:v>https://www.reuters.com/business/energy/hormuz-transits-lowest-over-two-months-after-attacks-data-shows-2026-10-08/</x:v>
      </x:c>
      <x:c r="H391" s="44" t="str">
        <x:v>Only seven commodity vessels crossed Hormuz on October 6, the fewest since July 23. Crude flow fell 27% week over week to at least 10.1 million bpd, 74% of prewar levels, after tanker attacks reached their wartime high.</x:v>
      </x:c>
      <x:c r="I391" s="44" t="str">
        <x:v>Confirms utilization and security mechanism</x:v>
      </x:c>
      <x:c r="J391" s="44" t="n">
        <x:v>5</x:v>
      </x:c>
      <x:c r="K391" s="44" t="str">
        <x:v>Alternate-coast exports rose to 6.7 million bpd and kept total Middle East exports near prewar levels, preserving a strong normalization countercase.</x:v>
      </x:c>
    </x:row>
    <x:row r="392">
      <x:c r="A392" t="str">
        <x:v>EV-2026-387</x:v>
      </x:c>
      <x:c r="B392" t="str">
        <x:v>EEI-2026-011</x:v>
      </x:c>
      <x:c r="C392" s="21" t="d">
        <x:v>2026-10-08T12:43:03.000Z</x:v>
      </x:c>
      <x:c r="D392" t="str">
        <x:v>Oil and logistics market confirmation</x:v>
      </x:c>
      <x:c r="E392" t="str">
        <x:v>Reuters</x:v>
      </x:c>
      <x:c r="F392" t="str">
        <x:v>High-quality independent market reporting</x:v>
      </x:c>
      <x:c r="G392" s="44" t="str">
        <x:v>https://www.reuters.com/business/energy/oil-rises-middle-east-supply-concerns-persist-amid-shipping-attacks-2026-10-08/</x:v>
      </x:c>
      <x:c r="H392" s="44" t="str">
        <x:v>Brent rose about 4.5% to $104.75 and WTI to $92.28 as shipping attacks and temporary U.S. Gulf shut-ins reinforced supply and logistics risk; stock-release details disappointed because the barrels were previously pledged.</x:v>
      </x:c>
      <x:c r="I392" s="44" t="str">
        <x:v>Strengthens physical thesis; weakens entry</x:v>
      </x:c>
      <x:c r="J392" s="44" t="n">
        <x:v>4</x:v>
      </x:c>
      <x:c r="K392" s="44" t="str">
        <x:v>The crude move validates scarcity risk but increases headline-chasing danger. The IEA release and alternate export routes remain material offsets.</x:v>
      </x:c>
    </x:row>
    <x:row r="393">
      <x:c r="A393" t="str">
        <x:v>EV-2026-388</x:v>
      </x:c>
      <x:c r="B393" t="str">
        <x:v>EEI-2026-011</x:v>
      </x:c>
      <x:c r="C393" s="21" t="d">
        <x:v>2026-10-08T12:43:03.000Z</x:v>
      </x:c>
      <x:c r="D393" t="str">
        <x:v>Formal outcome — tanker equity expression</x:v>
      </x:c>
      <x:c r="E393" t="str">
        <x:v>StockAnalysis / ChartExchange / observable market data</x:v>
      </x:c>
      <x:c r="F393" t="str">
        <x:v>Regular-session closing and historical market data</x:v>
      </x:c>
      <x:c r="G393" s="44" t="str">
        <x:v>https://stockanalysis.com/stocks/fro/history/</x:v>
      </x:c>
      <x:c r="H393" s="44" t="str">
        <x:v>FRO closed October 7 at $53.06 versus $49.81 on September 21, up about 6.5%. DHT closed at $23.71 versus $22.45, up about 5.6% over the same horizon.</x:v>
      </x:c>
      <x:c r="I393" s="44" t="str">
        <x:v>Expression correct; Entry Window stays WAIT</x:v>
      </x:c>
      <x:c r="J393" s="44" t="n">
        <x:v>4</x:v>
      </x:c>
      <x:c r="K393" s="44" t="str">
        <x:v>The equities moved in the predicted direction but lagged the freight-rate spike and remained near highs. Formal outcome: variable Yes, direction Yes, timing Yes, expression Yes, Entry discipline Yes.</x:v>
      </x:c>
    </x:row>
    <x:row r="394">
      <x:c r="A394" t="str">
        <x:v>EV-2026-389</x:v>
      </x:c>
      <x:c r="B394" t="str">
        <x:v>EEI-2026-003</x:v>
      </x:c>
      <x:c r="C394" s="21" t="d">
        <x:v>2026-10-08T12:43:03.000Z</x:v>
      </x:c>
      <x:c r="D394" t="str">
        <x:v>House outlook and district-level countercase</x:v>
      </x:c>
      <x:c r="E394" t="str">
        <x:v>Associated Press</x:v>
      </x:c>
      <x:c r="F394" t="str">
        <x:v>High-quality independent political reporting</x:v>
      </x:c>
      <x:c r="G394" s="44" t="str">
        <x:v>https://apnews.com/article/c87c09149f0d5fe329f78bc73901a8dd</x:v>
      </x:c>
      <x:c r="H394" s="44" t="str">
        <x:v>Democrats remained positioned for large House gains, while Republicans targeted vulnerable Democratic districts in New Hampshire, New York, Ohio, Nevada and New Mexico.</x:v>
      </x:c>
      <x:c r="I394" s="44" t="str">
        <x:v>Supports House-shift thesis; limits certainty</x:v>
      </x:c>
      <x:c r="J394" s="44" t="n">
        <x:v>4</x:v>
      </x:c>
      <x:c r="K394" s="44" t="str">
        <x:v>District-level Republican opportunities and unresolved Senate control prevent treating a Democratic sweep as certain.</x:v>
      </x:c>
    </x:row>
    <x:row r="395">
      <x:c r="A395" t="str">
        <x:v>EV-2026-390</x:v>
      </x:c>
      <x:c r="B395" t="str">
        <x:v>EEI-2026-003</x:v>
      </x:c>
      <x:c r="C395" s="21" t="d">
        <x:v>2026-10-08T12:43:03.000Z</x:v>
      </x:c>
      <x:c r="D395" t="str">
        <x:v>Rates and breadth contradiction</x:v>
      </x:c>
      <x:c r="E395" t="str">
        <x:v>Reuters / observable market data</x:v>
      </x:c>
      <x:c r="F395" t="str">
        <x:v>High-quality market reporting and market data</x:v>
      </x:c>
      <x:c r="G395" s="44" t="str">
        <x:v>https://www.reuters.com/business/wall-st-futures-slide-rising-oil-yields-dampen-mood-2026-10-08/</x:v>
      </x:c>
      <x:c r="H395" s="44" t="str">
        <x:v>Brent moved above $104 and the U.S. 10-year yield held near 5.34%; early indications showed SPY about -0.2%, RSP -0.8% and IWM -1.3%.</x:v>
      </x:c>
      <x:c r="I395" s="44" t="str">
        <x:v>Keeps conditional breadth expression on WAIT</x:v>
      </x:c>
      <x:c r="J395" s="44" t="n">
        <x:v>4</x:v>
      </x:c>
      <x:c r="K395" s="44" t="str">
        <x:v>Political evidence remains strong, but equal-weight and small-cap participation weakened as inflation and financing risks rose.</x:v>
      </x:c>
    </x:row>
    <x:row r="396">
      <x:c r="A396" t="str">
        <x:v>EV-2026-391</x:v>
      </x:c>
      <x:c r="B396" t="str">
        <x:v>EEI-2026-002</x:v>
      </x:c>
      <x:c r="C396" s="21" t="d">
        <x:v>2026-10-08T12:43:03.000Z</x:v>
      </x:c>
      <x:c r="D396" t="str">
        <x:v>Long-run gas normalization modifier</x:v>
      </x:c>
      <x:c r="E396" t="str">
        <x:v>Reuters</x:v>
      </x:c>
      <x:c r="F396" t="str">
        <x:v>High-quality independent reporting</x:v>
      </x:c>
      <x:c r="G396" s="44" t="str">
        <x:v>https://www.reuters.com/business/energy/us-russia-explore-gas-sale-europe-amid-ukraine-war-say-sources-2026-10-08/</x:v>
      </x:c>
      <x:c r="H396" s="44" t="str">
        <x:v>U.S. and Russian officials explored potential Nord Stream-related business structures and European gas sales.</x:v>
      </x:c>
      <x:c r="I396" s="44" t="str">
        <x:v>Remote contradiction only</x:v>
      </x:c>
      <x:c r="J396" s="44" t="n">
        <x:v>4</x:v>
      </x:c>
      <x:c r="K396" s="44" t="str">
        <x:v>Existing U.S. and EU sanctions, German and Polish opposition and security concerns make implementation too uncertain to change current LNG or coal-switching evidence.</x:v>
      </x:c>
    </x:row>
    <x:row r="397">
      <x:c r="A397" t="str">
        <x:v>EV-2026-392</x:v>
      </x:c>
      <x:c r="B397" t="str">
        <x:v>EEI-2026-006</x:v>
      </x:c>
      <x:c r="C397" s="21" t="d">
        <x:v>2026-10-08T12:43:03.000Z</x:v>
      </x:c>
      <x:c r="D397" t="str">
        <x:v>LULU primary leadership checkpoint</x:v>
      </x:c>
      <x:c r="E397" t="str">
        <x:v>lululemon SEC filing</x:v>
      </x:c>
      <x:c r="F397" t="str">
        <x:v>Primary issuer filing</x:v>
      </x:c>
      <x:c r="G397" s="44" t="str">
        <x:v>https://www.sec.gov/Archives/edgar/data/1397187/000139718726000131/lulu-20260930.htm</x:v>
      </x:c>
      <x:c r="H397" s="44" t="str">
        <x:v>lululemon appointed former Nike executive Maggie Gauger chief product officer and expanded CFO Meghan Frank's interim brand and technology responsibilities.</x:v>
      </x:c>
      <x:c r="I397" s="44" t="str">
        <x:v>Relevant turnaround input; no operating confirmation</x:v>
      </x:c>
      <x:c r="J397" s="44" t="n">
        <x:v>5</x:v>
      </x:c>
      <x:c r="K397" s="44" t="str">
        <x:v>The filing contains no comparable-sales, inventory, margin or demand evidence. LULU remains Hypothesis 2/5, edge 2/5 and WAIT.</x:v>
      </x:c>
    </x:row>
    <x:row r="398">
      <x:c r="A398" t="str">
        <x:v>EV-2026-393</x:v>
      </x:c>
      <x:c r="B398" t="str">
        <x:v>EEI-2026-005</x:v>
      </x:c>
      <x:c r="C398" s="21" t="d">
        <x:v>2026-10-08T12:43:03.000Z</x:v>
      </x:c>
      <x:c r="D398" t="str">
        <x:v>Repeated Motley Fool BMY yield trigger</x:v>
      </x:c>
      <x:c r="E398" t="str">
        <x:v>The Motley Fool — Reuben Gregg Brewer</x:v>
      </x:c>
      <x:c r="F398" t="str">
        <x:v>Trigger only; free public editorial published October 7, 2026 at 7:15 p.m. ET; author disclosed a Realty Income position; publication disclosed positions and recommendations in BMY and Realty Income</x:v>
      </x:c>
      <x:c r="G398" s="44" t="str">
        <x:v>https://www.fool.com/investing/2026/10/07/2-high-yield-stocks-to-buy-in-october-hint-bristol/</x:v>
      </x:c>
      <x:c r="H398" s="44" t="str">
        <x:v>Tickers BMY and O. Claimed BMY catalyst: 4.2% yield while waiting for pipeline replacement drugs. Expected variable: dividend-supported total return and eventual replacement revenue, up over years.</x:v>
      </x:c>
      <x:c r="I398" s="44" t="str">
        <x:v>No stage or Entry Window change</x:v>
      </x:c>
      <x:c r="J398" s="44" t="n">
        <x:v>3</x:v>
      </x:c>
      <x:c r="K398" s="44" t="str">
        <x:v>The writer explicitly said there are no clear replacement winners yet. This was free editorial content, not an official paid-service recommendation; no new primary operating evidence supports promotion.</x:v>
      </x:c>
    </x:row>
    <x:row r="399">
      <x:c r="A399" t="str">
        <x:v>EV-2026-394</x:v>
      </x:c>
      <x:c r="B399"/>
      <x:c r="C399" s="21" t="d">
        <x:v>2026-10-08T12:43:03.000Z</x:v>
      </x:c>
      <x:c r="D399" t="str">
        <x:v>Rejected Motley Fool GEV backlog trigger</x:v>
      </x:c>
      <x:c r="E399" t="str">
        <x:v>The Motley Fool — Catie Hogan</x:v>
      </x:c>
      <x:c r="F399" t="str">
        <x:v>Trigger only; free public editorial published October 7, 2026 at 4:23 p.m. ET; author disclosed no position; publication disclosed a GEV position and recommendation</x:v>
      </x:c>
      <x:c r="G399" s="44" t="str">
        <x:v>https://www.fool.com/investing/2026/10/07/could-ge-vernova-be-your-ticket-to-generational/</x:v>
      </x:c>
      <x:c r="H399" s="44" t="str">
        <x:v>Ticker GEV. Claimed catalyst: $176 billion backlog, strong power/electrification orders and AI-linked electricity demand. Expected variable: orders, revenue and free cash flow, up over several years.</x:v>
      </x:c>
      <x:c r="I399" s="44" t="str">
        <x:v>Rejected as a distinct new thesis</x:v>
      </x:c>
      <x:c r="J399" s="44" t="n">
        <x:v>3</x:v>
      </x:c>
      <x:c r="K399" s="44" t="str">
        <x:v>Primary evidence supports the catalyst, but the facts are two months old, GEV traded near 39 times forward earnings and the Wind segment remained loss-making. This was free editorial content, not an official paid-service recommendation.</x:v>
      </x:c>
    </x:row>
    <x:row r="400">
      <x:c r="A400" t="str">
        <x:v>EV-2026-395</x:v>
      </x:c>
      <x:c r="B400"/>
      <x:c r="C400" s="21" t="d">
        <x:v>2026-10-08T12:43:03.000Z</x:v>
      </x:c>
      <x:c r="D400" t="str">
        <x:v>Independent GEV catalyst validation</x:v>
      </x:c>
      <x:c r="E400" t="str">
        <x:v>GE Vernova / SEC</x:v>
      </x:c>
      <x:c r="F400" t="str">
        <x:v>Primary issuer results and filing</x:v>
      </x:c>
      <x:c r="G400" s="44" t="str">
        <x:v>https://www.gevernova.com/news/articles/ge-vernova-releases-second-quarter-2026-financial-results</x:v>
      </x:c>
      <x:c r="H400" s="44" t="str">
        <x:v>Q2 orders rose 88% organically to $24.2 billion, revenue rose 22% to $11.1 billion, backlog reached $176 billion and 2026 free-cash-flow guidance increased to $11.5-$12.5 billion.</x:v>
      </x:c>
      <x:c r="I400" s="44" t="str">
        <x:v>Confirms catalyst; no underappreciated entry</x:v>
      </x:c>
      <x:c r="J400" s="44" t="n">
        <x:v>5</x:v>
      </x:c>
      <x:c r="K400" s="44" t="str">
        <x:v>Wind orders and profitability remained weak, earnings missed expectations and the stock already carried a premium valuation. No distinct thesis or favorable Entry Window was opened.</x:v>
      </x:c>
    </x:row>
    <x:row r="401">
      <x:c r="A401" t="str">
        <x:v>EV-2026-396</x:v>
      </x:c>
      <x:c r="B401"/>
      <x:c r="C401" s="21" t="d">
        <x:v>2026-10-08T12:43:03.000Z</x:v>
      </x:c>
      <x:c r="D401" t="str">
        <x:v>Rejected Motley Fool fintech trigger</x:v>
      </x:c>
      <x:c r="E401" t="str">
        <x:v>The Motley Fool — Leo Sun</x:v>
      </x:c>
      <x:c r="F401" t="str">
        <x:v>Trigger only; free public editorial published October 7, 2026 at 3:59 p.m. ET; author and publication disclosed no positions</x:v>
      </x:c>
      <x:c r="G401" s="44" t="str">
        <x:v>https://www.fool.com/investing/2026/10/07/2-fintech-stocks-to-buy-after-losing-about-half-th/</x:v>
      </x:c>
      <x:c r="H401" s="44" t="str">
        <x:v>Tickers SOFI and CRCL. Claimed catalyst: higher rates may lift SoFi net interest income and Circle reserve income. Expected variable: net interest or reserve income and EBITDA, up over quarters to years.</x:v>
      </x:c>
      <x:c r="I401" s="44" t="str">
        <x:v>Rejected as a new thesis</x:v>
      </x:c>
      <x:c r="J401" s="44" t="n">
        <x:v>3</x:v>
      </x:c>
      <x:c r="K401" s="44" t="str">
        <x:v>Credit risk, deposit funding costs, stablecoin competition, rate sensitivity and regulatory uncertainty make the directional mechanism two-sided. This was free editorial content, not an official paid-service recommendation.</x:v>
      </x:c>
    </x:row>
    <x:row r="402">
      <x:c r="A402" t="str">
        <x:v>EV-2026-397</x:v>
      </x:c>
      <x:c r="B402"/>
      <x:c r="C402" s="21" t="d">
        <x:v>2026-10-08T12:43:03.000Z</x:v>
      </x:c>
      <x:c r="D402" t="str">
        <x:v>New Motley Fool SoFiUSD trigger</x:v>
      </x:c>
      <x:c r="E402" t="str">
        <x:v>The Motley Fool — Rick Orford</x:v>
      </x:c>
      <x:c r="F402" t="str">
        <x:v>Trigger only; free public editorial published October 8, 2026 at 6:33 a.m. ET; author disclosed no position and affiliate compensation; publication disclosed no position</x:v>
      </x:c>
      <x:c r="G402" s="44" t="str">
        <x:v>https://www.fool.com/investing/2026/10/08/sofis-25-billion-stablecoin-push-could-change-its/</x:v>
      </x:c>
      <x:c r="H402" s="44" t="str">
        <x:v>Ticker SOFI. Claimed catalyst: migration of more than $25 billion of annualized card volume to SoFiUSD settlement. Expected variable: recurring payments fees, deposits, reserve income and technology revenue, up over years.</x:v>
      </x:c>
      <x:c r="I402" s="44" t="str">
        <x:v>Rejected pending monetization evidence</x:v>
      </x:c>
      <x:c r="J402" s="44" t="n">
        <x:v>3</x:v>
      </x:c>
      <x:c r="K402" s="44" t="str">
        <x:v>The article itself says scale does not guarantee profit. This was free editorial content, not an official paid-service recommendation; external merchant adoption and economics remain unproven.</x:v>
      </x:c>
    </x:row>
    <x:row r="403">
      <x:c r="A403" t="str">
        <x:v>EV-2026-398</x:v>
      </x:c>
      <x:c r="B403"/>
      <x:c r="C403" s="21" t="d">
        <x:v>2026-10-08T12:43:03.000Z</x:v>
      </x:c>
      <x:c r="D403" t="str">
        <x:v>Independent SoFiUSD catalyst validation</x:v>
      </x:c>
      <x:c r="E403" t="str">
        <x:v>SoFi and Mastercard</x:v>
      </x:c>
      <x:c r="F403" t="str">
        <x:v>Primary issuer and partner announcement</x:v>
      </x:c>
      <x:c r="G403" s="44" t="str">
        <x:v>https://investors.sofi.com/news/news-details/2026/SoFi-Becomes-First-National-Bank-to-Go-Live-with-Stablecoin-Settlement-across-Mastercards-Global-Payments-Network/default.aspx</x:v>
      </x:c>
      <x:c r="H403" s="44" t="str">
        <x:v>SoFi began migrating its $25 billion annualized card program to SoFiUSD settlement and said discussions with large merchants were underway.</x:v>
      </x:c>
      <x:c r="I403" s="44" t="str">
        <x:v>Confirms implementation, not material profit</x:v>
      </x:c>
      <x:c r="J403" s="44" t="n">
        <x:v>5</x:v>
      </x:c>
      <x:c r="K403" s="44" t="str">
        <x:v>The volume is internal settlement activity rather than disclosed new revenue or backlog; merchant deals, pricing, reserve economics, dilution and credit risks remain unresolved. No thesis opened.</x:v>
      </x:c>
    </x:row>
    <x:row r="404">
      <x:c r="A404" t="str">
        <x:v>EV-2026-399</x:v>
      </x:c>
      <x:c r="B404"/>
      <x:c r="C404" s="21" t="d">
        <x:v>2026-10-08T12:43:03.000Z</x:v>
      </x:c>
      <x:c r="D404" t="str">
        <x:v>Autonomous-trucking regulatory trigger</x:v>
      </x:c>
      <x:c r="E404" t="str">
        <x:v>U.S. Department of Transportation via Reuters</x:v>
      </x:c>
      <x:c r="F404" t="str">
        <x:v>Primary regulatory action reported independently</x:v>
      </x:c>
      <x:c r="G404" s="44" t="str">
        <x:v>https://www.reuters.com/business/us-grants-aurora-exemption-self-driving-trucks-safety-feature-2026-10-08/</x:v>
      </x:c>
      <x:c r="H404" s="44" t="str">
        <x:v>USDOT granted Aurora and other autonomous-trucking operators a five-year exemption allowing cab-mounted warning beacons instead of roadside reflective devices, subject to crash reporting and revocation conditions.</x:v>
      </x:c>
      <x:c r="I404" s="44" t="str">
        <x:v>Positive deployment modifier; no thesis</x:v>
      </x:c>
      <x:c r="J404" s="44" t="n">
        <x:v>4</x:v>
      </x:c>
      <x:c r="K404" s="44" t="str">
        <x:v>Aurora operates only about 20 autonomous trucks and the exemption does not establish material revenue, unit economics or adoption. No distinct public-market thesis was opened.</x:v>
      </x:c>
    </x:row>
    <x:row r="405">
      <x:c r="A405" t="str">
        <x:v>EV-2026-400</x:v>
      </x:c>
      <x:c r="B405"/>
      <x:c r="C405" s="21" t="d">
        <x:v>2026-10-08T12:43:03.000Z</x:v>
      </x:c>
      <x:c r="D405" t="str">
        <x:v>USAspending and announced-award screen</x:v>
      </x:c>
      <x:c r="E405" t="str">
        <x:v>USAspending.gov / Defense.gov / Reuters</x:v>
      </x:c>
      <x:c r="F405" t="str">
        <x:v>Primary award database and government records plus independent reporting</x:v>
      </x:c>
      <x:c r="G405" s="44" t="str">
        <x:v>https://www.usaspending.gov/search</x:v>
      </x:c>
      <x:c r="H405" s="44" t="str">
        <x:v>No newly verified public-company award in the scan supplied all required fields and a material, underappreciated equity mapping. The previously announced $2.9 billion Anduril Navy ceiling still lacked a public PIID, current obligation, NAICS/PSC, competition status and clean public parent-company mapping.</x:v>
      </x:c>
      <x:c r="I405" s="44" t="str">
        <x:v>No qualifying contract thesis</x:v>
      </x:c>
      <x:c r="J405" s="44" t="n">
        <x:v>4</x:v>
      </x:c>
      <x:c r="K405" s="44" t="str">
        <x:v>Large ceilings and private-company announcements were not treated as obligated backlog. Routine modifications and incompletely specified awards were rejected.</x:v>
      </x:c>
    </x:row>
    <x:row r="406">
      <x:c r="A406" t="str">
        <x:v>EV-2026-401</x:v>
      </x:c>
      <x:c r="B406" t="str">
        <x:v>EEI-2026-007</x:v>
      </x:c>
      <x:c r="C406" s="21" t="d">
        <x:v>2026-10-08T12:43:03.000Z</x:v>
      </x:c>
      <x:c r="D406" t="str">
        <x:v>AVAV candidate queue checkpoint</x:v>
      </x:c>
      <x:c r="E406" t="str">
        <x:v>AeroVironment investor relations</x:v>
      </x:c>
      <x:c r="F406" t="str">
        <x:v>Primary issuer filings and results center</x:v>
      </x:c>
      <x:c r="G406" s="44" t="str">
        <x:v>https://investor.avinc.com/financial-information/financial-filings-and-releases</x:v>
      </x:c>
      <x:c r="H406" s="44" t="str">
        <x:v>No new operating filing changed autonomous-systems backlog, restatement, profitability, leverage or valuation evidence at the scan cutoff.</x:v>
      </x:c>
      <x:c r="I406" s="44" t="str">
        <x:v>No stage or Entry Window change</x:v>
      </x:c>
      <x:c r="J406" s="44" t="n">
        <x:v>5</x:v>
      </x:c>
      <x:c r="K406" s="44" t="str">
        <x:v>AVAV remains Strong 4/5, edge 2/5 and WAIT. Public drone-list coverage supplied no new primary catalyst.</x:v>
      </x:c>
    </x:row>
    <x:row r="407">
      <x:c r="A407" t="str">
        <x:v>EV-2026-402</x:v>
      </x:c>
      <x:c r="B407" t="str">
        <x:v>EEI-2026-001</x:v>
      </x:c>
      <x:c r="C407" s="21" t="n">
        <x:v>46303.833333333336</x:v>
      </x:c>
      <x:c r="D407" t="str">
        <x:v>Paper-trade outcome</x:v>
      </x:c>
      <x:c r="E407" t="str">
        <x:v>S&amp;P Global Market Intelligence via StockAnalysis</x:v>
      </x:c>
      <x:c r="F407" t="str">
        <x:v>Regular-session closing market data</x:v>
      </x:c>
      <x:c r="G407" s="44" t="str">
        <x:v>https://stockanalysis.com/etf/bno/history/</x:v>
      </x:c>
      <x:c r="H407" s="44" t="str">
        <x:v>BNO closed October 8 at $63.69 versus the $57.21 September 8 opening entry. The $1,000 paper position was worth $1113.27, up $113.27 (+11.33%).</x:v>
      </x:c>
      <x:c r="I407" s="44" t="str">
        <x:v>Direct Brent expression remains the strongest cumulative position</x:v>
      </x:c>
      <x:c r="J407" s="44" t="n">
        <x:v>5</x:v>
      </x:c>
      <x:c r="K407" s="44" t="str">
        <x:v>BNO gained 2.89% for the session and reached an 11.33% cumulative paper return; this is a hypothetical fractional-share position.</x:v>
      </x:c>
    </x:row>
    <x:row r="408">
      <x:c r="A408" t="str">
        <x:v>EV-2026-403</x:v>
      </x:c>
      <x:c r="B408" t="str">
        <x:v>EEI-2026-001</x:v>
      </x:c>
      <x:c r="C408" s="21" t="n">
        <x:v>46303.833333333336</x:v>
      </x:c>
      <x:c r="D408" t="str">
        <x:v>Paper-trade outcome</x:v>
      </x:c>
      <x:c r="E408" t="str">
        <x:v>S&amp;P Global Market Intelligence via StockAnalysis</x:v>
      </x:c>
      <x:c r="F408" t="str">
        <x:v>Regular-session closing market data</x:v>
      </x:c>
      <x:c r="G408" s="44" t="str">
        <x:v>https://stockanalysis.com/etf/uso/history/</x:v>
      </x:c>
      <x:c r="H408" s="44" t="str">
        <x:v>USO closed October 8 at $147.62 versus the $144.60 September 8 opening entry. The $1,000 paper position was worth $1020.89, up $20.89 (+2.09%).</x:v>
      </x:c>
      <x:c r="I408" s="44" t="str">
        <x:v>WTI expression returned above entry but trails BNO</x:v>
      </x:c>
      <x:c r="J408" s="44" t="n">
        <x:v>5</x:v>
      </x:c>
      <x:c r="K408" s="44" t="str">
        <x:v>USO gained 2.57% for the session and returned to a modest cumulative gain; this is a hypothetical fractional-share position.</x:v>
      </x:c>
    </x:row>
    <x:row r="409">
      <x:c r="A409" t="str">
        <x:v>EV-2026-404</x:v>
      </x:c>
      <x:c r="B409" t="str">
        <x:v>EEI-2026-001</x:v>
      </x:c>
      <x:c r="C409" s="21" t="n">
        <x:v>46303.833333333336</x:v>
      </x:c>
      <x:c r="D409" t="str">
        <x:v>Paper-trade outcome</x:v>
      </x:c>
      <x:c r="E409" t="str">
        <x:v>S&amp;P Global Market Intelligence via StockAnalysis</x:v>
      </x:c>
      <x:c r="F409" t="str">
        <x:v>Regular-session closing market data</x:v>
      </x:c>
      <x:c r="G409" s="44" t="str">
        <x:v>https://stockanalysis.com/etf/xop/history/</x:v>
      </x:c>
      <x:c r="H409" s="44" t="str">
        <x:v>XOP closed October 8 at $193.48 versus the $193.84 September 8 opening entry. The $1,000 paper position was worth $998.14, down $1.86 (-0.19%).</x:v>
      </x:c>
      <x:c r="I409" s="44" t="str">
        <x:v>Indirect producer-equity expression remains the weakest cumulative position</x:v>
      </x:c>
      <x:c r="J409" s="44" t="n">
        <x:v>5</x:v>
      </x:c>
      <x:c r="K409" s="44" t="str">
        <x:v>XOP gained 2.78% for the session and nearly returned to entry; this is a hypothetical fractional-share position.</x:v>
      </x:c>
    </x:row>
    <x:row r="410">
      <x:c r="A410" t="str">
        <x:v>EV-2026-405</x:v>
      </x:c>
      <x:c r="B410" t="str">
        <x:v>EEI-2026-001</x:v>
      </x:c>
      <x:c r="C410" s="21" t="n">
        <x:v>46303.833333333336</x:v>
      </x:c>
      <x:c r="D410" t="str">
        <x:v>Post-horizon market and supply-risk evidence</x:v>
      </x:c>
      <x:c r="E410" t="str">
        <x:v>Reuters</x:v>
      </x:c>
      <x:c r="F410" t="str">
        <x:v>High-quality reporting and settlement data</x:v>
      </x:c>
      <x:c r="G410" s="44" t="str">
        <x:v>https://www.reuters.com/business/energy/oil-rises-middle-east-supply-concerns-persist-amid-shipping-attacks-2026-10-08/</x:v>
      </x:c>
      <x:c r="H410" s="44" t="str">
        <x:v>Brent settled October 8 up 4.1% at $104.28 and WTI rose 3.6% to $91.49. Tanker attacks reached their highest frequency of the war, while Hurricane Isaias caused about 1.3 million bpd, or 62.9%, of U.S. Gulf production to be shut in.</x:v>
      </x:c>
      <x:c r="I410" s="44" t="str">
        <x:v>Strongly confirms a renewed supply-risk premium</x:v>
      </x:c>
      <x:c r="J410" s="44" t="n">
        <x:v>5</x:v>
      </x:c>
      <x:c r="K410" s="44" t="str">
        <x:v>Prices retreated from their highs after President Trump said U.S.-Iran talks were productive and promised no U.S. attack before November 3. The rally confirms risk but remains headline-sensitive.</x:v>
      </x:c>
    </x:row>
    <x:row r="411">
      <x:c r="A411" t="str">
        <x:v>EV-2026-406</x:v>
      </x:c>
      <x:c r="B411" t="str">
        <x:v>EEI-2026-001</x:v>
      </x:c>
      <x:c r="C411" s="21" t="n">
        <x:v>46303.833333333336</x:v>
      </x:c>
      <x:c r="D411" t="str">
        <x:v>Post-horizon normalization and logistics evidence</x:v>
      </x:c>
      <x:c r="E411" t="str">
        <x:v>Reuters / Kpler / Energy Aspects</x:v>
      </x:c>
      <x:c r="F411" t="str">
        <x:v>High-quality analysis using industry flow estimates</x:v>
      </x:c>
      <x:c r="G411" s="44" t="str">
        <x:v>https://www.reuters.com/commentary/reuters-open-interest/battle-mideast-oil-market-share-has-already-begun-2026-10-08/</x:v>
      </x:c>
      <x:c r="H411" s="44" t="str">
        <x:v>Hormuz crude exports averaged about 12 million bpd over the prior two weeks, roughly 80% of prewar levels. Including alternative routes, Middle East crude exports exceeded the 18-million-bpd prewar average during much of the week ended October 3; Energy Aspects estimated the global crude deficit would narrow to 250,000 bpd in October from almost 4 million bpd in May.</x:v>
      </x:c>
      <x:c r="I411" s="44" t="str">
        <x:v>Strong normalization counterevidence, offset by persistent tanker risk</x:v>
      </x:c>
      <x:c r="J411" s="44" t="n">
        <x:v>4</x:v>
      </x:c>
      <x:c r="K411" s="44" t="str">
        <x:v>Nearly one tanker a day was hit over the prior two weeks, keeping freight, insurance and Brent elevated. The physical mechanism persists, but higher total exports weaken the extended scarcity case.</x:v>
      </x:c>
    </x:row>
    <x:row r="412">
      <x:c r="A412" t="str">
        <x:v>EV-2026-407</x:v>
      </x:c>
      <x:c r="B412" t="str">
        <x:v>EEI-2026-011</x:v>
      </x:c>
      <x:c r="C412" s="21" t="d">
        <x:v>2026-10-09T12:23:14.000Z</x:v>
      </x:c>
      <x:c r="D412" t="str">
        <x:v>Record VLCC freight changes crude sourcing</x:v>
      </x:c>
      <x:c r="E412" t="str">
        <x:v>Reuters</x:v>
      </x:c>
      <x:c r="F412" t="str">
        <x:v>High-quality independent reporting with broker and refiner quotations</x:v>
      </x:c>
      <x:c r="G412" s="44" t="str">
        <x:v>https://www.reuters.com/business/energy/soaring-freight-rates-threaten-asias-appetite-us-crude-2026-10-09/</x:v>
      </x:c>
      <x:c r="H412" s="44" t="str">
        <x:v>November U.S. Gulf-China VLCC freight reached about $80 million for two million barrels, roughly $40 per barrel versus $8.60 prewar. The U.S.-Asia arbitrage closed and Asian refiners sought Murban and Argentine alternatives.</x:v>
      </x:c>
      <x:c r="I412" s="44" t="str">
        <x:v>Strong physical confirmation; Entry stays WAIT</x:v>
      </x:c>
      <x:c r="J412" s="44" t="n">
        <x:v>5</x:v>
      </x:c>
      <x:c r="K412" s="44" t="str">
        <x:v>Freight is already extreme. Alternative routes, strategic stocks, the large vessel orderbook and geopolitical de-escalation could compress the premium quickly.</x:v>
      </x:c>
    </x:row>
    <x:row r="413">
      <x:c r="A413" t="str">
        <x:v>EV-2026-408</x:v>
      </x:c>
      <x:c r="B413" t="str">
        <x:v>EEI-2026-011</x:v>
      </x:c>
      <x:c r="C413" s="21" t="d">
        <x:v>2026-10-09T12:23:14.000Z</x:v>
      </x:c>
      <x:c r="D413" t="str">
        <x:v>Oil de-escalation and market reversal</x:v>
      </x:c>
      <x:c r="E413" t="str">
        <x:v>Reuters</x:v>
      </x:c>
      <x:c r="F413" t="str">
        <x:v>High-quality independent market reporting</x:v>
      </x:c>
      <x:c r="G413" s="44" t="str">
        <x:v>https://www.reuters.com/world/china/global-markets-wrapup-1-2026-10-09/</x:v>
      </x:c>
      <x:c r="H413" s="44" t="str">
        <x:v>Brent fell more than 1% below $103 after President Trump said there would be no U.S. attack on Iran before November 3; equities rose on the temporary risk reprieve.</x:v>
      </x:c>
      <x:c r="I413" s="44" t="str">
        <x:v>Contradiction and Entry Window risk</x:v>
      </x:c>
      <x:c r="J413" s="44" t="n">
        <x:v>4</x:v>
      </x:c>
      <x:c r="K413" s="44" t="str">
        <x:v>The move shows how quickly conflict premiums and tanker-linked equities can reverse on headlines even while freight remains physically tight.</x:v>
      </x:c>
    </x:row>
    <x:row r="414">
      <x:c r="A414" t="str">
        <x:v>EV-2026-409</x:v>
      </x:c>
      <x:c r="B414" t="str">
        <x:v>EEI-2026-003</x:v>
      </x:c>
      <x:c r="C414" s="21" t="d">
        <x:v>2026-10-09T12:23:14.000Z</x:v>
      </x:c>
      <x:c r="D414" t="str">
        <x:v>House expansion and Senate structural difficulty</x:v>
      </x:c>
      <x:c r="E414" t="str">
        <x:v>Reuters</x:v>
      </x:c>
      <x:c r="F414" t="str">
        <x:v>High-quality independent political reporting</x:v>
      </x:c>
      <x:c r="G414" s="44" t="str">
        <x:v>https://www.reuters.com/world/us/democrats-march-into-trump-country-2026-10-08/</x:v>
      </x:c>
      <x:c r="H414" s="44" t="str">
        <x:v>Democrats expanded House targets into deep Trump districts, but Senate control requires defending Michigan and New Hampshire and flipping four seats from a difficult six-state set.</x:v>
      </x:c>
      <x:c r="I414" s="44" t="str">
        <x:v>Supports House shift; limits sweep confidence</x:v>
      </x:c>
      <x:c r="J414" s="44" t="n">
        <x:v>5</x:v>
      </x:c>
      <x:c r="K414" s="44" t="str">
        <x:v>About three dozen House races remain competitive, and Senate math prevents a high-confidence unified-control conclusion.</x:v>
      </x:c>
    </x:row>
    <x:row r="415">
      <x:c r="A415" t="str">
        <x:v>EV-2026-410</x:v>
      </x:c>
      <x:c r="B415" t="str">
        <x:v>EEI-2026-003</x:v>
      </x:c>
      <x:c r="C415" s="21" t="d">
        <x:v>2026-10-09T12:23:14.000Z</x:v>
      </x:c>
      <x:c r="D415" t="str">
        <x:v>Rates and breadth checkpoint</x:v>
      </x:c>
      <x:c r="E415" t="str">
        <x:v>Reuters / PIMCO</x:v>
      </x:c>
      <x:c r="F415" t="str">
        <x:v>High-quality market reporting; named expert view treated as enhancer, not proof</x:v>
      </x:c>
      <x:c r="G415" s="44" t="str">
        <x:v>https://www.reuters.com/markets/us/us-10-year-treasury-yield-risks-hitting-6-first-time-since-2000-pimcos-ivascyn-2026-10-09/</x:v>
      </x:c>
      <x:c r="H415" s="44" t="str">
        <x:v>Pimco's Dan Ivascyn said the 10-year yield could reach 6%; it was about 5.29%. Equity relief as oil fell remained technology-led rather than broad.</x:v>
      </x:c>
      <x:c r="I415" s="44" t="str">
        <x:v>Keeps conditional expression on WAIT</x:v>
      </x:c>
      <x:c r="J415" s="44" t="n">
        <x:v>4</x:v>
      </x:c>
      <x:c r="K415" s="44" t="str">
        <x:v>A forecast is not proof, but already-high yields and narrow leadership are observable obstacles to the thesis's breadth and rate-sensitive expressions.</x:v>
      </x:c>
    </x:row>
    <x:row r="416">
      <x:c r="A416" t="str">
        <x:v>EV-2026-411</x:v>
      </x:c>
      <x:c r="B416" t="str">
        <x:v>EEI-2026-007</x:v>
      </x:c>
      <x:c r="C416" s="21" t="d">
        <x:v>2026-10-09T12:23:14.000Z</x:v>
      </x:c>
      <x:c r="D416" t="str">
        <x:v>AVAV Navy prototype selection</x:v>
      </x:c>
      <x:c r="E416" t="str">
        <x:v>AeroVironment</x:v>
      </x:c>
      <x:c r="F416" t="str">
        <x:v>Primary issuer announcement</x:v>
      </x:c>
      <x:c r="G416" s="44" t="str">
        <x:v>https://investor.avinc.com/news-releases/news-release-details/avs-videoray-selected-subcontractor-navy-mine-countermeasure</x:v>
      </x:c>
      <x:c r="H416" s="44" t="str">
        <x:v>Wholly owned VideoRay will support an AEVEX-led team selected as one of three awardees for a Navy and DIU autonomous mine-countermeasure prototype effort.</x:v>
      </x:c>
      <x:c r="I416" s="44" t="str">
        <x:v>Confirms demand and technical position; no stage change</x:v>
      </x:c>
      <x:c r="J416" s="44" t="n">
        <x:v>5</x:v>
      </x:c>
      <x:c r="K416" s="44" t="str">
        <x:v>No PIID, obligation, ceiling, workshare, performance period or revenue was disclosed, so materiality and profitability cannot be established. Strong 4/5, edge 2/5, WAIT.</x:v>
      </x:c>
    </x:row>
    <x:row r="417">
      <x:c r="A417" t="str">
        <x:v>EV-2026-412</x:v>
      </x:c>
      <x:c r="B417"/>
      <x:c r="C417" s="21" t="d">
        <x:v>2026-10-09T12:23:14.000Z</x:v>
      </x:c>
      <x:c r="D417" t="str">
        <x:v>Rejected Motley Fool AMD and Palantir market-cap prediction</x:v>
      </x:c>
      <x:c r="E417" t="str">
        <x:v>The Motley Fool — Micah Zimmerman</x:v>
      </x:c>
      <x:c r="F417" t="str">
        <x:v>Trigger only; free public editorial published October 9, 2026 at 7:15 a.m. ET; author disclosed no position; publication disclosed positions and recommendations in AMD, Broadcom, Nvidia and Palantir</x:v>
      </x:c>
      <x:c r="G417" s="44" t="str">
        <x:v>https://www.fool.com/investing/2026/10/09/predict-stocks-worth-more-broadcom-pltr-amd/</x:v>
      </x:c>
      <x:c r="H417" s="44" t="str">
        <x:v>Tickers AMD and PLTR. Claimed catalysts: AMD's OpenAI accelerator deployment and Palantir's rapid commercial growth. Expected variable: revenue and market capitalization, up over five years.</x:v>
      </x:c>
      <x:c r="I417" s="44" t="str">
        <x:v>Rejected as a distinct thesis</x:v>
      </x:c>
      <x:c r="J417" s="44" t="n">
        <x:v>3</x:v>
      </x:c>
      <x:c r="K417" s="44" t="str">
        <x:v>The catalysts were already public and heavily repriced; AMD's structure includes material dilution optionality, while Palantir's valuation leaves little demonstrated trading edge. This was not an official paid-service recommendation.</x:v>
      </x:c>
    </x:row>
    <x:row r="418">
      <x:c r="A418" t="str">
        <x:v>EV-2026-413</x:v>
      </x:c>
      <x:c r="B418"/>
      <x:c r="C418" s="21" t="d">
        <x:v>2026-10-09T12:23:14.000Z</x:v>
      </x:c>
      <x:c r="D418" t="str">
        <x:v>AMD catalyst and dilution validation</x:v>
      </x:c>
      <x:c r="E418" t="str">
        <x:v>AMD / Reuters</x:v>
      </x:c>
      <x:c r="F418" t="str">
        <x:v>Primary issuer announcement plus independent deal analysis</x:v>
      </x:c>
      <x:c r="G418" s="44" t="str">
        <x:v>https://www.amd.com/en/newsroom/press-releases/2025-10-6-openai-and-amd-announce-strategic-partnership-to-deploy-6-gigawatts-of-amd-gpus.html</x:v>
      </x:c>
      <x:c r="H418" s="44" t="str">
        <x:v>AMD and OpenAI announced up to six gigawatts of accelerator deployments beginning with one gigawatt in the second half of 2026; Reuters reported warrants covering up to 160 million AMD shares.</x:v>
      </x:c>
      <x:c r="I418" s="44" t="str">
        <x:v>Catalyst confirmed but already public and dilutive</x:v>
      </x:c>
      <x:c r="J418" s="44" t="n">
        <x:v>5</x:v>
      </x:c>
      <x:c r="K418" s="44" t="str">
        <x:v>The agreement's scale is meaningful, but economics, margins, execution and possible dilution remain uncertain after major repricing. No new thesis or favorable Entry Window was opened.</x:v>
      </x:c>
    </x:row>
    <x:row r="419">
      <x:c r="A419" t="str">
        <x:v>EV-2026-414</x:v>
      </x:c>
      <x:c r="B419"/>
      <x:c r="C419" s="21" t="d">
        <x:v>2026-10-09T12:23:14.000Z</x:v>
      </x:c>
      <x:c r="D419" t="str">
        <x:v>Rejected Motley Fool Everpure trigger</x:v>
      </x:c>
      <x:c r="E419" t="str">
        <x:v>The Motley Fool — John Ballard</x:v>
      </x:c>
      <x:c r="F419" t="str">
        <x:v>Trigger only; free public editorial published October 9, 2026 at 5:30 a.m. ET; author disclosed no position; publication disclosed an Everpure position and recommendation</x:v>
      </x:c>
      <x:c r="G419" s="44" t="str">
        <x:v>https://www.fool.com/investing/2026/10/09/top-storage-stock-to-buy-with-500-right-now/</x:v>
      </x:c>
      <x:c r="H419" s="44" t="str">
        <x:v>Ticker P. Claimed catalysts: 38% Q2 revenue growth and a second top-five hyperscaler design win. Expected variable: hyperscale revenue and operating profit, up over years.</x:v>
      </x:c>
      <x:c r="I419" s="44" t="str">
        <x:v>Rejected as a new thesis</x:v>
      </x:c>
      <x:c r="J419" s="44" t="n">
        <x:v>3</x:v>
      </x:c>
      <x:c r="K419" s="44" t="str">
        <x:v>The results were public since August, the shares were near a 52-week high, and the article omitted the quarter's negative operating and free cash flow. This was not an official paid-service recommendation.</x:v>
      </x:c>
    </x:row>
    <x:row r="420">
      <x:c r="A420" t="str">
        <x:v>EV-2026-415</x:v>
      </x:c>
      <x:c r="B420"/>
      <x:c r="C420" s="21" t="d">
        <x:v>2026-10-09T12:23:14.000Z</x:v>
      </x:c>
      <x:c r="D420" t="str">
        <x:v>Everpure primary financial validation</x:v>
      </x:c>
      <x:c r="E420" t="str">
        <x:v>Everpure</x:v>
      </x:c>
      <x:c r="F420" t="str">
        <x:v>Primary issuer financial release</x:v>
      </x:c>
      <x:c r="G420" s="44" t="str">
        <x:v>https://www.prnewswire.com/news-releases/everpure-announces-second-quarter-fiscal-2027-financial-results-302860903.html</x:v>
      </x:c>
      <x:c r="H420" s="44" t="str">
        <x:v>Q2 revenue rose 38% to $1.186 billion, RPO rose 44% to $4.1 billion and GAAP operating income was $63 million; cash and securities were about $1.0 billion.</x:v>
      </x:c>
      <x:c r="I420" s="44" t="str">
        <x:v>Growth confirmed; cash conversion and valuation contradict entry</x:v>
      </x:c>
      <x:c r="J420" s="44" t="n">
        <x:v>5</x:v>
      </x:c>
      <x:c r="K420" s="44" t="str">
        <x:v>Operating cash flow was negative $136 million, free cash flow negative $238 million, inventory rose, and the stock was near its high. No underappreciated Entry Window was established.</x:v>
      </x:c>
    </x:row>
    <x:row r="421">
      <x:c r="A421" t="str">
        <x:v>EV-2026-416</x:v>
      </x:c>
      <x:c r="B421"/>
      <x:c r="C421" s="21" t="d">
        <x:v>2026-10-09T12:23:14.000Z</x:v>
      </x:c>
      <x:c r="D421" t="str">
        <x:v>Rejected Motley Fool AI portfolio and software lists</x:v>
      </x:c>
      <x:c r="E421" t="str">
        <x:v>The Motley Fool — Will Healy and Micah Zimmerman</x:v>
      </x:c>
      <x:c r="F421" t="str">
        <x:v>Trigger only; free public editorials published October 9, 2026; authors disclosed no positions; publication disclosed relevant positions and recommendations</x:v>
      </x:c>
      <x:c r="G421" s="44" t="str">
        <x:v>https://www.fool.com/investing/2026/10/09/if-youre-worried-about-an-ai-bubble-heres-the-tech/</x:v>
      </x:c>
      <x:c r="H421" s="44" t="str">
        <x:v>Tickers included NVDA, AMZN, GOOGL, PLTR, CRWD, SOUN, APP and NOW. Claimed variables were AI revenue, cloud demand and software adoption over years.</x:v>
      </x:c>
      <x:c r="I421" s="44" t="str">
        <x:v>Rejected as distinct theses</x:v>
      </x:c>
      <x:c r="J421" s="44" t="n">
        <x:v>2</x:v>
      </x:c>
      <x:c r="K421" s="44" t="str">
        <x:v>The pieces were evergreen baskets using already-public facts and promotional upside scenarios, without a new primary catalyst or attractive post-headline structure. They were not official paid-service recommendations.</x:v>
      </x:c>
    </x:row>
    <x:row r="422">
      <x:c r="A422" t="str">
        <x:v>EV-2026-417</x:v>
      </x:c>
      <x:c r="B422"/>
      <x:c r="C422" s="21" t="d">
        <x:v>2026-10-09T12:23:14.000Z</x:v>
      </x:c>
      <x:c r="D422" t="str">
        <x:v>USAspending Palantir order modification screen</x:v>
      </x:c>
      <x:c r="E422" t="str">
        <x:v>USAspending.gov</x:v>
      </x:c>
      <x:c r="F422" t="str">
        <x:v>Primary federal award database</x:v>
      </x:c>
      <x:c r="G422" s="44" t="str">
        <x:v>https://www.usaspending.gov/award/CONT_AWD_N0018926FZ079_9700_W519TC25D0039_9700/</x:v>
      </x:c>
      <x:c r="H422" s="44" t="str">
        <x:v>Palantir USG received Navy delivery order N0018926FZ079 under parent IDIQ W519TC25D0039. Current value was about $64.6 million, obligated amount about $62.7 million, NAICS 541511, PSC 7F20, performance January 30, 2026 through January 29, 2027, and the order was not competed.</x:v>
      </x:c>
      <x:c r="I422" s="44" t="str">
        <x:v>Routine modification/data refresh; no thesis</x:v>
      </x:c>
      <x:c r="J422" s="44" t="n">
        <x:v>5</x:v>
      </x:c>
      <x:c r="K422" s="44" t="str">
        <x:v>This was not a newly originated award at the scan date, no fresh company announcement was found, and the amount was immaterial relative to Palantir's scale and valuation. The market likely expected the program work.</x:v>
      </x:c>
    </x:row>
    <x:row r="423">
      <x:c r="A423" t="str">
        <x:v>EV-2026-418</x:v>
      </x:c>
      <x:c r="B423"/>
      <x:c r="C423" s="21" t="d">
        <x:v>2026-10-09T12:23:14.000Z</x:v>
      </x:c>
      <x:c r="D423" t="str">
        <x:v>Rejected Motley Fool semiconductor keep-or-dump list</x:v>
      </x:c>
      <x:c r="E423" t="str">
        <x:v>The Motley Fool — Geoffrey Seiler</x:v>
      </x:c>
      <x:c r="F423" t="str">
        <x:v>Trigger only; free public editorial published October 9, 2026 at 4:46 a.m. ET; author disclosed AMD, Alphabet, Amazon and Meta positions; publication disclosed relevant positions and recommendations</x:v>
      </x:c>
      <x:c r="G423" s="44" t="str">
        <x:v>https://www.fool.com/investing/2026/10/09/up-200-since-2025-which-ai-stocks-should-you-keep/</x:v>
      </x:c>
      <x:c r="H423" s="44" t="str">
        <x:v>Tickers AMD, MRVL and LITE were framed as keeps; MU, SNDK and INTC as sells. Expected variables were AI hardware revenue, margins and valuation over years.</x:v>
      </x:c>
      <x:c r="I423" s="44" t="str">
        <x:v>Rejected or mapped to existing evidence</x:v>
      </x:c>
      <x:c r="J423" s="44" t="n">
        <x:v>2</x:v>
      </x:c>
      <x:c r="K423" s="44" t="str">
        <x:v>The list reused old catalysts after greater-than-200% price moves and supplied no new primary event. MU mapped to the existing memory-cycle thesis without a stage or Entry Window change; this was not an official paid-service recommendation.</x:v>
      </x:c>
    </x:row>
    <x:row r="424">
      <x:c r="A424" t="str">
        <x:v>EV-2026-419</x:v>
      </x:c>
      <x:c r="B424" t="str">
        <x:v>EEI-2026-001</x:v>
      </x:c>
      <x:c r="C424" s="21" t="n">
        <x:v>46304.833333333336</x:v>
      </x:c>
      <x:c r="D424" t="str">
        <x:v>Paper-trade outcome</x:v>
      </x:c>
      <x:c r="E424" t="str">
        <x:v>S&amp;P Global Market Intelligence via StockAnalysis</x:v>
      </x:c>
      <x:c r="F424" t="str">
        <x:v>Regular-session closing market data</x:v>
      </x:c>
      <x:c r="G424" s="44" t="str">
        <x:v>https://stockanalysis.com/etf/bno/history/</x:v>
      </x:c>
      <x:c r="H424" s="44" t="str">
        <x:v>BNO closed October 9 at $63.99 versus the $57.21 September 8 opening entry. The $1,000 paper position was worth $1118.51, up $118.51 (+11.85%).</x:v>
      </x:c>
      <x:c r="I424" s="44" t="str">
        <x:v>Direct Brent expression remains the strongest cumulative position</x:v>
      </x:c>
      <x:c r="J424" s="44" t="n">
        <x:v>5</x:v>
      </x:c>
      <x:c r="K424" s="44" t="str">
        <x:v>BNO gained 0.55% for the session; this is a hypothetical fractional-share position.</x:v>
      </x:c>
    </x:row>
    <x:row r="425">
      <x:c r="A425" t="str">
        <x:v>EV-2026-420</x:v>
      </x:c>
      <x:c r="B425" t="str">
        <x:v>EEI-2026-001</x:v>
      </x:c>
      <x:c r="C425" s="21" t="n">
        <x:v>46304.833333333336</x:v>
      </x:c>
      <x:c r="D425" t="str">
        <x:v>Paper-trade outcome</x:v>
      </x:c>
      <x:c r="E425" t="str">
        <x:v>S&amp;P Global Market Intelligence via StockAnalysis</x:v>
      </x:c>
      <x:c r="F425" t="str">
        <x:v>Regular-session closing market data</x:v>
      </x:c>
      <x:c r="G425" s="44" t="str">
        <x:v>https://stockanalysis.com/etf/uso/history/</x:v>
      </x:c>
      <x:c r="H425" s="44" t="str">
        <x:v>USO closed October 9 at $148.20 versus the $144.60 September 8 opening entry. The $1,000 paper position was worth $1024.90, up $24.90 (+2.49%).</x:v>
      </x:c>
      <x:c r="I425" s="44" t="str">
        <x:v>WTI expression remains profitable but trails BNO</x:v>
      </x:c>
      <x:c r="J425" s="44" t="n">
        <x:v>5</x:v>
      </x:c>
      <x:c r="K425" s="44" t="str">
        <x:v>USO gained 0.42% for the session; this is a hypothetical fractional-share position.</x:v>
      </x:c>
    </x:row>
    <x:row r="426">
      <x:c r="A426" t="str">
        <x:v>EV-2026-421</x:v>
      </x:c>
      <x:c r="B426" t="str">
        <x:v>EEI-2026-001</x:v>
      </x:c>
      <x:c r="C426" s="21" t="n">
        <x:v>46304.833333333336</x:v>
      </x:c>
      <x:c r="D426" t="str">
        <x:v>Paper-trade outcome</x:v>
      </x:c>
      <x:c r="E426" t="str">
        <x:v>S&amp;P Global Market Intelligence via StockAnalysis</x:v>
      </x:c>
      <x:c r="F426" t="str">
        <x:v>Regular-session closing market data</x:v>
      </x:c>
      <x:c r="G426" s="44" t="str">
        <x:v>https://stockanalysis.com/etf/xop/history/</x:v>
      </x:c>
      <x:c r="H426" s="44" t="str">
        <x:v>XOP closed October 9 at $191.52 versus the $193.84 September 8 opening entry. The $1,000 paper position was worth $988.03, down $11.97 (-1.20%).</x:v>
      </x:c>
      <x:c r="I426" s="44" t="str">
        <x:v>Producer-equity expression remains the weakest</x:v>
      </x:c>
      <x:c r="J426" s="44" t="n">
        <x:v>5</x:v>
      </x:c>
      <x:c r="K426" s="44" t="str">
        <x:v>XOP fell 1.02% even as crude benchmarks rose; this is a hypothetical fractional-share position.</x:v>
      </x:c>
    </x:row>
    <x:row r="427">
      <x:c r="A427" t="str">
        <x:v>EV-2026-422</x:v>
      </x:c>
      <x:c r="B427" t="str">
        <x:v>EEI-2026-001</x:v>
      </x:c>
      <x:c r="C427" s="21" t="n">
        <x:v>46304.833333333336</x:v>
      </x:c>
      <x:c r="D427" t="str">
        <x:v>Post-horizon market and supply evidence</x:v>
      </x:c>
      <x:c r="E427" t="str">
        <x:v>Reuters</x:v>
      </x:c>
      <x:c r="F427" t="str">
        <x:v>High-quality reporting and settlement data</x:v>
      </x:c>
      <x:c r="G427" s="44" t="str">
        <x:v>https://www.reuters.com/business/energy/oil-falls-trump-comments-iran-talks-ease-supply-concerns-2026-10-09/</x:v>
      </x:c>
      <x:c r="H427" s="44" t="str">
        <x:v>Brent settled October 9 at $104.72, up 0.42%, and WTI at $91.85, up 0.39%, as Hurricane Isaias shut more than 70% of U.S. offshore Gulf output, about 1.3 million bpd as of Thursday.</x:v>
      </x:c>
      <x:c r="I427" s="44" t="str">
        <x:v>Confirms that additional supply disruption still supports crude prices</x:v>
      </x:c>
      <x:c r="J427" s="44" t="n">
        <x:v>5</x:v>
      </x:c>
      <x:c r="K427" s="44" t="str">
        <x:v>Productive U.S.-Iran talks, a pledge of no U.S. attack before November 3 and China's resumed refined-product exports weighed on prices earlier, underscoring headline risk.</x:v>
      </x:c>
    </x:row>
    <x:row r="428">
      <x:c r="A428" t="str">
        <x:v>EV-2026-423</x:v>
      </x:c>
      <x:c r="B428" t="str">
        <x:v>EEI-2026-001</x:v>
      </x:c>
      <x:c r="C428" s="21" t="n">
        <x:v>46304.833333333336</x:v>
      </x:c>
      <x:c r="D428" t="str">
        <x:v>Post-horizon Hormuz flow evidence</x:v>
      </x:c>
      <x:c r="E428" t="str">
        <x:v>Reuters / Kpler / LSEG</x:v>
      </x:c>
      <x:c r="F428" t="str">
        <x:v>High-quality reporting using independent shipping data</x:v>
      </x:c>
      <x:c r="G428" s="44" t="str">
        <x:v>https://www.reuters.com/business/energy/hormuz-transits-lowest-over-two-months-after-attacks-data-shows-2026-10-08/</x:v>
      </x:c>
      <x:c r="H428" s="44" t="str">
        <x:v>Seven commodity vessels crossed Hormuz on October 6, the fewest since July 23, and crude flows were 74% of prewar levels after tanker attacks reached their wartime high.</x:v>
      </x:c>
      <x:c r="I428" s="44" t="str">
        <x:v>Confirms persistent physical disruption, but not a full regional export shortage</x:v>
      </x:c>
      <x:c r="J428" s="44" t="n">
        <x:v>5</x:v>
      </x:c>
      <x:c r="K428" s="44" t="str">
        <x:v>Gulf of Oman and Red Sea exports rose to 6.7 million bpd and kept total Middle East crude exports near prewar levels, materially weakening the extended scarcity case.</x:v>
      </x:c>
    </x:row>
    <x:row r="429">
      <x:c r="A429" t="str">
        <x:v>EV-2026-424</x:v>
      </x:c>
      <x:c r="B429" t="str">
        <x:v>EEI-2026-012</x:v>
      </x:c>
      <x:c r="C429" s="21" t="d">
        <x:v>2026-10-10T12:15:49.000Z</x:v>
      </x:c>
      <x:c r="D429" t="str">
        <x:v>New Raytheon SM-3 Block IB multiyear award</x:v>
      </x:c>
      <x:c r="E429" t="str">
        <x:v>Department of War</x:v>
      </x:c>
      <x:c r="F429" t="str">
        <x:v>Primary government contract announcement</x:v>
      </x:c>
      <x:c r="G429" s="44" t="str">
        <x:v>https://www.war.gov/News/Contracts/Contract/Article/4622898/contracts-for-oct-8-2026/</x:v>
      </x:c>
      <x:c r="H429" s="44" t="str">
        <x:v>Recipient Raytheon Company, parent RTX. Missile Defense Agency award HQ0851-27-C-E001 is a new, noncompetitive, multiyear undefinitized contract action. Base/current value $4,432,040,944; potential value with options $6,342,404,516; $454,215,132 obligated at award. The work covers SM-3 Block IB all-up rounds in Tucson and Huntsville, with completion expected October 31, 2034. NAICS and PSC were not yet visible in USAspending.</x:v>
      </x:c>
      <x:c r="I429" s="44" t="str">
        <x:v>Strong confirmation of the existing RTX production-ramp thesis</x:v>
      </x:c>
      <x:c r="J429" s="44" t="n">
        <x:v>5</x:v>
      </x:c>
      <x:c r="K429" s="44" t="str">
        <x:v>The base is about 5% of RTX's 2025 company sales and revenue will be spread over years. Only about 7.2% of the potential ceiling was initially obligated, terms remain undefinitized, the action was noncompetitive, and capacity, appropriations and margin conversion remain decisive. The company announced the award; August framework agreements made direction partly expected.</x:v>
      </x:c>
    </x:row>
    <x:row r="430">
      <x:c r="A430" t="str">
        <x:v>EV-2026-425</x:v>
      </x:c>
      <x:c r="B430" t="str">
        <x:v>EEI-2026-012</x:v>
      </x:c>
      <x:c r="C430" s="21" t="d">
        <x:v>2026-10-10T12:15:49.000Z</x:v>
      </x:c>
      <x:c r="D430" t="str">
        <x:v>RTX confirms SM-3 term and production locations</x:v>
      </x:c>
      <x:c r="E430" t="str">
        <x:v>RTX</x:v>
      </x:c>
      <x:c r="F430" t="str">
        <x:v>Primary issuer announcement</x:v>
      </x:c>
      <x:c r="G430" s="44" t="str">
        <x:v>https://www.rtx.com/news/news-center/2026/10/08/rtxs-raytheon-awarded-6-3-billion-multi-year-contract-for-sm-3-ib-interceptors</x:v>
      </x:c>
      <x:c r="H430" s="44" t="str">
        <x:v>RTX confirmed a five-year production and sustainment contract with two additional option years, valued up to $6.3 billion, with work primarily in Tucson and Huntsville.</x:v>
      </x:c>
      <x:c r="I430" s="44" t="str">
        <x:v>Issuer confirmation; no stage change</x:v>
      </x:c>
      <x:c r="J430" s="44" t="n">
        <x:v>5</x:v>
      </x:c>
      <x:c r="K430" s="44" t="str">
        <x:v>RTX did not disclose the initial obligation, profit terms or cash-flow schedule in its release. Company framing is promotional and was not used as independent confirmation.</x:v>
      </x:c>
    </x:row>
    <x:row r="431">
      <x:c r="A431" t="str">
        <x:v>EV-2026-426</x:v>
      </x:c>
      <x:c r="B431" t="str">
        <x:v>EEI-2026-012</x:v>
      </x:c>
      <x:c r="C431" s="21" t="d">
        <x:v>2026-10-10T12:15:49.000Z</x:v>
      </x:c>
      <x:c r="D431" t="str">
        <x:v>RTX market reaction after SM-3 award</x:v>
      </x:c>
      <x:c r="E431" t="str">
        <x:v>Market data</x:v>
      </x:c>
      <x:c r="F431" t="str">
        <x:v>Observable October 9 regular-session close</x:v>
      </x:c>
      <x:c r="G431" s="44" t="str">
        <x:v>https://www.reuters.com/business/aerospace-defense/rtxs-raytheon-wins-up-63-billion-us-missile-contract-2026-10-08/</x:v>
      </x:c>
      <x:c r="H431" s="44" t="str">
        <x:v>RTX closed October 9 at $185.97, up about 0.89% for the session, after the award was announced late October 8.</x:v>
      </x:c>
      <x:c r="I431" s="44" t="str">
        <x:v>Modest confirmation; Entry remains WAIT</x:v>
      </x:c>
      <x:c r="J431" s="44" t="n">
        <x:v>4</x:v>
      </x:c>
      <x:c r="K431" s="44" t="str">
        <x:v>The move was small relative to the headline ceiling and does not establish a clean breakout or underpriced entry. Funding and execution remain more important than the ceiling.</x:v>
      </x:c>
    </x:row>
    <x:row r="432">
      <x:c r="A432" t="str">
        <x:v>EV-2026-427</x:v>
      </x:c>
      <x:c r="B432" t="str">
        <x:v>EEI-2026-003</x:v>
      </x:c>
      <x:c r="C432" s="21" t="d">
        <x:v>2026-10-10T12:15:49.000Z</x:v>
      </x:c>
      <x:c r="D432" t="str">
        <x:v>Democrats expand House battlefield</x:v>
      </x:c>
      <x:c r="E432" t="str">
        <x:v>Reuters</x:v>
      </x:c>
      <x:c r="F432" t="str">
        <x:v>High-quality independent political reporting</x:v>
      </x:c>
      <x:c r="G432" s="44" t="str">
        <x:v>https://www.reuters.com/world/us/midterm-strategy-driving-democrats-deep-into-trump-country-2026-10-10/</x:v>
      </x:c>
      <x:c r="H432" s="44" t="str">
        <x:v>The DCCC added 14 Republican-held districts, bringing its target list to 66 seats; some Republican-aligned groups began spending in newly targeted districts and two Democratic campaigns reported faster fundraising.</x:v>
      </x:c>
      <x:c r="I432" s="44" t="str">
        <x:v>Incremental support for a House-control shift</x:v>
      </x:c>
      <x:c r="J432" s="44" t="n">
        <x:v>5</x:v>
      </x:c>
      <x:c r="K432" s="44" t="str">
        <x:v>Many additions remain rated safely Republican, analysts want to see actual spending and Republicans argue the expansion could dilute Democratic resources. The development does not resolve Senate control.</x:v>
      </x:c>
    </x:row>
    <x:row r="433">
      <x:c r="A433" t="str">
        <x:v>EV-2026-428</x:v>
      </x:c>
      <x:c r="B433" t="str">
        <x:v>EEI-2026-003</x:v>
      </x:c>
      <x:c r="C433" s="21" t="d">
        <x:v>2026-10-10T12:15:49.000Z</x:v>
      </x:c>
      <x:c r="D433" t="str">
        <x:v>Consumer sentiment near record low</x:v>
      </x:c>
      <x:c r="E433" t="str">
        <x:v>Reuters / University of Michigan</x:v>
      </x:c>
      <x:c r="F433" t="str">
        <x:v>High-quality reporting of a primary survey</x:v>
      </x:c>
      <x:c r="G433" s="44" t="str">
        <x:v>https://www.reuters.com/business/us-consumer-sentiment-deteriorates-further-october-2026-10-09/</x:v>
      </x:c>
      <x:c r="H433" s="44" t="str">
        <x:v>The preliminary October consumer-sentiment index fell to 46.3 from 48.1; current conditions fell to a record-low 44.7. Fifty-four percent of consumers reported cutting back because prices were high, while one-year inflation expectations were 4.7% and five-year expectations 3.5%.</x:v>
      </x:c>
      <x:c r="I433" s="44" t="str">
        <x:v>Supports voter-economy pressure; no market entry</x:v>
      </x:c>
      <x:c r="J433" s="44" t="n">
        <x:v>5</x:v>
      </x:c>
      <x:c r="K433" s="44" t="str">
        <x:v>Aggregate spending remains supported by higher-income households and equity wealth, and survey distress is not an election result or direct breadth signal.</x:v>
      </x:c>
    </x:row>
    <x:row r="434">
      <x:c r="A434" t="str">
        <x:v>EV-2026-429</x:v>
      </x:c>
      <x:c r="B434" t="str">
        <x:v>EEI-2026-003</x:v>
      </x:c>
      <x:c r="C434" s="21" t="d">
        <x:v>2026-10-10T12:15:49.000Z</x:v>
      </x:c>
      <x:c r="D434" t="str">
        <x:v>Cost-of-living blame crosses party lines</x:v>
      </x:c>
      <x:c r="E434" t="str">
        <x:v>Reuters / Ipsos</x:v>
      </x:c>
      <x:c r="F434" t="str">
        <x:v>High-quality independent national polling</x:v>
      </x:c>
      <x:c r="G434" s="44" t="str">
        <x:v>https://www.reuters.com/world/us/bipartisan-majority-americans-blame-trump-policies-rising-costs-reutersipsos-2026-10-09/</x:v>
      </x:c>
      <x:c r="H434" s="44" t="str">
        <x:v>Seventy-eight percent of adults said White House policies contributed to higher costs; 57% of Republicans said costs were rising faster than pay. The poll covered 4,506 adults with a roughly two-point margin of error.</x:v>
      </x:c>
      <x:c r="I434" s="44" t="str">
        <x:v>Strengthens the political trigger; stage unchanged</x:v>
      </x:c>
      <x:c r="J434" s="44" t="n">
        <x:v>5</x:v>
      </x:c>
      <x:c r="K434" s="44" t="str">
        <x:v>Issue blame and national sentiment do not map mechanically to district results, and funding, turnout, candidate quality and Senate geography remain major modifiers.</x:v>
      </x:c>
    </x:row>
    <x:row r="435">
      <x:c r="A435" t="str">
        <x:v>EV-2026-430</x:v>
      </x:c>
      <x:c r="B435"/>
      <x:c r="C435" s="21" t="d">
        <x:v>2026-10-10T12:15:49.000Z</x:v>
      </x:c>
      <x:c r="D435" t="str">
        <x:v>Rejected Motley Fool SoFi pre-earnings suggestion</x:v>
      </x:c>
      <x:c r="E435" t="str">
        <x:v>The Motley Fool — Jennifer Saibil</x:v>
      </x:c>
      <x:c r="F435" t="str">
        <x:v>Trigger only; free public editorial published October 10, 2026 at 5:40 a.m. ET; author disclosed a SOFI position; publication disclosed no SOFI position</x:v>
      </x:c>
      <x:c r="G435" s="44" t="str">
        <x:v>https://www.fool.com/investing/2026/10/10/should-you-buy-sofi-stock-before-oct-27/</x:v>
      </x:c>
      <x:c r="H435" s="44" t="str">
        <x:v>Ticker SOFI. Claimed catalyst: October 27 earnings and continuing member, product and cross-sell growth. Expected variable: revenue, credit performance and EPS, up over years.</x:v>
      </x:c>
      <x:c r="I435" s="44" t="str">
        <x:v>Rejected as a new thesis; next factual checkpoint October 27</x:v>
      </x:c>
      <x:c r="J435" s="44" t="n">
        <x:v>2</x:v>
      </x:c>
      <x:c r="K435" s="44" t="str">
        <x:v>The article reused second-quarter data and Wall Street estimates, offered no new primary catalyst and explicitly framed the near-term reaction as unknowable. High rates and credit metrics remain the key bear case. This was not an official paid-service recommendation.</x:v>
      </x:c>
    </x:row>
    <x:row r="436">
      <x:c r="A436" t="str">
        <x:v>EV-2026-431</x:v>
      </x:c>
      <x:c r="B436"/>
      <x:c r="C436" s="21" t="d">
        <x:v>2026-10-10T12:15:49.000Z</x:v>
      </x:c>
      <x:c r="D436" t="str">
        <x:v>Rejected Motley Fool optical-networking basket</x:v>
      </x:c>
      <x:c r="E436" t="str">
        <x:v>The Motley Fool — Patrick Sanders</x:v>
      </x:c>
      <x:c r="F436" t="str">
        <x:v>Trigger only; free public editorial published October 10, 2026 at 6:22 a.m. ET; author disclosed no positions; publication disclosed positions or recommendations in ANET, COHR, LITE, MRVL and ALAB</x:v>
      </x:c>
      <x:c r="G436" s="44" t="str">
        <x:v>https://www.fool.com/investing/2026/10/10/data-centers-need-faster-connections-these-6-optic/</x:v>
      </x:c>
      <x:c r="H436" s="44" t="str">
        <x:v>Tickers CRDO, ALAB, ANET, COHR, LITE and MRVL. Claimed catalyst: rising AI-cluster interconnect demand. Expected variable: optical and networking revenue, up over multiple years.</x:v>
      </x:c>
      <x:c r="I436" s="44" t="str">
        <x:v>Rejected as distinct theses</x:v>
      </x:c>
      <x:c r="J436" s="44" t="n">
        <x:v>2</x:v>
      </x:c>
      <x:c r="K436" s="44" t="str">
        <x:v>The piece was an evergreen basket using already-published results after major repricing, with no new order, filing or customer event. Valuation, concentration and capex-cycle risks remain. This was not an official paid-service recommendation.</x:v>
      </x:c>
    </x:row>
    <x:row r="437">
      <x:c r="A437" t="str">
        <x:v>EV-2026-432</x:v>
      </x:c>
      <x:c r="B437"/>
      <x:c r="C437" s="21" t="d">
        <x:v>2026-10-10T12:15:49.000Z</x:v>
      </x:c>
      <x:c r="D437" t="str">
        <x:v>Rejected Motley Fool PayPal acquisition speculation</x:v>
      </x:c>
      <x:c r="E437" t="str">
        <x:v>The Motley Fool — Keith Noonan</x:v>
      </x:c>
      <x:c r="F437" t="str">
        <x:v>Trigger only; free public editorial published October 10, 2026 at 6:16 a.m. ET; author disclosed no position; publication disclosed a PYPL position/recommendation and short December 2026 $62.50 calls</x:v>
      </x:c>
      <x:c r="G437" s="44" t="str">
        <x:v>https://www.fool.com/investing/2026/10/10/paypal-pays-dividend-buys-back-billions-stock/</x:v>
      </x:c>
      <x:c r="H437" s="44" t="str">
        <x:v>Ticker PYPL. Factual catalysts were the previously announced dividend and buyback policy; the writer's claimed five-year acquisition possibility was opinion. Expected variable: capital return and valuation, up over years.</x:v>
      </x:c>
      <x:c r="I437" s="44" t="str">
        <x:v>Rejected as a new thesis</x:v>
      </x:c>
      <x:c r="J437" s="44" t="n">
        <x:v>2</x:v>
      </x:c>
      <x:c r="K437" s="44" t="str">
        <x:v>No filing, bid or strategic-review evidence supported the acquisition claim. Competitive pressure and weak branded-checkout growth remain the central bear case. This was not an official paid-service recommendation.</x:v>
      </x:c>
    </x:row>
    <x:row r="438">
      <x:c r="A438" t="str">
        <x:v>EV-2026-433</x:v>
      </x:c>
      <x:c r="B438"/>
      <x:c r="C438" s="21" t="d">
        <x:v>2026-10-10T12:15:49.000Z</x:v>
      </x:c>
      <x:c r="D438" t="str">
        <x:v>Rejected Motley Fool TSMC AI-growth suggestion</x:v>
      </x:c>
      <x:c r="E438" t="str">
        <x:v>The Motley Fool — Jennifer Saibil</x:v>
      </x:c>
      <x:c r="F438" t="str">
        <x:v>Trigger only; free public editorial published October 10, 2026 at 1:00 a.m. ET; author disclosed TSM and AAPL positions; publication disclosed a TSM position and recommendation</x:v>
      </x:c>
      <x:c r="G438" s="44" t="str">
        <x:v>https://www.fool.com/investing/2026/10/10/this-forgotten-ai-stock-is-up-689-and-nobodys-talk/</x:v>
      </x:c>
      <x:c r="H438" s="44" t="str">
        <x:v>Ticker TSM. Claimed catalyst: dominant foundry exposure to AI demand, Arizona investment and growth. Expected variable: revenue, margins and capacity, up over years; next earnings October 15.</x:v>
      </x:c>
      <x:c r="I438" s="44" t="str">
        <x:v>Rejected as a new thesis</x:v>
      </x:c>
      <x:c r="J438" s="44" t="n">
        <x:v>2</x:v>
      </x:c>
      <x:c r="K438" s="44" t="str">
        <x:v>The article relied on previously reported quarter data, and the stock had already risen 689% since ChatGPT and traded near its 52-week high. Geopolitical, capex and margin risks remain. This was not an official paid-service recommendation.</x:v>
      </x:c>
    </x:row>
    <x:row r="439">
      <x:c r="A439" t="str">
        <x:v>EV-2026-434</x:v>
      </x:c>
      <x:c r="B439" t="str">
        <x:v>EEI-2026-011</x:v>
      </x:c>
      <x:c r="C439" s="21" t="d">
        <x:v>2026-10-10T12:15:49.000Z</x:v>
      </x:c>
      <x:c r="D439" t="str">
        <x:v>Proposed Hormuz-bypass pipeline</x:v>
      </x:c>
      <x:c r="E439" t="str">
        <x:v>Reuters</x:v>
      </x:c>
      <x:c r="F439" t="str">
        <x:v>High-quality independent investigative reporting</x:v>
      </x:c>
      <x:c r="G439" s="44" t="str">
        <x:v>https://www.reuters.com/world/us/trump-envoy-kept-financial-ties-firm-behind-15-billion-hormuz-bypass-oil-2026-10-09/</x:v>
      </x:c>
      <x:c r="H439" s="44" t="str">
        <x:v>Iraq and Syria signed memorandums for technical and financial studies on reviving the Kirkuk-Baniyas pipeline, which would bypass Hormuz. Reuters reported the project could cost $15 billion and take at least four years.</x:v>
      </x:c>
      <x:c r="I439" s="44" t="str">
        <x:v>Long-run normalization modifier; no current thesis change</x:v>
      </x:c>
      <x:c r="J439" s="44" t="n">
        <x:v>4</x:v>
      </x:c>
      <x:c r="K439" s="44" t="str">
        <x:v>The pipeline is only at study stage, has been out of action since 2003, faces financing and political risk, and cannot relieve current tanker scarcity. Reported conflict-of-interest concerns add implementation risk.</x:v>
      </x:c>
    </x:row>
    <x:row r="440">
      <x:c r="A440" t="str">
        <x:v>EV-2026-435</x:v>
      </x:c>
      <x:c r="B440" t="str">
        <x:v>EEI-2026-011</x:v>
      </x:c>
      <x:c r="C440" s="21" t="d">
        <x:v>2026-10-11T12:47:29.000Z</x:v>
      </x:c>
      <x:c r="D440" t="str">
        <x:v>U.S. enforces Iran blockade against commercial cargo vessel</x:v>
      </x:c>
      <x:c r="E440" t="str">
        <x:v>Reuters / U.S. Central Command</x:v>
      </x:c>
      <x:c r="F440" t="str">
        <x:v>Primary military statement independently reported</x:v>
      </x:c>
      <x:c r="G440" s="44" t="str">
        <x:v>https://www.reuters.com/world/us-military-says-it-disabled-cargo-vessel-trying-run-iran-blockade-2026-10-11/</x:v>
      </x:c>
      <x:c r="H440" s="44" t="str">
        <x:v>CENTCOM said a U.S. fighter jet disabled the propulsion of Panama-flagged M/V Ocean Molica, also known as Arika Sun, after it ignored warnings and attempted to run the blockade after leaving an Iranian port. Reuters reported no crew harm and said Hormuz transits had fallen to the lowest level in more than two months.</x:v>
      </x:c>
      <x:c r="I440" s="44" t="str">
        <x:v>Strong continuation evidence for route and utilization risk; no Entry change</x:v>
      </x:c>
      <x:c r="J440" s="44" t="n">
        <x:v>5</x:v>
      </x:c>
      <x:c r="K440" s="44" t="str">
        <x:v>The incident involved one cargo vessel rather than a tanker and created no disclosed new loss of oil supply. Alternate routes, guarded transit, emergency stocks and diplomacy remain material offsets; Sunday supplied no market confirmation.</x:v>
      </x:c>
    </x:row>
    <x:row r="441">
      <x:c r="A441" t="str">
        <x:v>EV-2026-436</x:v>
      </x:c>
      <x:c r="B441" t="str">
        <x:v>EEI-2026-009</x:v>
      </x:c>
      <x:c r="C441" s="21" t="d">
        <x:v>2026-10-11T12:47:29.000Z</x:v>
      </x:c>
      <x:c r="D441" t="str">
        <x:v>Conditional halt to refinery strikes</x:v>
      </x:c>
      <x:c r="E441" t="str">
        <x:v>Reuters</x:v>
      </x:c>
      <x:c r="F441" t="str">
        <x:v>High-quality independent reporting of government statements</x:v>
      </x:c>
      <x:c r="G441" s="44" t="str">
        <x:v>https://www.reuters.com/world/europe/ukraine-will-halt-strikes-refineries-if-russia-stops-energy-attacks-zelenskiy-2026-10-11/</x:v>
      </x:c>
      <x:c r="H441" s="44" t="str">
        <x:v>Ukraine said it would halt attacks on Russian refineries only if Russia stopped attacks on Ukrainian energy infrastructure and supplied real guarantees. Analysts said the announced U.S.-Russia diesel volumes remained far below normal Russian exports.</x:v>
      </x:c>
      <x:c r="I441" s="44" t="str">
        <x:v>Normalization modifier; thesis and Entry unchanged</x:v>
      </x:c>
      <x:c r="J441" s="44" t="n">
        <x:v>5</x:v>
      </x:c>
      <x:c r="K441" s="44" t="str">
        <x:v>There was no reciprocal agreement or guaranteed restoration schedule. A verified mutual pause could pressure diesel cracks, but the small proposed diesel volumes do not resolve current scarcity.</x:v>
      </x:c>
    </x:row>
    <x:row r="442">
      <x:c r="A442" t="str">
        <x:v>EV-2026-437</x:v>
      </x:c>
      <x:c r="B442" t="str">
        <x:v>EEI-2026-003</x:v>
      </x:c>
      <x:c r="C442" s="21" t="d">
        <x:v>2026-10-11T12:47:29.000Z</x:v>
      </x:c>
      <x:c r="D442" t="str">
        <x:v>Tariff backlash in manufacturing battlegrounds</x:v>
      </x:c>
      <x:c r="E442" t="str">
        <x:v>Associated Press</x:v>
      </x:c>
      <x:c r="F442" t="str">
        <x:v>High-quality independent reporting and AP-NORC polling</x:v>
      </x:c>
      <x:c r="G442" s="44" t="str">
        <x:v>https://apnews.com/article/trump-midterms-factories-tariffs-manufacturing-jobs-layoffs-1584722c00516772822a879e9eeef10f</x:v>
      </x:c>
      <x:c r="H442" s="44" t="str">
        <x:v>AP documented factory closures or layoffs and voter dissatisfaction in competitive Michigan, Iowa, Kansas and Ohio contests. Only about three in ten adults approved of the administration's trade handling, and more than 64% said the latest tariffs had gone too far.</x:v>
      </x:c>
      <x:c r="I442" s="44" t="str">
        <x:v>Incremental support for governing-party backlash; no market entry</x:v>
      </x:c>
      <x:c r="J442" s="44" t="n">
        <x:v>4</x:v>
      </x:c>
      <x:c r="K442" s="44" t="str">
        <x:v>Tariffs were not the only cause of every closure, some affected voters remained Republican, and anecdotes plus national polling do not determine district turnout or Senate control.</x:v>
      </x:c>
    </x:row>
    <x:row r="443">
      <x:c r="A443" t="str">
        <x:v>EV-2026-438</x:v>
      </x:c>
      <x:c r="B443"/>
      <x:c r="C443" s="21" t="d">
        <x:v>2026-10-11T12:47:29.000Z</x:v>
      </x:c>
      <x:c r="D443" t="str">
        <x:v>Rejected Motley Fool Marvell 10x-growth suggestion</x:v>
      </x:c>
      <x:c r="E443" t="str">
        <x:v>The Motley Fool — Adam Levy</x:v>
      </x:c>
      <x:c r="F443" t="str">
        <x:v>Trigger only; free public editorial published October 11, 2026 at 6:45 a.m. ET; author disclosed positions in Alphabet, Amazon, Meta and Microsoft; publication disclosed a MRVL position and recommendation</x:v>
      </x:c>
      <x:c r="G443" s="44" t="str">
        <x:v>https://www.fool.com/investing/2026/10/11/marvell-revenue-earnings-10x-stock-bargain/</x:v>
      </x:c>
      <x:c r="H443" s="44" t="str">
        <x:v>Ticker MRVL. Claimed catalyst: management's fiscal-2031 revenue target of $70-$90 billion, driven by custom AI accelerators and interconnect. Expected variable: revenue and adjusted EPS, up over five years.</x:v>
      </x:c>
      <x:c r="I443" s="44" t="str">
        <x:v>Rejected as a new thesis; catalyst confirmed but heavily priced</x:v>
      </x:c>
      <x:c r="J443" s="44" t="n">
        <x:v>3</x:v>
      </x:c>
      <x:c r="K443" s="44" t="str">
        <x:v>Reuters confirmed the company outlook, but MRVL had more than tripled in 2026 and rose about 6% on the investor-day news. The long-range target materially exceeds consensus and depends on hyperscaler spending, market-share gains, customer concentration, execution and non-GAAP assumptions. This was not an official paid-service recommendation.</x:v>
      </x:c>
    </x:row>
    <x:row r="444">
      <x:c r="A444" t="str">
        <x:v>EV-2026-439</x:v>
      </x:c>
      <x:c r="B444"/>
      <x:c r="C444" s="21" t="d">
        <x:v>2026-10-11T12:47:29.000Z</x:v>
      </x:c>
      <x:c r="D444" t="str">
        <x:v>Rejected Motley Fool Netflix pre-earnings prediction</x:v>
      </x:c>
      <x:c r="E444" t="str">
        <x:v>The Motley Fool — Anthony Di Pizio</x:v>
      </x:c>
      <x:c r="F444" t="str">
        <x:v>Trigger only; free public editorial published October 11, 2026 at 7:02 a.m. ET; author disclosed no positions; Wells Fargo was identified as an advertising partner; publication disclosed a NFLX position and recommendation</x:v>
      </x:c>
      <x:c r="G444" s="44" t="str">
        <x:v>https://www.fool.com/investing/2026/10/11/prediction-netflix-stock-going-soar-after-oct-20/</x:v>
      </x:c>
      <x:c r="H444" s="44" t="str">
        <x:v>Ticker NFLX. Claimed catalyst: October 20 earnings, a possible guidance increase and advertising growth. Expected variable: revenue, advertising revenue and operating profit, up over quarters to years.</x:v>
      </x:c>
      <x:c r="I444" s="44" t="str">
        <x:v>Rejected pending the October 20 primary result</x:v>
      </x:c>
      <x:c r="J444" s="44" t="n">
        <x:v>3</x:v>
      </x:c>
      <x:c r="K444" s="44" t="str">
        <x:v>Netflix confirmed only the report date. A guidance raise and post-report rally are predictions, not facts; weaker engagement and content concerns remain unresolved. The sharp drawdown improves valuation but does not independently confirm a turn. This was not an official paid-service recommendation.</x:v>
      </x:c>
    </x:row>
    <x:row r="445">
      <x:c r="A445" t="str">
        <x:v>EV-2026-440</x:v>
      </x:c>
      <x:c r="B445"/>
      <x:c r="C445" s="21" t="d">
        <x:v>2026-10-11T12:47:29.000Z</x:v>
      </x:c>
      <x:c r="D445" t="str">
        <x:v>Rejected Motley Fool Symbotic backlog suggestion</x:v>
      </x:c>
      <x:c r="E445" t="str">
        <x:v>The Motley Fool — James Brumley</x:v>
      </x:c>
      <x:c r="F445" t="str">
        <x:v>Trigger only; free public editorial published October 11, 2026 at 6:15 a.m. ET; author disclosed no position; publication disclosed positions and recommendations in SYM, Target, Tesla and Walmart</x:v>
      </x:c>
      <x:c r="G445" s="44" t="str">
        <x:v>https://www.fool.com/investing/2026/10/11/symbotic-billion-backlog-why-robotic-stock/</x:v>
      </x:c>
      <x:c r="H445" s="44" t="str">
        <x:v>Ticker SYM. Claimed catalyst: $22.5 billion backlog and warehouse-automation adoption. Expected variable: revenue, backlog conversion and profitability, up over years.</x:v>
      </x:c>
      <x:c r="I445" s="44" t="str">
        <x:v>Rejected as a new thesis</x:v>
      </x:c>
      <x:c r="J445" s="44" t="n">
        <x:v>3</x:v>
      </x:c>
      <x:c r="K445" s="44" t="str">
        <x:v>The SEC-filed $22.5 billion backlog was unchanged from June and Walmart plus Exol comprised the vast majority. Concentration, long conversion, deployment execution, related-party complexity and valuation remain material. The article supplied no new contract or filing and was not an official paid-service recommendation.</x:v>
      </x:c>
    </x:row>
    <x:row r="446">
      <x:c r="A446" t="str">
        <x:v>EV-2026-441</x:v>
      </x:c>
      <x:c r="B446"/>
      <x:c r="C446" s="21" t="d">
        <x:v>2026-10-11T12:47:29.000Z</x:v>
      </x:c>
      <x:c r="D446" t="str">
        <x:v>Rejected Motley Fool ASML High-NA suggestion</x:v>
      </x:c>
      <x:c r="E446" t="str">
        <x:v>The Motley Fool — Daniel Foelber</x:v>
      </x:c>
      <x:c r="F446" t="str">
        <x:v>Trigger only; free public editorial published October 11, 2026 at 6:17 a.m. ET; author disclosed ASML and NVDA positions; publication disclosed an ASML position and recommendation</x:v>
      </x:c>
      <x:c r="G446" s="44" t="str">
        <x:v>https://www.fool.com/investing/2026/10/11/meet-the-only-ai-stock-id-buy-over-nvidia-in-octob/</x:v>
      </x:c>
      <x:c r="H446" s="44" t="str">
        <x:v>Ticker ASML. Claimed catalyst: High-NA EUV adoption and the ASML-TSMC 12-inch photomask initiative. Expected variable: EUV system sales and service revenue, up through the 2030s.</x:v>
      </x:c>
      <x:c r="I446" s="44" t="str">
        <x:v>Rejected as a new thesis</x:v>
      </x:c>
      <x:c r="J446" s="44" t="n">
        <x:v>3</x:v>
      </x:c>
      <x:c r="K446" s="44" t="str">
        <x:v>ASML's September announcement confirms the technology roadmap, but the pilot line is targeted for 2031 and production readiness for 2033. High-NA adoption, customer capex, export controls and valuation remain risks; the stock was near its all-time high. This was not an official paid-service recommendation.</x:v>
      </x:c>
    </x:row>
    <x:row r="447">
      <x:c r="A447" t="str">
        <x:v>EV-2026-442</x:v>
      </x:c>
      <x:c r="B447"/>
      <x:c r="C447" s="21" t="d">
        <x:v>2026-10-11T12:47:29.000Z</x:v>
      </x:c>
      <x:c r="D447" t="str">
        <x:v>October 9 federal contract screen</x:v>
      </x:c>
      <x:c r="E447" t="str">
        <x:v>Department of War / USAspending.gov</x:v>
      </x:c>
      <x:c r="F447" t="str">
        <x:v>Primary award announcement and award-database screen</x:v>
      </x:c>
      <x:c r="G447" s="44" t="str">
        <x:v>https://www.war.gov/News/Contracts/Contract/Article/4623681/contracts-for-oct-9-2026/</x:v>
      </x:c>
      <x:c r="H447" s="44" t="str">
        <x:v>General Dynamics Mission Systems, parent General Dynamics, received modification P00080 to HQ085022C0007: an $88.065 million ceiling increase to $1.244 billion, with $58.415 million obligated, through September 30, 2029. General Dynamics Applied Physical Sciences, also GD, received new cost-plus-fixed-fee contract N0002426C2177 for $49.946 million, with $3 million obligated, through September 2030; it was competitively solicited via a broad agency announcement with one offer. Public NAICS and PSC fields were not yet available. Ophir received new sole-source IDIQ FA8119-27-D-0001 for $34.620 million, fully obligated, through October 2036.</x:v>
      </x:c>
      <x:c r="I447" s="44" t="str">
        <x:v>Routine modification plus immaterial new awards; no thesis</x:v>
      </x:c>
      <x:c r="J447" s="44" t="n">
        <x:v>5</x:v>
      </x:c>
      <x:c r="K447" s="44" t="str">
        <x:v>The largest GD item was a modification to an existing program, not a new award. The new GD contract was awarded September 30 and is immaterial relative to company revenue; current obligation was only $3 million. No company announcement or unusual market reaction established surprise or materiality.</x:v>
      </x:c>
    </x:row>
    <x:row r="448">
      <x:c r="A448" t="str">
        <x:v>EV-2026-443</x:v>
      </x:c>
      <x:c r="B448"/>
      <x:c r="C448" s="21" t="d">
        <x:v>2026-10-11T12:47:29.000Z</x:v>
      </x:c>
      <x:c r="D448" t="str">
        <x:v>BMY, LULU and AVAV candidate-queue checkpoint</x:v>
      </x:c>
      <x:c r="E448" t="str">
        <x:v>SEC EDGAR and issuer investor-relations records</x:v>
      </x:c>
      <x:c r="F448" t="str">
        <x:v>Primary filing and issuer-record review</x:v>
      </x:c>
      <x:c r="G448" s="44" t="str">
        <x:v>https://www.sec.gov/edgar/search/</x:v>
      </x:c>
      <x:c r="H448" s="44" t="str">
        <x:v>No new filing since the prior scan changed BMY growth-portfolio offset and cash-flow coverage, LULU comparable sales, inventories, margins or demand, or AVAV backlog conversion, control remediation, profitability or valuation evidence.</x:v>
      </x:c>
      <x:c r="I448" s="44" t="str">
        <x:v>No stage, confidence, edge or Entry Window change</x:v>
      </x:c>
      <x:c r="J448" s="44" t="n">
        <x:v>5</x:v>
      </x:c>
      <x:c r="K448" s="44" t="str">
        <x:v>BMY remains Developing 3/5, edge 3/5, WAIT; LULU remains Hypothesis 2/5, edge 2/5, WAIT; AVAV remains Strong 4/5, edge 2/5, WAIT. Motley Fool remains trigger only for these theses.</x:v>
      </x:c>
    </x:row>
    <x:row r="449">
      <x:c r="A449" t="str">
        <x:v>EV-2026-444</x:v>
      </x:c>
      <x:c r="B449" t="str">
        <x:v>EEI-2026-011</x:v>
      </x:c>
      <x:c r="C449" s="21" t="d">
        <x:v>2026-10-12T12:32:57.000Z</x:v>
      </x:c>
      <x:c r="D449" t="str">
        <x:v>Tanker attacks and Saudi escalation restore crude risk premium</x:v>
      </x:c>
      <x:c r="E449" t="str">
        <x:v>Reuters / UK Maritime Trade Operations</x:v>
      </x:c>
      <x:c r="F449" t="str">
        <x:v>Independent reporting of maritime alerts and observable market data</x:v>
      </x:c>
      <x:c r="G449" s="44" t="str">
        <x:v>https://www.reuters.com/business/energy/oil-climbs-mideast-conflict-tanker-attacks-persist-2026-10-11/</x:v>
      </x:c>
      <x:c r="H449" s="44" t="str">
        <x:v>Two tanker attacks were reported near Sohar and in Hormuz, while a Houthi strike hit Riyadh's international airport. Brent rose 1.2% to $106.19 and WTI 1.2% to $92.96, near two-week highs.</x:v>
      </x:c>
      <x:c r="I449" s="44" t="str">
        <x:v>Meaningful strengthening; stage and Entry unchanged</x:v>
      </x:c>
      <x:c r="J449" s="44" t="n">
        <x:v>5</x:v>
      </x:c>
      <x:c r="K449" s="44" t="str">
        <x:v>No oil installation was reported damaged. Gulf of Mexico output was being restored, Russian diesel and possible strategic releases add supply offsets, and the renewed commodity move increases headline-chasing risk.</x:v>
      </x:c>
    </x:row>
    <x:row r="450">
      <x:c r="A450" t="str">
        <x:v>EV-2026-445</x:v>
      </x:c>
      <x:c r="B450" t="str">
        <x:v>EEI-2026-002</x:v>
      </x:c>
      <x:c r="C450" s="21" t="d">
        <x:v>2026-10-12T12:32:57.000Z</x:v>
      </x:c>
      <x:c r="D450" t="str">
        <x:v>Qatar October LNG exports track sharply lower</x:v>
      </x:c>
      <x:c r="E450" t="str">
        <x:v>Reuters analysis / Kpler</x:v>
      </x:c>
      <x:c r="F450" t="str">
        <x:v>High-quality independent physical-flow analysis</x:v>
      </x:c>
      <x:c r="G450" s="44" t="str">
        <x:v>https://www.reuters.com/commentary/reuters-open-interest/middle-east-lng-industry-remains-hostage-iran-war-bousso-2026-10-12/</x:v>
      </x:c>
      <x:c r="H450" s="44" t="str">
        <x:v>Kpler data cited by Reuters put Qatar's October LNG exports on track for about 0.6 million tonnes as ship attacks intensified. U.S. LNG exports rose about 14% in 2026 to 123 million tonnes, but the global supply gap remained large.</x:v>
      </x:c>
      <x:c r="I450" s="44" t="str">
        <x:v>Meaningful support for LNG constraint; no coal Entry confirmation</x:v>
      </x:c>
      <x:c r="J450" s="44" t="n">
        <x:v>4</x:v>
      </x:c>
      <x:c r="K450" s="44" t="str">
        <x:v>The Qatar figure is an in-month tracking estimate. Higher U.S. supply and resumed guarded transits partly offset losses, while the coal expression remains indirect and unconfirmed.</x:v>
      </x:c>
    </x:row>
    <x:row r="451">
      <x:c r="A451" t="str">
        <x:v>EV-2026-446</x:v>
      </x:c>
      <x:c r="B451" t="str">
        <x:v>EEI-2026-009</x:v>
      </x:c>
      <x:c r="C451" s="21" t="d">
        <x:v>2026-10-12T12:32:57.000Z</x:v>
      </x:c>
      <x:c r="D451" t="str">
        <x:v>Small Russian diesel release produces limited market relief</x:v>
      </x:c>
      <x:c r="E451" t="str">
        <x:v>Reuters</x:v>
      </x:c>
      <x:c r="F451" t="str">
        <x:v>Independent reporting and observable ICE gasoil data</x:v>
      </x:c>
      <x:c r="G451" s="44" t="str">
        <x:v>https://www.reuters.com/business/energy/oil-climbs-mideast-conflict-tanker-attacks-persist-2026-10-11/</x:v>
      </x:c>
      <x:c r="H451" s="44" t="str">
        <x:v>ICE gasoil fell 2.3% to $1,449 per tonne after the announced Russian diesel arrangement. Analysts said the initial 300,000-500,000 tonnes were small relative to demand and Russia's impaired refining capacity; Ukraine said Russia violated the announced energy ceasefire.</x:v>
      </x:c>
      <x:c r="I451" s="44" t="str">
        <x:v>Mixed evidence; scarcity thesis and WAIT preserved</x:v>
      </x:c>
      <x:c r="J451" s="44" t="n">
        <x:v>5</x:v>
      </x:c>
      <x:c r="K451" s="44" t="str">
        <x:v>A larger verified export program, faster IEA member releases or a durable refinery-strike pause could compress diesel cracks. The first market reaction shows policy supply can reduce the premium at the margin.</x:v>
      </x:c>
    </x:row>
    <x:row r="452">
      <x:c r="A452" t="str">
        <x:v>EV-2026-447</x:v>
      </x:c>
      <x:c r="B452" t="str">
        <x:v>EEI-2026-003</x:v>
      </x:c>
      <x:c r="C452" s="21" t="d">
        <x:v>2026-10-12T12:32:57.000Z</x:v>
      </x:c>
      <x:c r="D452" t="str">
        <x:v>Democratic Senate branch becomes materially more credible</x:v>
      </x:c>
      <x:c r="E452" t="str">
        <x:v>Washington Post / Polymarket</x:v>
      </x:c>
      <x:c r="F452" t="str">
        <x:v>Independent political reporting plus trigger-only prediction-market positioning</x:v>
      </x:c>
      <x:c r="G452" s="44" t="str">
        <x:v>https://www.washingtonpost.com/politics/2026/10/12/trump-could-face-new-threat-january-democratic-senate/</x:v>
      </x:c>
      <x:c r="H452" s="44" t="str">
        <x:v>Recent polling made a Democratic Senate a serious possibility. A prediction market with $22.3 million in volume priced a Democratic sweep at 62% and a Democratic House with Republican Senate at 29%.</x:v>
      </x:c>
      <x:c r="I452" s="44" t="str">
        <x:v>Meaningful political update; stage and Entry unchanged</x:v>
      </x:c>
      <x:c r="J452" s="44" t="n">
        <x:v>4</x:v>
      </x:c>
      <x:c r="K452" s="44" t="str">
        <x:v>Democrats still need four net Senate seats, including at least two deep-red states. Prediction-market pricing is not a poll or vote and may reflect participant mix, liquidity and regulatory risk. Rates and breadth confirmation remain absent.</x:v>
      </x:c>
    </x:row>
    <x:row r="453">
      <x:c r="A453" t="str">
        <x:v>EV-2026-448</x:v>
      </x:c>
      <x:c r="B453"/>
      <x:c r="C453" s="21" t="d">
        <x:v>2026-10-12T12:32:57.000Z</x:v>
      </x:c>
      <x:c r="D453" t="str">
        <x:v>Rejected Motley Fool TSMC three-year doubling suggestion</x:v>
      </x:c>
      <x:c r="E453" t="str">
        <x:v>The Motley Fool — Geoffrey Seiler</x:v>
      </x:c>
      <x:c r="F453" t="str">
        <x:v>Trigger only; free public editorial published October 12, 2026 at 4:15 a.m. ET; author disclosed AMD, Alphabet and Broadcom positions; publication disclosed a TSM position and recommendation</x:v>
      </x:c>
      <x:c r="G453" s="44" t="str">
        <x:v>https://www.fool.com/investing/2026/10/12/heres-what-a-1400-investment-in-taiwan-semiconduct/</x:v>
      </x:c>
      <x:c r="H453" s="44" t="str">
        <x:v>Ticker TSM. Claimed catalyst: advanced-node leadership and AI infrastructure demand. Expected variable: revenue, margins and EPS up through 2029, with an opinion-based $775-$950 ADR value range.</x:v>
      </x:c>
      <x:c r="I453" s="44" t="str">
        <x:v>Rejected as a distinct new thesis; primary growth confirmed but already recognized</x:v>
      </x:c>
      <x:c r="J453" s="44" t="n">
        <x:v>4</x:v>
      </x:c>
      <x:c r="K453" s="44" t="str">
        <x:v>TSMC's SEC-filed September revenue rose 54.6% year over year, but the October 15 earnings report has not occurred. The stock was about $453, the thesis depends on sustained hyperscaler capex and multiple assumptions, and Taiwan/geopolitical concentration remains material. This was not an official paid-service recommendation.</x:v>
      </x:c>
    </x:row>
    <x:row r="454">
      <x:c r="A454" t="str">
        <x:v>EV-2026-449</x:v>
      </x:c>
      <x:c r="B454"/>
      <x:c r="C454" s="21" t="d">
        <x:v>2026-10-12T12:32:57.000Z</x:v>
      </x:c>
      <x:c r="D454" t="str">
        <x:v>Rejected Motley Fool Bloom Energy versus Vertiv comparison</x:v>
      </x:c>
      <x:c r="E454" t="str">
        <x:v>The Motley Fool — Rick Orford</x:v>
      </x:c>
      <x:c r="F454" t="str">
        <x:v>Trigger only; free public editorial published October 12, 2026 at 6:30 a.m. ET; author disclosed no positions; publication disclosed positions and recommendations in BE, BAM, NVDA, ORCL and VRT</x:v>
      </x:c>
      <x:c r="G454" s="44" t="str">
        <x:v>https://www.fool.com/investing/2026/10/12/bloom-energy-vs-vertiv-which-ai-infrastructure-sto/</x:v>
      </x:c>
      <x:c r="H454" s="44" t="str">
        <x:v>Tickers BE and VRT. Claimed catalyst: AI power bottlenecks, Bloom's Oracle and Brookfield relationships, and Vertiv's planned UtilityInnovation acquisition. Expected variable: data-center power and cooling revenue up over years.</x:v>
      </x:c>
      <x:c r="I454" s="44" t="str">
        <x:v>Rejected as a new thesis; old catalysts and valuation risk</x:v>
      </x:c>
      <x:c r="J454" s="44" t="n">
        <x:v>4</x:v>
      </x:c>
      <x:c r="K454" s="44" t="str">
        <x:v>Bloom's April release said Oracle intended up to 2.8 GW but only 1.2 GW was initially contracted. Vertiv's September acquisition can cost up to $2.6 billion and still requires closing. BE traded near 369 times trailing earnings and VRT near 55 times, leaving substantial execution and already-priced risk. This was not an official paid-service recommendation.</x:v>
      </x:c>
    </x:row>
    <x:row r="455">
      <x:c r="A455" t="str">
        <x:v>EV-2026-450</x:v>
      </x:c>
      <x:c r="B455"/>
      <x:c r="C455" s="21" t="d">
        <x:v>2026-10-12T12:32:57.000Z</x:v>
      </x:c>
      <x:c r="D455" t="str">
        <x:v>Rejected Motley Fool Clorox dividend-yield screen</x:v>
      </x:c>
      <x:c r="E455" t="str">
        <x:v>The Motley Fool — Lawrence Rothman, CFA</x:v>
      </x:c>
      <x:c r="F455" t="str">
        <x:v>Trigger only; free public editorial published October 12, 2026 at 6:15 a.m. ET; author and publication disclosed no position</x:v>
      </x:c>
      <x:c r="G455" s="44" t="str">
        <x:v>https://www.fool.com/investing/2026/10/12/own-clorox-qualify-dividend-yield-shares/</x:v>
      </x:c>
      <x:c r="H455" s="44" t="str">
        <x:v>Ticker CLX. Claimed attraction: a $1.25 quarterly dividend and roughly 6% yield. Expected variable: dividend cash income over years; the article itself flagged results and payout concerns.</x:v>
      </x:c>
      <x:c r="I455" s="44" t="str">
        <x:v>Rejected as a new thesis</x:v>
      </x:c>
      <x:c r="J455" s="44" t="n">
        <x:v>4</x:v>
      </x:c>
      <x:c r="K455" s="44" t="str">
        <x:v>Clorox's filing confirms the dividend and $881 million of adjusted free cash flow in fiscal 2026, but no new operating catalyst was identified. GOJO integration, leverage, weak operating trends and dividend-coverage risk require a separate primary-results improvement before escalation. This was not an official paid-service recommendation.</x:v>
      </x:c>
    </x:row>
    <x:row r="456">
      <x:c r="A456" t="str">
        <x:v>EV-2026-451</x:v>
      </x:c>
      <x:c r="B456"/>
      <x:c r="C456" s="21" t="d">
        <x:v>2026-10-12T12:32:57.000Z</x:v>
      </x:c>
      <x:c r="D456" t="str">
        <x:v>Rejected Motley Fool Nvidia and Micron demand-warning inference</x:v>
      </x:c>
      <x:c r="E456" t="str">
        <x:v>The Motley Fool — Anthony Di Pizio</x:v>
      </x:c>
      <x:c r="F456" t="str">
        <x:v>Trigger only; free public editorial published October 12, 2026 at 6:06 a.m. ET; author disclosed no positions; publication disclosed positions and recommendations in NVDA and MU</x:v>
      </x:c>
      <x:c r="G456" s="44" t="str">
        <x:v>https://www.fool.com/investing/2026/10/12/nvidia-and-micron-received-bad-news-unlikely-place/</x:v>
      </x:c>
      <x:c r="H456" s="44" t="str">
        <x:v>Tickers NVDA and MU. Claimed catalyst: Firmus withdrew an Australian IPO after weak demand. Expected variable: AI infrastructure funding and semiconductor demand down over quarters to years.</x:v>
      </x:c>
      <x:c r="I456" s="44" t="str">
        <x:v>Rejected as a new bearish thesis</x:v>
      </x:c>
      <x:c r="J456" s="44" t="n">
        <x:v>3</x:v>
      </x:c>
      <x:c r="K456" s="44" t="str">
        <x:v>One private company's withdrawn IPO does not establish a decline in hyperscaler capex or orders for Nvidia GPUs and Micron HBM. No issuer filing or order cancellation independently linked Firmus to a material change in either company's revenue outlook. This was not an official paid-service recommendation.</x:v>
      </x:c>
    </x:row>
    <x:row r="457">
      <x:c r="A457" t="str">
        <x:v>EV-2026-452</x:v>
      </x:c>
      <x:c r="B457"/>
      <x:c r="C457" s="21" t="d">
        <x:v>2026-10-12T12:32:57.000Z</x:v>
      </x:c>
      <x:c r="D457" t="str">
        <x:v>Weekend and federal-holiday award screen</x:v>
      </x:c>
      <x:c r="E457" t="str">
        <x:v>Department of War / USAspending.gov</x:v>
      </x:c>
      <x:c r="F457" t="str">
        <x:v>Primary award-page and award-database screen</x:v>
      </x:c>
      <x:c r="G457" s="44" t="str">
        <x:v>https://www.war.gov/News/Contracts/Contract-View/Artiicle/</x:v>
      </x:c>
      <x:c r="H457" s="44" t="str">
        <x:v>No new Department of War daily contract announcement appeared after the October 9 release by scan time. USAspending screening found no newly posted public-company award with verified new-action status, material current obligations and an independently confirmed unexpected economic effect.</x:v>
      </x:c>
      <x:c r="I457" s="44" t="str">
        <x:v>No qualifying government-spending thesis</x:v>
      </x:c>
      <x:c r="J457" s="44" t="n">
        <x:v>5</x:v>
      </x:c>
      <x:c r="K457" s="44" t="str">
        <x:v>The federal holiday and weekend limit posting cadence. Absence of a qualifying posted award is not evidence that no procurement action occurred; late database updates remain a follow-up item.</x:v>
      </x:c>
    </x:row>
    <x:row r="458">
      <x:c r="A458" t="str">
        <x:v>EV-2026-453</x:v>
      </x:c>
      <x:c r="B458"/>
      <x:c r="C458" s="21" t="d">
        <x:v>2026-10-12T12:32:57.000Z</x:v>
      </x:c>
      <x:c r="D458" t="str">
        <x:v>BMY, LULU and AVAV candidate-queue checkpoint</x:v>
      </x:c>
      <x:c r="E458" t="str">
        <x:v>SEC EDGAR and issuer investor-relations records</x:v>
      </x:c>
      <x:c r="F458" t="str">
        <x:v>Primary filing and issuer-record review</x:v>
      </x:c>
      <x:c r="G458" s="44" t="str">
        <x:v>https://www.sec.gov/edgar/search/</x:v>
      </x:c>
      <x:c r="H458" s="44" t="str">
        <x:v>No new filing after the prior scan changed BMY growth-portfolio offset and cash-flow coverage, LULU comparable sales, inventories, margins or brand demand, or AVAV backlog conversion, control remediation, profitability or valuation evidence.</x:v>
      </x:c>
      <x:c r="I458" s="44" t="str">
        <x:v>No stage, confidence, edge or Entry Window change</x:v>
      </x:c>
      <x:c r="J458" s="44" t="n">
        <x:v>5</x:v>
      </x:c>
      <x:c r="K458" s="44" t="str">
        <x:v>BMY remains Developing 3/5, edge 3/5, WAIT; LULU remains Hypothesis 2/5, edge 2/5, WAIT; AVAV remains Strong 4/5, edge 2/5, WAIT. Motley Fool remains trigger only for these theses.</x:v>
      </x:c>
    </x:row>
    <x:row r="459">
      <x:c r="A459" t="str">
        <x:v>EV-2026-454</x:v>
      </x:c>
      <x:c r="B459" t="str">
        <x:v>EEI-2026-001</x:v>
      </x:c>
      <x:c r="C459" s="21" t="n">
        <x:v>46307.833333333336</x:v>
      </x:c>
      <x:c r="D459" t="str">
        <x:v>Paper-trade outcome</x:v>
      </x:c>
      <x:c r="E459" t="str">
        <x:v>S&amp;P Global Market Intelligence via StockAnalysis</x:v>
      </x:c>
      <x:c r="F459" t="str">
        <x:v>Regular-session closing market data</x:v>
      </x:c>
      <x:c r="G459" s="44" t="str">
        <x:v>https://stockanalysis.com/etf/bno/history/</x:v>
      </x:c>
      <x:c r="H459" s="44" t="str">
        <x:v>BNO closed October 12 at $65.12 versus the $57.21 September 8 opening entry. The $1,000 paper position was worth $1138.26, up $138.26 (+13.83%).</x:v>
      </x:c>
      <x:c r="I459" s="44" t="str">
        <x:v>Direct Brent expression remains the strongest cumulative position</x:v>
      </x:c>
      <x:c r="J459" s="44" t="n">
        <x:v>5</x:v>
      </x:c>
      <x:c r="K459" s="44" t="str">
        <x:v>BNO gained 1.77% for the session; this is a hypothetical fractional-share position.</x:v>
      </x:c>
    </x:row>
    <x:row r="460">
      <x:c r="A460" t="str">
        <x:v>EV-2026-455</x:v>
      </x:c>
      <x:c r="B460" t="str">
        <x:v>EEI-2026-001</x:v>
      </x:c>
      <x:c r="C460" s="21" t="n">
        <x:v>46307.833333333336</x:v>
      </x:c>
      <x:c r="D460" t="str">
        <x:v>Paper-trade outcome</x:v>
      </x:c>
      <x:c r="E460" t="str">
        <x:v>S&amp;P Global Market Intelligence via StockAnalysis</x:v>
      </x:c>
      <x:c r="F460" t="str">
        <x:v>Regular-session closing market data</x:v>
      </x:c>
      <x:c r="G460" s="44" t="str">
        <x:v>https://stockanalysis.com/etf/uso/history/</x:v>
      </x:c>
      <x:c r="H460" s="44" t="str">
        <x:v>USO closed October 12 at $151.03 versus the $144.60 September 8 opening entry. The $1,000 paper position was worth $1044.47, up $44.47 (+4.45%).</x:v>
      </x:c>
      <x:c r="I460" s="44" t="str">
        <x:v>WTI expression remains profitable but trails BNO</x:v>
      </x:c>
      <x:c r="J460" s="44" t="n">
        <x:v>5</x:v>
      </x:c>
      <x:c r="K460" s="44" t="str">
        <x:v>USO gained 1.91% for the session; this is a hypothetical fractional-share position.</x:v>
      </x:c>
    </x:row>
    <x:row r="461">
      <x:c r="A461" t="str">
        <x:v>EV-2026-456</x:v>
      </x:c>
      <x:c r="B461" t="str">
        <x:v>EEI-2026-001</x:v>
      </x:c>
      <x:c r="C461" s="21" t="n">
        <x:v>46307.833333333336</x:v>
      </x:c>
      <x:c r="D461" t="str">
        <x:v>Paper-trade outcome</x:v>
      </x:c>
      <x:c r="E461" t="str">
        <x:v>S&amp;P Global Market Intelligence via StockAnalysis</x:v>
      </x:c>
      <x:c r="F461" t="str">
        <x:v>Regular-session closing market data</x:v>
      </x:c>
      <x:c r="G461" s="44" t="str">
        <x:v>https://stockanalysis.com/etf/xop/history/</x:v>
      </x:c>
      <x:c r="H461" s="44" t="str">
        <x:v>XOP closed October 12 at $194.29 versus the $193.84 September 8 opening entry. The $1,000 paper position was worth $1002.32, up $2.32 (+0.23%).</x:v>
      </x:c>
      <x:c r="I461" s="44" t="str">
        <x:v>Producer-equity expression returned above entry but still trails direct crude exposure</x:v>
      </x:c>
      <x:c r="J461" s="44" t="n">
        <x:v>5</x:v>
      </x:c>
      <x:c r="K461" s="44" t="str">
        <x:v>XOP gained 1.45% for the session; this is a hypothetical fractional-share position.</x:v>
      </x:c>
    </x:row>
    <x:row r="462">
      <x:c r="A462" t="str">
        <x:v>EV-2026-457</x:v>
      </x:c>
      <x:c r="B462" t="str">
        <x:v>EEI-2026-001</x:v>
      </x:c>
      <x:c r="C462" s="21" t="n">
        <x:v>46307.833333333336</x:v>
      </x:c>
      <x:c r="D462" t="str">
        <x:v>Post-horizon market and supply-risk evidence</x:v>
      </x:c>
      <x:c r="E462" t="str">
        <x:v>Reuters</x:v>
      </x:c>
      <x:c r="F462" t="str">
        <x:v>High-quality reporting and settlement data</x:v>
      </x:c>
      <x:c r="G462" s="44" t="str">
        <x:v>https://www.reuters.com/business/energy/oil-climbs-mideast-conflict-tanker-attacks-persist-2026-10-11/</x:v>
      </x:c>
      <x:c r="H462" s="44" t="str">
        <x:v>Brent settled October 12 at $106.65, up 1.8%, and WTI at $93.74, up 2.0%. A Houthi strike hit Riyadh airport and two tanker attacks were reported near Sohar and in Hormuz.</x:v>
      </x:c>
      <x:c r="I462" s="44" t="str">
        <x:v>Strong renewed confirmation of the attack-driven crude-risk premium</x:v>
      </x:c>
      <x:c r="J462" s="44" t="n">
        <x:v>5</x:v>
      </x:c>
      <x:c r="K462" s="44" t="str">
        <x:v>No oil installation was reported damaged, U.S. Gulf output was being restored, and policy-driven diesel supply remained a partial offset. The move also increased headline-chasing risk.</x:v>
      </x:c>
    </x:row>
    <x:row r="463">
      <x:c r="A463" t="str">
        <x:v>EV-2026-458</x:v>
      </x:c>
      <x:c r="B463" t="str">
        <x:v>EEI-2026-001</x:v>
      </x:c>
      <x:c r="C463" s="21" t="n">
        <x:v>46307.833333333336</x:v>
      </x:c>
      <x:c r="D463" t="str">
        <x:v>Post-horizon export normalization evidence</x:v>
      </x:c>
      <x:c r="E463" t="str">
        <x:v>Reuters / Kpler</x:v>
      </x:c>
      <x:c r="F463" t="str">
        <x:v>High-quality analysis using physical export data</x:v>
      </x:c>
      <x:c r="G463" s="44" t="str">
        <x:v>https://www.reuters.com/commentary/reuters-open-interest/oil-markets-center-gravity-is-moving-east-2026-10-12/</x:v>
      </x:c>
      <x:c r="H463" s="44" t="str">
        <x:v>Middle East crude and condensate exports excluding Iran averaged 18.11 million tonnes a week in September versus about 18.22 million tonnes before the war, showing that regional crude exports largely recovered despite continuing security risk.</x:v>
      </x:c>
      <x:c r="I463" s="44" t="str">
        <x:v>Strong counterevidence to an extended regional crude shortage</x:v>
      </x:c>
      <x:c r="J463" s="44" t="n">
        <x:v>5</x:v>
      </x:c>
      <x:c r="K463" s="44" t="str">
        <x:v>Refinery damage left Middle East fuel exports below half of prewar levels, so crude availability normalized faster than refined-product supply and logistics.</x:v>
      </x:c>
    </x:row>
    <x:row r="464">
      <x:c r="A464" t="str">
        <x:v>EV-2026-459</x:v>
      </x:c>
      <x:c r="B464" t="str">
        <x:v>EEI-2026-001</x:v>
      </x:c>
      <x:c r="C464" s="21" t="n">
        <x:v>46307.833333333336</x:v>
      </x:c>
      <x:c r="D464" t="str">
        <x:v>Post-horizon demand modifier</x:v>
      </x:c>
      <x:c r="E464" t="str">
        <x:v>Reuters / OPEC</x:v>
      </x:c>
      <x:c r="F464" t="str">
        <x:v>Official producer-group forecast independently reported</x:v>
      </x:c>
      <x:c r="G464" s="44" t="str">
        <x:v>https://www.reuters.com/business/energy/opec-cuts-2026-oil-demand-growth-forecast-400000-bpd-sees-pent-up-demand-2027-2026-10-12/</x:v>
      </x:c>
      <x:c r="H464" s="44" t="str">
        <x:v>OPEC cut its 2026 oil-demand growth estimate to 400,000 bpd from 1.4 million bpd at the start of the year.</x:v>
      </x:c>
      <x:c r="I464" s="44" t="str">
        <x:v>Demand-side counterevidence limits the extended scarcity case</x:v>
      </x:c>
      <x:c r="J464" s="44" t="n">
        <x:v>5</x:v>
      </x:c>
      <x:c r="K464" s="44" t="str">
        <x:v>OPEC expects deferred demand to emerge in 2027, but the large 2026 downgrade weakens the near-term demand contribution to the original supply-risk trade.</x:v>
      </x:c>
    </x:row>
    <x:row r="465">
      <x:c r="A465" t="str">
        <x:v>EV-2026-460</x:v>
      </x:c>
      <x:c r="B465" t="str">
        <x:v>EEI-2026-009</x:v>
      </x:c>
      <x:c r="C465" s="21" t="d">
        <x:v>2026-10-13T11:58:45.000Z</x:v>
      </x:c>
      <x:c r="D465" t="str">
        <x:v>Government sanctions authorization</x:v>
      </x:c>
      <x:c r="E465" t="str">
        <x:v>U.S. Treasury OFAC</x:v>
      </x:c>
      <x:c r="F465" t="str">
        <x:v>Primary government record</x:v>
      </x:c>
      <x:c r="G465" s="44" t="str">
        <x:v>https://ofac.treasury.gov/media/937216/download?inline=</x:v>
      </x:c>
      <x:c r="H465" s="44" t="str">
        <x:v>General License 135 authorizes transactions involving Russian-origin diesel, including sale, delivery and import, through April 7, 2027.</x:v>
      </x:c>
      <x:c r="I465" s="44" t="str">
        <x:v>Material normalization channel; stage and WAIT unchanged</x:v>
      </x:c>
      <x:c r="J465" s="44" t="n">
        <x:v>5</x:v>
      </x:c>
      <x:c r="K465" s="44" t="str">
        <x:v>A new sanctions-relief channel is confirmed. Delivery volumes and refinery capacity remain uncertain.</x:v>
      </x:c>
    </x:row>
    <x:row r="466">
      <x:c r="A466" t="str">
        <x:v>EV-2026-461</x:v>
      </x:c>
      <x:c r="B466" t="str">
        <x:v>EEI-2026-009</x:v>
      </x:c>
      <x:c r="C466" s="21" t="d">
        <x:v>2026-10-13T11:58:45.000Z</x:v>
      </x:c>
      <x:c r="D466" t="str">
        <x:v>Energy market and policy update</x:v>
      </x:c>
      <x:c r="E466" t="str">
        <x:v>Reuters</x:v>
      </x:c>
      <x:c r="F466" t="str">
        <x:v>High-quality independent reporting</x:v>
      </x:c>
      <x:c r="G466" s="44" t="str">
        <x:v>https://www.reuters.com/business/energy/oil-ticks-lower-russia-diesel-supply-prospects-counter-gulf-supply-risks-2026-10-13/</x:v>
      </x:c>
      <x:c r="H466" s="44" t="str">
        <x:v>Russia targeted 3.0-3.5 million tonnes of monthly diesel exports by year-end; Brent and WTI fell about 2%, but analysts questioned feasibility because of refinery damage.</x:v>
      </x:c>
      <x:c r="I466" s="44" t="str">
        <x:v>Mixed: stronger policy relief and market reaction, uncertain physical delivery</x:v>
      </x:c>
      <x:c r="J466" s="44" t="n">
        <x:v>5</x:v>
      </x:c>
      <x:c r="K466" s="44" t="str">
        <x:v>OPEC also cut 2026 demand growth and cited exceptional shipping and insurance costs.</x:v>
      </x:c>
    </x:row>
    <x:row r="467">
      <x:c r="A467" t="str">
        <x:v>EV-2026-462</x:v>
      </x:c>
      <x:c r="B467" t="str">
        <x:v>EEI-2026-002</x:v>
      </x:c>
      <x:c r="C467" s="21" t="d">
        <x:v>2026-10-13T11:58:45.000Z</x:v>
      </x:c>
      <x:c r="D467" t="str">
        <x:v>European gas and storage confirmation</x:v>
      </x:c>
      <x:c r="E467" t="str">
        <x:v>Financial Times</x:v>
      </x:c>
      <x:c r="F467" t="str">
        <x:v>High-quality reporting using market and storage data</x:v>
      </x:c>
      <x:c r="G467" s="44" t="str">
        <x:v>https://www.ft.com/</x:v>
      </x:c>
      <x:c r="H467" s="44" t="str">
        <x:v>European benchmark gas reached about EUR86.79/MWh while storage was below 74%, versus roughly 90% seasonally.</x:v>
      </x:c>
      <x:c r="I467" s="44" t="str">
        <x:v>Strengthens gas constraint; coal expression still unconfirmed</x:v>
      </x:c>
      <x:c r="J467" s="44" t="n">
        <x:v>4</x:v>
      </x:c>
      <x:c r="K467" s="44" t="str">
        <x:v>Source page is the FT energy coverage observed October 13; no paywall was bypassed.</x:v>
      </x:c>
    </x:row>
    <x:row r="468">
      <x:c r="A468" t="str">
        <x:v>EV-2026-463</x:v>
      </x:c>
      <x:c r="B468" t="str">
        <x:v>EEI-2026-003</x:v>
      </x:c>
      <x:c r="C468" s="21" t="d">
        <x:v>2026-10-13T11:58:45.000Z</x:v>
      </x:c>
      <x:c r="D468" t="str">
        <x:v>Election control and policy mapping</x:v>
      </x:c>
      <x:c r="E468" t="str">
        <x:v>Reuters</x:v>
      </x:c>
      <x:c r="F468" t="str">
        <x:v>High-quality independent reporting</x:v>
      </x:c>
      <x:c r="G468" s="44" t="str">
        <x:v>https://www.reuters.com/legal/government/democratic-midterm-wins-could-bring-scrutiny-wall-street-crypto-firms-2026-10-13/</x:v>
      </x:c>
      <x:c r="H468" s="44" t="str">
        <x:v>Reuters reported Democrats positioned for the House with a Senate edge and mapped potential oversight pressure on banks, crypto, AI and housing.</x:v>
      </x:c>
      <x:c r="I468" s="44" t="str">
        <x:v>Strengthens political branch; no market entry</x:v>
      </x:c>
      <x:c r="J468" s="44" t="n">
        <x:v>5</x:v>
      </x:c>
      <x:c r="K468" s="44" t="str">
        <x:v>Subpoena power could slow or scrutinize deregulation but would not automatically reverse executive actions.</x:v>
      </x:c>
    </x:row>
    <x:row r="469">
      <x:c r="A469" t="str">
        <x:v>EV-2026-464</x:v>
      </x:c>
      <x:c r="B469" t="str">
        <x:v>EEI-2026-003</x:v>
      </x:c>
      <x:c r="C469" s="21" t="d">
        <x:v>2026-10-13T11:58:45.000Z</x:v>
      </x:c>
      <x:c r="D469" t="str">
        <x:v>Competitive Senate-state signal</x:v>
      </x:c>
      <x:c r="E469" t="str">
        <x:v>Associated Press</x:v>
      </x:c>
      <x:c r="F469" t="str">
        <x:v>High-quality independent reporting</x:v>
      </x:c>
      <x:c r="G469" s="44" t="str">
        <x:v>https://apnews.com/article/trump-alaska-sullivan-midterm-election-0542aaa0e516c1c6057a2f13e9163b3f</x:v>
      </x:c>
      <x:c r="H469" s="44" t="str">
        <x:v>A presidential campaign visit for Alaska Senator Dan Sullivan showed Republican concern in a state made more competitive by fuel costs, inflation and weaker approval.</x:v>
      </x:c>
      <x:c r="I469" s="44" t="str">
        <x:v>Incremental Senate support; polling and turnout remain unresolved</x:v>
      </x:c>
      <x:c r="J469" s="44" t="n">
        <x:v>4</x:v>
      </x:c>
      <x:c r="K469" s="44" t="str">
        <x:v>Alaska is a distinct difficult-state data point, not proof of chamber control.</x:v>
      </x:c>
    </x:row>
    <x:row r="470">
      <x:c r="A470" t="str">
        <x:v>EV-2026-465</x:v>
      </x:c>
      <x:c r="B470" t="str">
        <x:v>EEI-2026-005</x:v>
      </x:c>
      <x:c r="C470" s="21" t="d">
        <x:v>2026-10-13T11:58:45.000Z</x:v>
      </x:c>
      <x:c r="D470" t="str">
        <x:v>Pivotal Phase 3 topline result</x:v>
      </x:c>
      <x:c r="E470" t="str">
        <x:v>Bristol Myers Squibb</x:v>
      </x:c>
      <x:c r="F470" t="str">
        <x:v>Primary issuer clinical record</x:v>
      </x:c>
      <x:c r="G470" s="44" t="str">
        <x:v>https://news.bms.com/news/corporate-financial/2026/Bristol-Myers-Squibb-Announces-Phase-3-ALOFT-IPF-Trial-Evaluating-Admilparant-in-Adults-with-Idiopathic-Pulmonary-Fibrosis-Met-Primary-Endpoint/default.aspx</x:v>
      </x:c>
      <x:c r="H470" s="44" t="str">
        <x:v>Admilparant 60 mg twice daily met the 52-week ALOFT-IPF primary endpoint with favorable topline safety; the 120 mg dose did not reach statistical significance.</x:v>
      </x:c>
      <x:c r="I470" s="44" t="str">
        <x:v>Strengthens growth portfolio with an important dose-response contradiction</x:v>
      </x:c>
      <x:c r="J470" s="44" t="n">
        <x:v>5</x:v>
      </x:c>
      <x:c r="K470" s="44" t="str">
        <x:v>Full effect sizes, detailed safety and regulatory plans remain pending.</x:v>
      </x:c>
    </x:row>
    <x:row r="471">
      <x:c r="A471" t="str">
        <x:v>EV-2026-466</x:v>
      </x:c>
      <x:c r="B471" t="str">
        <x:v>EEI-2026-005</x:v>
      </x:c>
      <x:c r="C471" s="21" t="d">
        <x:v>2026-10-13T11:58:45.000Z</x:v>
      </x:c>
      <x:c r="D471" t="str">
        <x:v>Pivotal Phase 3 interim result</x:v>
      </x:c>
      <x:c r="E471" t="str">
        <x:v>Bristol Myers Squibb</x:v>
      </x:c>
      <x:c r="F471" t="str">
        <x:v>Primary issuer clinical record</x:v>
      </x:c>
      <x:c r="G471" s="44" t="str">
        <x:v>https://news.bms.com/news/details/2026/Bristol-Myers-Squibb-Announces-Positive-Topline-Results-from-the-Interim-Analysis-of-Phase-3-ACTION-1-for-RYZ101-RayzeBios-Radiopharmaceutical-Therapy-in-Patients-with-GEP-NETs/default.aspx</x:v>
      </x:c>
      <x:c r="H471" s="44" t="str">
        <x:v>RYZ101 achieved a statistically significant and clinically meaningful PFS improvement in ACTION-1, with safety consistent with the known profile.</x:v>
      </x:c>
      <x:c r="I471" s="44" t="str">
        <x:v>Strengthens growth portfolio</x:v>
      </x:c>
      <x:c r="J471" s="44" t="n">
        <x:v>5</x:v>
      </x:c>
      <x:c r="K471" s="44" t="str">
        <x:v>Full data, filing timing and commercial economics remain undisclosed.</x:v>
      </x:c>
    </x:row>
    <x:row r="472">
      <x:c r="A472" t="str">
        <x:v>EV-2026-467</x:v>
      </x:c>
      <x:c r="B472" t="str">
        <x:v>EEI-2026-005</x:v>
      </x:c>
      <x:c r="C472" s="21" t="d">
        <x:v>2026-10-13T11:58:45.000Z</x:v>
      </x:c>
      <x:c r="D472" t="str">
        <x:v>Adverse equity reaction</x:v>
      </x:c>
      <x:c r="E472" t="str">
        <x:v>Investors Business Daily</x:v>
      </x:c>
      <x:c r="F472" t="str">
        <x:v>Independent market reporting</x:v>
      </x:c>
      <x:c r="G472" s="44" t="str">
        <x:v>https://www.investors.com/news/technology/bristol-myers-squibb-stock-continuem-therapeutics-stock-ipf-gep-nets/</x:v>
      </x:c>
      <x:c r="H472" s="44" t="str">
        <x:v>BMY fell 2.6% to $57.58 on heavy volume after the dual Phase 3 announcements, as the admilparant dose result was viewed as confounding.</x:v>
      </x:c>
      <x:c r="I472" s="44" t="str">
        <x:v>Contradicts immediate equity confirmation; confidence still rises on fundamentals</x:v>
      </x:c>
      <x:c r="J472" s="44" t="n">
        <x:v>4</x:v>
      </x:c>
      <x:c r="K472" s="44" t="str">
        <x:v>Market reaction keeps Entry Window at WAIT despite stronger pipeline evidence.</x:v>
      </x:c>
    </x:row>
    <x:row r="473">
      <x:c r="A473" t="str">
        <x:v>EV-2026-468</x:v>
      </x:c>
      <x:c r="B473" t="str">
        <x:v>EEI-2026-019</x:v>
      </x:c>
      <x:c r="C473" s="21" t="d">
        <x:v>2026-10-13T11:58:45.000Z</x:v>
      </x:c>
      <x:c r="D473" t="str">
        <x:v>Motley Fool trigger</x:v>
      </x:c>
      <x:c r="E473" t="str">
        <x:v>The Motley Fool — Geoffrey Seiler</x:v>
      </x:c>
      <x:c r="F473" t="str">
        <x:v>Free editorial trigger; not confirmation</x:v>
      </x:c>
      <x:c r="G473" s="44" t="str">
        <x:v>https://www.fool.com/investing/2026/10/13/darpa-just-revealed-the-2-best-quantum-computing-s/</x:v>
      </x:c>
      <x:c r="H473" s="44" t="str">
        <x:v>Published October 13 at 5:22 a.m. ET; suggested IonQ and IBM based on DARPA QBI Stage C advancement and a multiyear validation/funding catalyst.</x:v>
      </x:c>
      <x:c r="I473" s="44" t="str">
        <x:v>Trigger only; escalated after primary-source confirmation</x:v>
      </x:c>
      <x:c r="J473" s="44" t="n">
        <x:v>2</x:v>
      </x:c>
      <x:c r="K473" s="44" t="str">
        <x:v>Free editorial, not an official paid-service recommendation. Author disclosed no position; Motley Fool owns/recommends IBM, IonQ and Microsoft. Horizon was multiyear; expected variable was quantum validation and revenue.</x:v>
      </x:c>
    </x:row>
    <x:row r="474">
      <x:c r="A474" t="str">
        <x:v>EV-2026-469</x:v>
      </x:c>
      <x:c r="B474" t="str">
        <x:v>EEI-2026-019</x:v>
      </x:c>
      <x:c r="C474" s="21" t="d">
        <x:v>2026-10-13T11:58:45.000Z</x:v>
      </x:c>
      <x:c r="D474" t="str">
        <x:v>Government technical selection</x:v>
      </x:c>
      <x:c r="E474" t="str">
        <x:v>DARPA</x:v>
      </x:c>
      <x:c r="F474" t="str">
        <x:v>Primary government record</x:v>
      </x:c>
      <x:c r="G474" s="44" t="str">
        <x:v>https://www.darpa.mil/news/2026/four-more-teams-enter-quantum-benchmarking-initiative-final-stage</x:v>
      </x:c>
      <x:c r="H474" s="44" t="str">
        <x:v>DARPA advanced Atom Computing, Diraq, IBM and IonQ into QBI Stage C for system-level testing toward utility-scale capability by 2033; additional firms can still advance.</x:v>
      </x:c>
      <x:c r="I474" s="44" t="str">
        <x:v>Confirms third-party validation but not exclusivity</x:v>
      </x:c>
      <x:c r="J474" s="44" t="n">
        <x:v>5</x:v>
      </x:c>
      <x:c r="K474" s="44" t="str">
        <x:v>QBI is not a competition and no winner was declared.</x:v>
      </x:c>
    </x:row>
    <x:row r="475">
      <x:c r="A475" t="str">
        <x:v>EV-2026-470</x:v>
      </x:c>
      <x:c r="B475" t="str">
        <x:v>EEI-2026-019</x:v>
      </x:c>
      <x:c r="C475" s="21" t="d">
        <x:v>2026-10-13T11:58:45.000Z</x:v>
      </x:c>
      <x:c r="D475" t="str">
        <x:v>Government agreement disclosure</x:v>
      </x:c>
      <x:c r="E475" t="str">
        <x:v>IonQ</x:v>
      </x:c>
      <x:c r="F475" t="str">
        <x:v>Primary issuer record</x:v>
      </x:c>
      <x:c r="G475" s="44" t="str">
        <x:v>https://ionq.com/news/ionq-advances-to-final-stage-of-darpas-quantum-benchmarking-initiative</x:v>
      </x:c>
      <x:c r="H475" s="44" t="str">
        <x:v>Recipient/parent: IonQ Inc.; agency: DARPA/DoD; action: new Stage C agreement; potential value: up to $300M; current value and obligation: undisclosed; performance: through 2029; competition: multi-performer QBI; award ID, NAICS and PSC: undisclosed.</x:v>
      </x:c>
      <x:c r="I475" s="44" t="str">
        <x:v>Material conditional ceiling; opens Developing thesis</x:v>
      </x:c>
      <x:c r="J475" s="44" t="n">
        <x:v>5</x:v>
      </x:c>
      <x:c r="K475" s="44" t="str">
        <x:v>Publicly announced October 7. Ceiling is about 105% of top-end FY2026 revenue guidance but is subject to appropriations, milestones and DARPA action. Stage B participation made some advancement risk known, but Stage C was not guaranteed.</x:v>
      </x:c>
    </x:row>
    <x:row r="476">
      <x:c r="A476" t="str">
        <x:v>EV-2026-471</x:v>
      </x:c>
      <x:c r="B476" t="str">
        <x:v>EEI-2026-019</x:v>
      </x:c>
      <x:c r="C476" s="21" t="d">
        <x:v>2026-10-13T11:58:45.000Z</x:v>
      </x:c>
      <x:c r="D476" t="str">
        <x:v>Financial capacity and operating trend</x:v>
      </x:c>
      <x:c r="E476" t="str">
        <x:v>IonQ / SEC</x:v>
      </x:c>
      <x:c r="F476" t="str">
        <x:v>Primary issuer and regulatory records</x:v>
      </x:c>
      <x:c r="G476" s="44" t="str">
        <x:v>https://investors.ionq.com/news/news-details/2026/IonQ-Announces-Record-Second-Quarter-2026-Revenues-Growing-287-YoY/default.aspx</x:v>
      </x:c>
      <x:c r="H476" s="44" t="str">
        <x:v>Q2 revenue was $80.1M, up 287% year over year; FY2026 guidance was $280M-$290M; cash and investments were about $3.0B before SkyWater, while six-month operating loss was about $608.8M.</x:v>
      </x:c>
      <x:c r="I476" s="44" t="str">
        <x:v>Revenue growth supports mechanism; losses and valuation limit edge</x:v>
      </x:c>
      <x:c r="J476" s="44" t="n">
        <x:v>5</x:v>
      </x:c>
      <x:c r="K476" s="44" t="str">
        <x:v>SEC filing: https://www.sec.gov/Archives/edgar/data/1824920/000119312526341001/ionq-20260630.htm</x:v>
      </x:c>
    </x:row>
    <x:row r="477">
      <x:c r="A477" t="str">
        <x:v>EV-2026-472</x:v>
      </x:c>
      <x:c r="B477" t="str">
        <x:v>EEI-2026-019</x:v>
      </x:c>
      <x:c r="C477" s="21" t="d">
        <x:v>2026-10-13T11:58:45.000Z</x:v>
      </x:c>
      <x:c r="D477" t="str">
        <x:v>Acquisition and dilution contradiction</x:v>
      </x:c>
      <x:c r="E477" t="str">
        <x:v>IonQ / Reuters</x:v>
      </x:c>
      <x:c r="F477" t="str">
        <x:v>Primary issuer plus independent reporting</x:v>
      </x:c>
      <x:c r="G477" s="44" t="str">
        <x:v>https://www.ionq.com/news/ionq-to-acquire-elisity-to-accelerate-zero-trust-for-the-quantum-era</x:v>
      </x:c>
      <x:c r="H477" s="44" t="str">
        <x:v>IonQ agreed to acquire Elisity for up to $1.3B in stock plus a $150M earnout; disclosed revenue was not provided.</x:v>
      </x:c>
      <x:c r="I477" s="44" t="str">
        <x:v>Material dilution, integration and capital-allocation risk</x:v>
      </x:c>
      <x:c r="J477" s="44" t="n">
        <x:v>5</x:v>
      </x:c>
      <x:c r="K477" s="44" t="str">
        <x:v>Reuters confirmation: https://www.reuters.com/legal/transactional/ionq-buy-cybersecurity-firm-elisity-up-13-billion-deal-2026-10-12/</x:v>
      </x:c>
    </x:row>
    <x:row r="478">
      <x:c r="A478" t="str">
        <x:v>EV-2026-473</x:v>
      </x:c>
      <x:c r="B478" t="str">
        <x:v>EEI-2026-017</x:v>
      </x:c>
      <x:c r="C478" s="21" t="d">
        <x:v>2026-10-13T11:58:45.000Z</x:v>
      </x:c>
      <x:c r="D478" t="str">
        <x:v>Motley Fool repeat trigger</x:v>
      </x:c>
      <x:c r="E478" t="str">
        <x:v>The Motley Fool — James Brumley</x:v>
      </x:c>
      <x:c r="F478" t="str">
        <x:v>Free editorial trigger; not confirmation</x:v>
      </x:c>
      <x:c r="G478" s="44" t="str">
        <x:v>https://www.fool.com/investing/2026/10/13/constellation-google-upgrades-vistra-nuclear/</x:v>
      </x:c>
      <x:c r="H478" s="44" t="str">
        <x:v>Published October 13 at 6:45 a.m. ET; compared CEG's Google uprates with VST's nuclear plan using already logged announcements.</x:v>
      </x:c>
      <x:c r="I478" s="44" t="str">
        <x:v>No new evidence or thesis change</x:v>
      </x:c>
      <x:c r="J478" s="44" t="n">
        <x:v>2</x:v>
      </x:c>
      <x:c r="K478" s="44" t="str">
        <x:v>Free editorial, not a paid recommendation. Author owns Alphabet; Motley Fool owns/recommends Alphabet, Amazon, CEG, Meta and VST. Promotional framing was excluded.</x:v>
      </x:c>
    </x:row>
    <x:row r="479">
      <x:c r="A479" t="str">
        <x:v>EV-2026-474</x:v>
      </x:c>
      <x:c r="B479"/>
      <x:c r="C479" s="21" t="d">
        <x:v>2026-10-13T11:58:45.000Z</x:v>
      </x:c>
      <x:c r="D479" t="str">
        <x:v>Rejected Motley Fool consumer basket</x:v>
      </x:c>
      <x:c r="E479" t="str">
        <x:v>The Motley Fool — Micah Zimmerman</x:v>
      </x:c>
      <x:c r="F479" t="str">
        <x:v>Free editorial trigger; not confirmation</x:v>
      </x:c>
      <x:c r="G479" s="44" t="str">
        <x:v>https://www.fool.com/investing/2026/10/13/want-passive-income-beaten-consumer-stocks/</x:v>
      </x:c>
      <x:c r="H479" s="44" t="str">
        <x:v>Published October 13 at 5:35 a.m. ET; suggested GIS, TAP, HRL and CLX on yield and depressed valuation, without a new operating catalyst.</x:v>
      </x:c>
      <x:c r="I479" s="44" t="str">
        <x:v>Rejected as a new thesis</x:v>
      </x:c>
      <x:c r="J479" s="44" t="n">
        <x:v>2</x:v>
      </x:c>
      <x:c r="K479" s="44" t="str">
        <x:v>Author and Motley Fool disclosed no positions. Free editorial, not a paid recommendation; expected variable was mean reversion and dividend income over years.</x:v>
      </x:c>
    </x:row>
    <x:row r="480">
      <x:c r="A480" t="str">
        <x:v>EV-2026-475</x:v>
      </x:c>
      <x:c r="B480"/>
      <x:c r="C480" s="21" t="d">
        <x:v>2026-10-13T11:58:45.000Z</x:v>
      </x:c>
      <x:c r="D480" t="str">
        <x:v>Rejected Motley Fool portfolio article</x:v>
      </x:c>
      <x:c r="E480" t="str">
        <x:v>The Motley Fool — Bram Berkowitz</x:v>
      </x:c>
      <x:c r="F480" t="str">
        <x:v>Free editorial trigger; not confirmation</x:v>
      </x:c>
      <x:c r="G480" s="44" t="str">
        <x:v>https://www.fool.com/investing/2026/10/13/greg-abel-reshaping-berkshire-hathaway-portfolio/</x:v>
      </x:c>
      <x:c r="H480" s="44" t="str">
        <x:v>Published October 13 at 4:30 a.m. ET; reviewed Berkshire portfolio changes without a distinct new issuer catalyst.</x:v>
      </x:c>
      <x:c r="I480" s="44" t="str">
        <x:v>Rejected as a new thesis</x:v>
      </x:c>
      <x:c r="J480" s="44" t="n">
        <x:v>2</x:v>
      </x:c>
      <x:c r="K480" s="44" t="str">
        <x:v>Free editorial, not a paid recommendation. Conflicts were disclosed at article end; no premium pick was inferred.</x:v>
      </x:c>
    </x:row>
    <x:row r="481">
      <x:c r="A481" t="str">
        <x:v>EV-2026-476</x:v>
      </x:c>
      <x:c r="B481" t="str">
        <x:v>EEI-2026-001</x:v>
      </x:c>
      <x:c r="C481" s="21" t="n">
        <x:v>46308.833333333336</x:v>
      </x:c>
      <x:c r="D481" t="str">
        <x:v>Paper-trade outcome</x:v>
      </x:c>
      <x:c r="E481" t="str">
        <x:v>S&amp;P Global Market Intelligence via StockAnalysis</x:v>
      </x:c>
      <x:c r="F481" t="str">
        <x:v>Official regular-session closing market data</x:v>
      </x:c>
      <x:c r="G481" s="44" t="str">
        <x:v>https://stockanalysis.com/etf/bno/</x:v>
      </x:c>
      <x:c r="H481" s="44" t="str">
        <x:v>BNO closed October 13 at $65.10 versus the $57.21 September 8 opening entry. The $1,000 fractional-share paper position was worth $1137.91, up $137.91 (+13.79%).</x:v>
      </x:c>
      <x:c r="I481" s="44" t="str">
        <x:v>Direct Brent expression remains the strongest cumulative position</x:v>
      </x:c>
      <x:c r="J481" s="44" t="n">
        <x:v>5</x:v>
      </x:c>
      <x:c r="K481" s="44" t="str">
        <x:v>BNO finished nearly flat for the session; this is a hypothetical paper position.</x:v>
      </x:c>
    </x:row>
    <x:row r="482">
      <x:c r="A482" t="str">
        <x:v>EV-2026-477</x:v>
      </x:c>
      <x:c r="B482" t="str">
        <x:v>EEI-2026-001</x:v>
      </x:c>
      <x:c r="C482" s="21" t="n">
        <x:v>46308.833333333336</x:v>
      </x:c>
      <x:c r="D482" t="str">
        <x:v>Paper-trade outcome</x:v>
      </x:c>
      <x:c r="E482" t="str">
        <x:v>S&amp;P Global Market Intelligence via StockAnalysis</x:v>
      </x:c>
      <x:c r="F482" t="str">
        <x:v>Official regular-session closing market data</x:v>
      </x:c>
      <x:c r="G482" s="44" t="str">
        <x:v>https://stockanalysis.com/etf/uso/</x:v>
      </x:c>
      <x:c r="H482" s="44" t="str">
        <x:v>USO closed October 13 at $153.09 versus the $144.60 September 8 opening entry. The $1,000 fractional-share paper position was worth $1058.71, up $58.71 (+5.87%).</x:v>
      </x:c>
      <x:c r="I482" s="44" t="str">
        <x:v>WTI expression remains profitable but trails BNO</x:v>
      </x:c>
      <x:c r="J482" s="44" t="n">
        <x:v>5</x:v>
      </x:c>
      <x:c r="K482" s="44" t="str">
        <x:v>USO gained 1.36% for the session; this is a hypothetical paper position.</x:v>
      </x:c>
    </x:row>
    <x:row r="483">
      <x:c r="A483" t="str">
        <x:v>EV-2026-478</x:v>
      </x:c>
      <x:c r="B483" t="str">
        <x:v>EEI-2026-001</x:v>
      </x:c>
      <x:c r="C483" s="21" t="n">
        <x:v>46308.833333333336</x:v>
      </x:c>
      <x:c r="D483" t="str">
        <x:v>Paper-trade outcome</x:v>
      </x:c>
      <x:c r="E483" t="str">
        <x:v>S&amp;P Global Market Intelligence via StockAnalysis</x:v>
      </x:c>
      <x:c r="F483" t="str">
        <x:v>Official regular-session closing market data</x:v>
      </x:c>
      <x:c r="G483" s="44" t="str">
        <x:v>https://stockanalysis.com/etf/xop/</x:v>
      </x:c>
      <x:c r="H483" s="44" t="str">
        <x:v>XOP closed October 13 at $199.82 versus the $193.84 September 8 opening entry. The $1,000 fractional-share paper position was worth $1030.85, up $30.85 (+3.09%).</x:v>
      </x:c>
      <x:c r="I483" s="44" t="str">
        <x:v>Producer-equity expression moved clearly above entry but still trails direct crude exposure</x:v>
      </x:c>
      <x:c r="J483" s="44" t="n">
        <x:v>5</x:v>
      </x:c>
      <x:c r="K483" s="44" t="str">
        <x:v>XOP gained 2.85% for the session; this is a hypothetical paper position.</x:v>
      </x:c>
    </x:row>
    <x:row r="484">
      <x:c r="A484" t="str">
        <x:v>EV-2026-479</x:v>
      </x:c>
      <x:c r="B484" t="str">
        <x:v>EEI-2026-001</x:v>
      </x:c>
      <x:c r="C484" s="21" t="n">
        <x:v>46308.833333333336</x:v>
      </x:c>
      <x:c r="D484" t="str">
        <x:v>Post-horizon market and attack-risk evidence</x:v>
      </x:c>
      <x:c r="E484" t="str">
        <x:v>Reuters</x:v>
      </x:c>
      <x:c r="F484" t="str">
        <x:v>High-quality reporting and settlement data</x:v>
      </x:c>
      <x:c r="G484" s="44" t="str">
        <x:v>https://www.reuters.com/business/energy/oil-ticks-lower-russia-diesel-supply-prospects-counter-gulf-supply-risks-2026-10-13/</x:v>
      </x:c>
      <x:c r="H484" s="44" t="str">
        <x:v>Brent settled October 13 at $105.69, down 0.9%, while WTI rose 0.4% to $94.14, its highest close since September 24. Gulf infrastructure and shipping risk remained elevated after attacks in Saudi Arabia and Yemen and reports of booms near Saudi Aramco headquarters.</x:v>
      </x:c>
      <x:c r="I484" s="44" t="str">
        <x:v>Confirms continuing attack and logistics risk, with a mixed benchmark-price response</x:v>
      </x:c>
      <x:c r="J484" s="44" t="n">
        <x:v>5</x:v>
      </x:c>
      <x:c r="K484" s="44" t="str">
        <x:v>Prospective Russian diesel supply and higher Saudi output offset some supply concern. The mixed settlement does not change the completed September 18 evaluation.</x:v>
      </x:c>
    </x:row>
    <x:row r="485">
      <x:c r="A485" t="str">
        <x:v>EV-2026-480</x:v>
      </x:c>
      <x:c r="B485" t="str">
        <x:v>EEI-2026-001</x:v>
      </x:c>
      <x:c r="C485" s="21" t="n">
        <x:v>46308.833333333336</x:v>
      </x:c>
      <x:c r="D485" t="str">
        <x:v>Post-horizon production and demand counterevidence</x:v>
      </x:c>
      <x:c r="E485" t="str">
        <x:v>Reuters / OPEC</x:v>
      </x:c>
      <x:c r="F485" t="str">
        <x:v>Official producer-group data independently reported</x:v>
      </x:c>
      <x:c r="G485" s="44" t="str">
        <x:v>https://www.reuters.com/business/energy/opec-raises-2027-oil-demand-view-citing-need-rebuild-stocks-2026-10-13/</x:v>
      </x:c>
      <x:c r="H485" s="44" t="str">
        <x:v>OPEC reported September OPEC+ production of 39.07 million bpd, up about 900,000 bpd from August. Saudi Arabia reported an increase of more than 2 million bpd to 8.372 million bpd. OPEC cut 2026 demand growth to 180,000 bpd while raising its 2027 replenishment view.</x:v>
      </x:c>
      <x:c r="I485" s="44" t="str">
        <x:v>Strong counterevidence to an extended crude shortage despite unresolved security risk</x:v>
      </x:c>
      <x:c r="J485" s="44" t="n">
        <x:v>5</x:v>
      </x:c>
      <x:c r="K485" s="44" t="str">
        <x:v>Middle East supply has recovered substantially, although shipments remain below prewar levels and shipping security remains costly. The original formal horizon and frozen outcome remain unchanged.</x:v>
      </x:c>
    </x:row>
    <x:row r="486">
      <x:c r="A486" t="str">
        <x:v>EV-2026-481</x:v>
      </x:c>
      <x:c r="B486"/>
      <x:c r="C486" s="21" t="d">
        <x:v>2026-10-13T11:58:45.000Z</x:v>
      </x:c>
      <x:c r="D486" t="str">
        <x:v>Federal award screen</x:v>
      </x:c>
      <x:c r="E486" t="str">
        <x:v>Department of War / USAspending.gov</x:v>
      </x:c>
      <x:c r="F486" t="str">
        <x:v>Primary government records</x:v>
      </x:c>
      <x:c r="G486" s="44" t="str">
        <x:v>https://www.war.gov/News/Contracts/</x:v>
      </x:c>
      <x:c r="H486" s="44" t="str">
        <x:v>No new October 13 public-company award with complete, unexpected and material terms was posted by scan cutoff; the IonQ item is a separately announced DARPA Stage C agreement with obligation details undisclosed.</x:v>
      </x:c>
      <x:c r="I486" s="44" t="str">
        <x:v>No additional government-spending thesis</x:v>
      </x:c>
      <x:c r="J486" s="44" t="n">
        <x:v>4</x:v>
      </x:c>
      <x:c r="K486" s="44" t="str">
        <x:v>No routine modification was promoted to a new award. Posting lag remains possible and will be rechecked.</x:v>
      </x:c>
    </x:row>
    <x:row r="487">
      <x:c r="A487" t="str">
        <x:v>EV-2026-482</x:v>
      </x:c>
      <x:c r="B487"/>
      <x:c r="C487" s="21" t="d">
        <x:v>2026-10-13T11:58:45.000Z</x:v>
      </x:c>
      <x:c r="D487" t="str">
        <x:v>Candidate-queue checkpoint</x:v>
      </x:c>
      <x:c r="E487" t="str">
        <x:v>SEC EDGAR and issuer investor-relations records</x:v>
      </x:c>
      <x:c r="F487" t="str">
        <x:v>Primary regulatory and issuer records</x:v>
      </x:c>
      <x:c r="G487" s="44" t="str">
        <x:v>https://www.sec.gov/edgar/search/</x:v>
      </x:c>
      <x:c r="H487" s="44" t="str">
        <x:v>BMY produced thesis-changing Phase 3 evidence and was updated separately. LULU and AVAV had no new primary operating or accounting evidence sufficient to change stage, confidence, edge or Entry Window.</x:v>
      </x:c>
      <x:c r="I487" s="44" t="str">
        <x:v>LULU and AVAV unchanged</x:v>
      </x:c>
      <x:c r="J487" s="44" t="n">
        <x:v>5</x:v>
      </x:c>
      <x:c r="K487" s="44" t="str">
        <x:v>No real trade was recommended or executed.</x:v>
      </x:c>
    </x:row>
    <x:row r="488">
      <x:c r="A488" t="str">
        <x:v>EV-2026-483</x:v>
      </x:c>
      <x:c r="B488" t="str">
        <x:v>EEI-2026-017</x:v>
      </x:c>
      <x:c r="C488" s="21" t="d">
        <x:v>2026-10-13T11:58:45.000Z</x:v>
      </x:c>
      <x:c r="D488" t="str">
        <x:v>Grid-demand and regulatory update</x:v>
      </x:c>
      <x:c r="E488" t="str">
        <x:v>Reuters / FERC / PJM</x:v>
      </x:c>
      <x:c r="F488" t="str">
        <x:v>High-quality reporting on regulatory action</x:v>
      </x:c>
      <x:c r="G488" s="44" t="str">
        <x:v>https://www.reuters.com/business/energy/us-panel-approves-pjms-registry-data-centers-rejects-plan-curtail-power-them-2026-10-12/</x:v>
      </x:c>
      <x:c r="H488" s="44" t="str">
        <x:v>FERC approved PJM's large-load registry but rejected the curtailment plan; PJM forecasts data-center demand to triple to about 29 GW by 2030 against a 6.8 GW capacity shortfall.</x:v>
      </x:c>
      <x:c r="I488" s="44" t="str">
        <x:v>Supports power-demand mechanism; regulatory and reliability risk remain</x:v>
      </x:c>
      <x:c r="J488" s="44" t="n">
        <x:v>5</x:v>
      </x:c>
      <x:c r="K488" s="44" t="str">
        <x:v>Demand evidence supports existing CEG/VST theses but does not change their stage or Entry Window.</x:v>
      </x:c>
    </x:row>
    <x:row r="489">
      <x:c r="A489" t="str">
        <x:v>EV-2026-484</x:v>
      </x:c>
      <x:c r="B489" t="str">
        <x:v>EEI-2026-020</x:v>
      </x:c>
      <x:c r="C489" s="21" t="d">
        <x:v>2026-10-13T10:12:00.000Z</x:v>
      </x:c>
      <x:c r="D489" t="str">
        <x:v>Motley Fool trigger</x:v>
      </x:c>
      <x:c r="E489" t="str">
        <x:v>The Motley Fool — Daniel Foelber</x:v>
      </x:c>
      <x:c r="F489" t="str">
        <x:v>Free editorial trigger; not confirmation</x:v>
      </x:c>
      <x:c r="G489" s="44" t="str">
        <x:v>https://www.fool.com/investing/2026/10/13/asml-earnings-6-numbers-long-term-investors-should/</x:v>
      </x:c>
      <x:c r="H489" s="44" t="str">
        <x:v>Published October 13 at 6:12 a.m. ET; proposed ASML as a long-term AI growth stock and identified system mix, EUV/High-NA, gross margin, installed-base service and capacity as the economic tests.</x:v>
      </x:c>
      <x:c r="I489" s="44" t="str">
        <x:v>Escalated only after primary results confirmed catalyst and materiality</x:v>
      </x:c>
      <x:c r="J489" s="44" t="n">
        <x:v>2</x:v>
      </x:c>
      <x:c r="K489" s="44" t="str">
        <x:v>Free editorial, not an official paid-service recommendation. Author owns ASML, Broadcom and Nvidia; Motley Fool owns and recommends ASML and several semiconductor names. Claimed horizon was long term; article acknowledged a 65.4% YTD rise and 41.3x forward earnings.</x:v>
      </x:c>
    </x:row>
    <x:row r="490">
      <x:c r="A490" t="str">
        <x:v>EV-2026-485</x:v>
      </x:c>
      <x:c r="B490" t="str">
        <x:v>EEI-2026-020</x:v>
      </x:c>
      <x:c r="C490" s="21" t="d">
        <x:v>2026-10-14T12:01:57.000Z</x:v>
      </x:c>
      <x:c r="D490" t="str">
        <x:v>Quarterly financial and capacity confirmation</x:v>
      </x:c>
      <x:c r="E490" t="str">
        <x:v>ASML</x:v>
      </x:c>
      <x:c r="F490" t="str">
        <x:v>Primary issuer record</x:v>
      </x:c>
      <x:c r="G490" s="44" t="str">
        <x:v>https://investor.asml.com/news-releases/news-release-details/asml-reports-eu11.7-billion-total-net-sales-and-eu5.0-billion-net-income-q3-2026</x:v>
      </x:c>
      <x:c r="H490" s="44" t="str">
        <x:v>Q3 sales were €11.662B, gross margin 57.5%, net income €4.960B and new systems sold 113; Q4 sales guidance was €14.2-€15.2B and FY2026 sales guidance €44-€45B. Management said planned 2027-2028 supply is insufficient for customer forecasts.</x:v>
      </x:c>
      <x:c r="I490" s="44" t="str">
        <x:v>Opens Strong thesis; fundamental mechanism confirmed</x:v>
      </x:c>
      <x:c r="J490" s="44" t="n">
        <x:v>5</x:v>
      </x:c>
      <x:c r="K490" s="44" t="str">
        <x:v>Customer forecasts are not firm orders. ASML highlighted export-control, customer-capex, cancellation, supply-chain and capacity risks.</x:v>
      </x:c>
    </x:row>
    <x:row r="491">
      <x:c r="A491" t="str">
        <x:v>EV-2026-486</x:v>
      </x:c>
      <x:c r="B491" t="str">
        <x:v>EEI-2026-020</x:v>
      </x:c>
      <x:c r="C491" s="21" t="d">
        <x:v>2026-10-14T12:01:57.000Z</x:v>
      </x:c>
      <x:c r="D491" t="str">
        <x:v>Independent results and market reaction</x:v>
      </x:c>
      <x:c r="E491" t="str">
        <x:v>Reuters</x:v>
      </x:c>
      <x:c r="F491" t="str">
        <x:v>High-quality independent reporting</x:v>
      </x:c>
      <x:c r="G491" s="44" t="str">
        <x:v>https://www.reuters.com/business/asml-forecasts-q4-sales-above-expectations-ai-chip-demand-2026-10-14/</x:v>
      </x:c>
      <x:c r="H491" s="44" t="str">
        <x:v>Reuters confirmed above-consensus Q4 guidance and AI demand extending into 2027-2028; European shares rose roughly 2% early after gaining nearly 70% year to date.</x:v>
      </x:c>
      <x:c r="I491" s="44" t="str">
        <x:v>Independent confirmation; limited fresh market edge</x:v>
      </x:c>
      <x:c r="J491" s="44" t="n">
        <x:v>5</x:v>
      </x:c>
      <x:c r="K491" s="44" t="str">
        <x:v>A modest reaction after a large prior rerating argues against chasing the headline.</x:v>
      </x:c>
    </x:row>
    <x:row r="492">
      <x:c r="A492" t="str">
        <x:v>EV-2026-487</x:v>
      </x:c>
      <x:c r="B492" t="str">
        <x:v>EEI-2026-020</x:v>
      </x:c>
      <x:c r="C492" s="21" t="d">
        <x:v>2026-10-14T12:01:57.000Z</x:v>
      </x:c>
      <x:c r="D492" t="str">
        <x:v>Valuation and policy contradiction</x:v>
      </x:c>
      <x:c r="E492" t="str">
        <x:v>StockAnalysis / Reuters</x:v>
      </x:c>
      <x:c r="F492" t="str">
        <x:v>Independent market data and reporting</x:v>
      </x:c>
      <x:c r="G492" s="44" t="str">
        <x:v>https://stockanalysis.com/stocks/asml/statistics/</x:v>
      </x:c>
      <x:c r="H492" s="44" t="str">
        <x:v>ASML traded near 53.5x trailing and about 30x forward earnings; export-control proposals and China's localization efforts remain material threats to DUV demand.</x:v>
      </x:c>
      <x:c r="I492" s="44" t="str">
        <x:v>Limits trading edge and keeps Entry Window WAIT</x:v>
      </x:c>
      <x:c r="J492" s="44" t="n">
        <x:v>4</x:v>
      </x:c>
      <x:c r="K492" s="44" t="str">
        <x:v>Reuters policy context: https://www.reuters.com/business/asml-cfo-warns-against-proposed-us-curbs-chipmaking-tool-sales-china-2026-10-14/</x:v>
      </x:c>
    </x:row>
    <x:row r="493">
      <x:c r="A493" t="str">
        <x:v>EV-2026-488</x:v>
      </x:c>
      <x:c r="B493" t="str">
        <x:v>EEI-2026-011</x:v>
      </x:c>
      <x:c r="C493" s="21" t="d">
        <x:v>2026-10-14T12:01:57.000Z</x:v>
      </x:c>
      <x:c r="D493" t="str">
        <x:v>Shipping disruption and crude-market update</x:v>
      </x:c>
      <x:c r="E493" t="str">
        <x:v>Reuters</x:v>
      </x:c>
      <x:c r="F493" t="str">
        <x:v>High-quality independent reporting</x:v>
      </x:c>
      <x:c r="G493" s="44" t="str">
        <x:v>https://www.reuters.com/business/energy/oil-prices-climb-traders-weigh-saudi-supply-risk-russian-diesel-flow-2026-10-14/</x:v>
      </x:c>
      <x:c r="H493" s="44" t="str">
        <x:v>Iranian officials acknowledged new ship-targeting tactics; a tanker and container vessel were hit and a mine strike sank a ship. Brent was near $106.60 and WTI near $95.79.</x:v>
      </x:c>
      <x:c r="I493" s="44" t="str">
        <x:v>Strengthens physical disruption; Entry Window remains WAIT</x:v>
      </x:c>
      <x:c r="J493" s="44" t="n">
        <x:v>5</x:v>
      </x:c>
      <x:c r="K493" s="44" t="str">
        <x:v>Regional exports have held up and the Aramco damage was limited, preserving a normalization path.</x:v>
      </x:c>
    </x:row>
    <x:row r="494">
      <x:c r="A494" t="str">
        <x:v>EV-2026-489</x:v>
      </x:c>
      <x:c r="B494" t="str">
        <x:v>EEI-2026-009</x:v>
      </x:c>
      <x:c r="C494" s="21" t="d">
        <x:v>2026-10-14T12:01:57.000Z</x:v>
      </x:c>
      <x:c r="D494" t="str">
        <x:v>Refined-product balance update</x:v>
      </x:c>
      <x:c r="E494" t="str">
        <x:v>IEA via Reuters</x:v>
      </x:c>
      <x:c r="F494" t="str">
        <x:v>High-quality independent reporting</x:v>
      </x:c>
      <x:c r="G494" s="44" t="str">
        <x:v>https://www.reuters.com/business/energy/oil-prices-climb-traders-weigh-saudi-supply-risk-russian-diesel-flow-2026-10-14/</x:v>
      </x:c>
      <x:c r="H494" s="44" t="str">
        <x:v>The IEA said Russian diesel easing was unlikely to materially change the gasoil balance because damaged refining capacity remains limiting; constrained diesel supply could persist into 2027.</x:v>
      </x:c>
      <x:c r="I494" s="44" t="str">
        <x:v>Strengthens scarcity variable; no Entry Window change</x:v>
      </x:c>
      <x:c r="J494" s="44" t="n">
        <x:v>5</x:v>
      </x:c>
      <x:c r="K494" s="44" t="str">
        <x:v>Russian policy relief and stable crude exports remain meaningful contradictions.</x:v>
      </x:c>
    </x:row>
    <x:row r="495">
      <x:c r="A495" t="str">
        <x:v>EV-2026-490</x:v>
      </x:c>
      <x:c r="B495" t="str">
        <x:v>EEI-2026-003</x:v>
      </x:c>
      <x:c r="C495" s="21" t="d">
        <x:v>2026-10-14T12:01:57.000Z</x:v>
      </x:c>
      <x:c r="D495" t="str">
        <x:v>House spending and race-map shift</x:v>
      </x:c>
      <x:c r="E495" t="str">
        <x:v>Associated Press</x:v>
      </x:c>
      <x:c r="F495" t="str">
        <x:v>High-quality independent reporting</x:v>
      </x:c>
      <x:c r="G495" s="44" t="str">
        <x:v>https://apnews.com/article/midterms-republicans-democrats-senate-house-cdd95df350c648d19e60cb3ecea42138</x:v>
      </x:c>
      <x:c r="H495" s="44" t="str">
        <x:v>Republican super PAC cancellations in four House races and Democratic expansion toward about a dozen additional targets strengthen the House-control branch; Senate spending remains defensive in several states.</x:v>
      </x:c>
      <x:c r="I495" s="44" t="str">
        <x:v>Strengthens political branch; no market entry</x:v>
      </x:c>
      <x:c r="J495" s="44" t="n">
        <x:v>5</x:v>
      </x:c>
      <x:c r="K495" s="44" t="str">
        <x:v>Outside spending is not voting, and Senate control remains structurally difficult.</x:v>
      </x:c>
    </x:row>
    <x:row r="496">
      <x:c r="A496" t="str">
        <x:v>EV-2026-491</x:v>
      </x:c>
      <x:c r="B496" t="str">
        <x:v>EEI-2026-003</x:v>
      </x:c>
      <x:c r="C496" s="21" t="d">
        <x:v>2026-10-14T12:01:57.000Z</x:v>
      </x:c>
      <x:c r="D496" t="str">
        <x:v>Conditional policy agenda</x:v>
      </x:c>
      <x:c r="E496" t="str">
        <x:v>Associated Press</x:v>
      </x:c>
      <x:c r="F496" t="str">
        <x:v>High-quality independent reporting</x:v>
      </x:c>
      <x:c r="G496" s="44" t="str">
        <x:v>https://apnews.com/article/midterm-elections-democrats-affordability-corruption-018019529b14a6b3bc4a343a4e17c44f</x:v>
      </x:c>
      <x:c r="H496" s="44" t="str">
        <x:v>Democrats outlined ACA subsidies, Medicaid reversals, tariff challenges, war-powers votes and oversight as early priorities if they win the House.</x:v>
      </x:c>
      <x:c r="I496" s="44" t="str">
        <x:v>Clarifies causal policy map; does not determine passage</x:v>
      </x:c>
      <x:c r="J496" s="44" t="n">
        <x:v>5</x:v>
      </x:c>
      <x:c r="K496" s="44" t="str">
        <x:v>Senate control, majority size and presidential vetoes constrain implementation.</x:v>
      </x:c>
    </x:row>
    <x:row r="497">
      <x:c r="A497" t="str">
        <x:v>EV-2026-492</x:v>
      </x:c>
      <x:c r="B497" t="str">
        <x:v>EEI-2026-003</x:v>
      </x:c>
      <x:c r="C497" s="21" t="d">
        <x:v>2026-10-14T12:01:57.000Z</x:v>
      </x:c>
      <x:c r="D497" t="str">
        <x:v>Prediction-market positioning</x:v>
      </x:c>
      <x:c r="E497" t="str">
        <x:v>Reuters</x:v>
      </x:c>
      <x:c r="F497" t="str">
        <x:v>High-quality independent reporting</x:v>
      </x:c>
      <x:c r="G497" s="44" t="str">
        <x:v>https://www.reuters.com/legal/government/inside-booming-market-us-midterm-election-bets-2026-10-14/</x:v>
      </x:c>
      <x:c r="H497" s="44" t="str">
        <x:v>Congressional prediction-market volume reached about $220M versus $92M in the 2024 cycle, but the top 1% of wallets accounted for roughly 70% of volume.</x:v>
      </x:c>
      <x:c r="I497" s="44" t="str">
        <x:v>Observable positioning with severe concentration modifier</x:v>
      </x:c>
      <x:c r="J497" s="44" t="n">
        <x:v>4</x:v>
      </x:c>
      <x:c r="K497" s="44" t="str">
        <x:v>Concentrated volume prevents treating market odds as independent broad confirmation.</x:v>
      </x:c>
    </x:row>
    <x:row r="498">
      <x:c r="A498" t="str">
        <x:v>EV-2026-493</x:v>
      </x:c>
      <x:c r="B498"/>
      <x:c r="C498" s="21" t="d">
        <x:v>2026-10-14T12:01:57.000Z</x:v>
      </x:c>
      <x:c r="D498" t="str">
        <x:v>New federal strategic-communications IDIQ</x:v>
      </x:c>
      <x:c r="E498" t="str">
        <x:v>Department of War</x:v>
      </x:c>
      <x:c r="F498" t="str">
        <x:v>Primary government award announcement</x:v>
      </x:c>
      <x:c r="G498" s="44" t="str">
        <x:v>https://www.war.gov/News/Contracts/Contract/Article/4624853/contracts-for-oct-13-2026/</x:v>
      </x:c>
      <x:c r="H498" s="44" t="str">
        <x:v>Recipient/parent: Raytheon Company/RTX; agency: Air Force Nuclear Weapons Center; action: new sole-source cost-plus-fixed-fee IDIQ; maximum potential value $8.0B; initial obligation $800K FY2026 RDT&amp;E; work Marlborough MA and Largo FL; performance through October 12, 2036; award identifier, NAICS and PSC not disclosed.</x:v>
      </x:c>
      <x:c r="I498" s="44" t="str">
        <x:v>Monitor; no new thesis because current funding is immaterial</x:v>
      </x:c>
      <x:c r="J498" s="44" t="n">
        <x:v>5</x:v>
      </x:c>
      <x:c r="K498" s="44" t="str">
        <x:v>Development, modernization and production-restart scope is strategically important, but the ceiling is not funded revenue and the market had no positive same-day confirmation.</x:v>
      </x:c>
    </x:row>
    <x:row r="499">
      <x:c r="A499" t="str">
        <x:v>EV-2026-494</x:v>
      </x:c>
      <x:c r="B499" t="str">
        <x:v>EEI-2026-007</x:v>
      </x:c>
      <x:c r="C499" s="21" t="d">
        <x:v>2026-10-14T12:01:57.000Z</x:v>
      </x:c>
      <x:c r="D499" t="str">
        <x:v>Counter-UAS contract awards</x:v>
      </x:c>
      <x:c r="E499" t="str">
        <x:v>RTX Raytheon</x:v>
      </x:c>
      <x:c r="F499" t="str">
        <x:v>Primary issuer record</x:v>
      </x:c>
      <x:c r="G499" s="44" t="str">
        <x:v>https://www.rtx.com/news/news-center/2026/10/13/rtxs-raytheon-awarded-729-million-in-counter-drone-contracts-for-u-s-qatar-a</x:v>
      </x:c>
      <x:c r="H499" s="44" t="str">
        <x:v>RTX announced $729M across U.S. Army, Qatar and Jordan LIDS awards, including first international KuRFS and Coyote sales. Individual award IDs, current obligations, potential-value split, NAICS/PSC, periods and competition terms were not disclosed.</x:v>
      </x:c>
      <x:c r="I499" s="44" t="str">
        <x:v>Confirms sector demand and AVAV competition; stage unchanged</x:v>
      </x:c>
      <x:c r="J499" s="44" t="n">
        <x:v>5</x:v>
      </x:c>
      <x:c r="K499" s="44" t="str">
        <x:v>About 0.8% of RTX's 2025 sales before revenue timing; meaningful for counter-UAS demand but not independently material enough for a new RTX thesis.</x:v>
      </x:c>
    </x:row>
    <x:row r="500">
      <x:c r="A500" t="str">
        <x:v>EV-2026-495</x:v>
      </x:c>
      <x:c r="B500"/>
      <x:c r="C500" s="21" t="d">
        <x:v>2026-10-14T12:01:57.000Z</x:v>
      </x:c>
      <x:c r="D500" t="str">
        <x:v>Motley Fool bank-dividend idea rejected</x:v>
      </x:c>
      <x:c r="E500" t="str">
        <x:v>The Motley Fool — Dave Kovaleski</x:v>
      </x:c>
      <x:c r="F500" t="str">
        <x:v>Free editorial trigger; not confirmation</x:v>
      </x:c>
      <x:c r="G500" s="44" t="str">
        <x:v>https://www.fool.com/investing/2026/10/14/3-bank-stocks-to-buy-that-raised-their-dividends-a/</x:v>
      </x:c>
      <x:c r="H500" s="44" t="str">
        <x:v>Published October 14 at 5:00 a.m. ET; suggested PNC, Morgan Stanley and Bank of America after previously announced dividend increases, favoring PNC.</x:v>
      </x:c>
      <x:c r="I500" s="44" t="str">
        <x:v>Rejected: no new operating or policy catalyst</x:v>
      </x:c>
      <x:c r="J500" s="44" t="n">
        <x:v>2</x:v>
      </x:c>
      <x:c r="K500" s="44" t="str">
        <x:v>Author and publication disclosed no positions; Bank of America is an advertising partner. Free editorial, not a paid-service recommendation.</x:v>
      </x:c>
    </x:row>
    <x:row r="501">
      <x:c r="A501" t="str">
        <x:v>EV-2026-496</x:v>
      </x:c>
      <x:c r="B501"/>
      <x:c r="C501" s="21" t="d">
        <x:v>2026-10-14T12:01:57.000Z</x:v>
      </x:c>
      <x:c r="D501" t="str">
        <x:v>Motley Fool Apple idea rejected</x:v>
      </x:c>
      <x:c r="E501" t="str">
        <x:v>The Motley Fool — Will Healy / Parkev Tatevosian</x:v>
      </x:c>
      <x:c r="F501" t="str">
        <x:v>Free editorial triggers; not confirmation</x:v>
      </x:c>
      <x:c r="G501" s="44" t="str">
        <x:v>https://www.fool.com/investing/2026/10/14/is-apple-stock-a-buy-during-the-holiday-quarter/</x:v>
      </x:c>
      <x:c r="H501" s="44" t="str">
        <x:v>Two free editorials discussed Apple's holiday cycle, new CEO and weak iPhone indicators without a new primary catalyst or independently established material surprise.</x:v>
      </x:c>
      <x:c r="I501" s="44" t="str">
        <x:v>Rejected as a new thesis</x:v>
      </x:c>
      <x:c r="J501" s="44" t="n">
        <x:v>2</x:v>
      </x:c>
      <x:c r="K501" s="44" t="str">
        <x:v>Authors disclosed no Apple position; Motley Fool owns and recommends Apple. Promotional framing was excluded.</x:v>
      </x:c>
    </x:row>
    <x:row r="502">
      <x:c r="A502" t="str">
        <x:v>EV-2026-497</x:v>
      </x:c>
      <x:c r="B502"/>
      <x:c r="C502" s="21" t="d">
        <x:v>2026-10-14T12:01:57.000Z</x:v>
      </x:c>
      <x:c r="D502" t="str">
        <x:v>Motley Fool stale-position and index ideas rejected</x:v>
      </x:c>
      <x:c r="E502" t="str">
        <x:v>The Motley Fool</x:v>
      </x:c>
      <x:c r="F502" t="str">
        <x:v>Free editorial triggers; not confirmation</x:v>
      </x:c>
      <x:c r="G502" s="44" t="str">
        <x:v>https://www.fool.com/investing/2026/10/14/palantir-peter-thiel-buys-2-ai-stocks-not-nvidia-micron/</x:v>
      </x:c>
      <x:c r="H502" s="44" t="str">
        <x:v>Public articles highlighted Q2 Thiel holdings in Amazon and Vistra and long-run VOO/SCHD historical returns. They did not provide a new primary operating catalyst; VST is already tracked under EEI-2026-015.</x:v>
      </x:c>
      <x:c r="I502" s="44" t="str">
        <x:v>Rejected as new theses; no change to existing VST thesis</x:v>
      </x:c>
      <x:c r="J502" s="44" t="n">
        <x:v>2</x:v>
      </x:c>
      <x:c r="K502" s="44" t="str">
        <x:v>Author and publication conflicts were disclosed in each article; portfolio disclosure and backtested history are not confirmation.</x:v>
      </x:c>
    </x:row>
    <x:row r="503">
      <x:c r="A503" t="str">
        <x:v>EV-2026-498</x:v>
      </x:c>
      <x:c r="B503"/>
      <x:c r="C503" s="21" t="d">
        <x:v>2026-10-14T12:01:57.000Z</x:v>
      </x:c>
      <x:c r="D503" t="str">
        <x:v>Candidate-queue checkpoint</x:v>
      </x:c>
      <x:c r="E503" t="str">
        <x:v>SEC EDGAR and issuer investor-relations records</x:v>
      </x:c>
      <x:c r="F503" t="str">
        <x:v>Primary regulatory and issuer records</x:v>
      </x:c>
      <x:c r="G503" s="44" t="str">
        <x:v>https://www.sec.gov/edgar/search/</x:v>
      </x:c>
      <x:c r="H503" s="44" t="str">
        <x:v>BMY and LULU had no new primary operating evidence sufficient to change stage, confidence, edge or Entry Window. RTX's LIDS awards strengthen AVAV's demand backdrop but also its competition risk; AVAV remains unchanged.</x:v>
      </x:c>
      <x:c r="I503" s="44" t="str">
        <x:v>BMY, LULU and AVAV classifications unchanged</x:v>
      </x:c>
      <x:c r="J503" s="44" t="n">
        <x:v>5</x:v>
      </x:c>
      <x:c r="K503" s="44" t="str">
        <x:v>No real trade was recommended or executed.</x:v>
      </x:c>
    </x:row>
    <x:row r="504">
      <x:c r="A504" t="str">
        <x:v>EV-2026-499</x:v>
      </x:c>
      <x:c r="B504" t="str">
        <x:v>EEI-2026-001</x:v>
      </x:c>
      <x:c r="C504" s="21" t="d">
        <x:v>2026-10-14T20:56:19.000Z</x:v>
      </x:c>
      <x:c r="D504" t="str">
        <x:v>Paper-trade outcome</x:v>
      </x:c>
      <x:c r="E504" t="str">
        <x:v>StockAnalysis</x:v>
      </x:c>
      <x:c r="F504" t="str">
        <x:v>Market data</x:v>
      </x:c>
      <x:c r="G504" s="44" t="str">
        <x:v>https://stockanalysis.com/etf/bno/history/</x:v>
      </x:c>
      <x:c r="H504" s="44" t="str">
        <x:v>BNO closed October 14 at $65.09, versus the fixed September 8 opening entry of $57.21. The $1,000 fractional-share paper position was worth $1,137.74, a gain of $137.74 or 13.77%.</x:v>
      </x:c>
      <x:c r="I504" s="44" t="str">
        <x:v>Confirms direct Brent expression</x:v>
      </x:c>
      <x:c r="J504" s="44" t="n">
        <x:v>4</x:v>
      </x:c>
      <x:c r="K504" s="44" t="str">
        <x:v>Official regular-session close used; totals retain unrounded fractional shares.</x:v>
      </x:c>
    </x:row>
    <x:row r="505">
      <x:c r="A505" t="str">
        <x:v>EV-2026-500</x:v>
      </x:c>
      <x:c r="B505" t="str">
        <x:v>EEI-2026-001</x:v>
      </x:c>
      <x:c r="C505" s="21" t="d">
        <x:v>2026-10-14T20:56:19.000Z</x:v>
      </x:c>
      <x:c r="D505" t="str">
        <x:v>Paper-trade outcome</x:v>
      </x:c>
      <x:c r="E505" t="str">
        <x:v>StockAnalysis</x:v>
      </x:c>
      <x:c r="F505" t="str">
        <x:v>Market data</x:v>
      </x:c>
      <x:c r="G505" s="44" t="str">
        <x:v>https://stockanalysis.com/etf/uso/history/</x:v>
      </x:c>
      <x:c r="H505" s="44" t="str">
        <x:v>USO closed October 14 at $153.56, versus the fixed September 8 opening entry of $144.60. The $1,000 fractional-share paper position was worth $1,061.96, a gain of $61.96 or 6.20%.</x:v>
      </x:c>
      <x:c r="I505" s="44" t="str">
        <x:v>Confirms direct WTI expression</x:v>
      </x:c>
      <x:c r="J505" s="44" t="n">
        <x:v>4</x:v>
      </x:c>
      <x:c r="K505" s="44" t="str">
        <x:v>Official regular-session close used; totals retain unrounded fractional shares.</x:v>
      </x:c>
    </x:row>
    <x:row r="506">
      <x:c r="A506" t="str">
        <x:v>EV-2026-501</x:v>
      </x:c>
      <x:c r="B506" t="str">
        <x:v>EEI-2026-001</x:v>
      </x:c>
      <x:c r="C506" s="21" t="d">
        <x:v>2026-10-14T20:56:19.000Z</x:v>
      </x:c>
      <x:c r="D506" t="str">
        <x:v>Paper-trade outcome</x:v>
      </x:c>
      <x:c r="E506" t="str">
        <x:v>StockAnalysis</x:v>
      </x:c>
      <x:c r="F506" t="str">
        <x:v>Market data</x:v>
      </x:c>
      <x:c r="G506" s="44" t="str">
        <x:v>https://stockanalysis.com/etf/xop/history/</x:v>
      </x:c>
      <x:c r="H506" s="44" t="str">
        <x:v>XOP closed October 14 at $197.84, versus the fixed September 8 opening entry of $193.84. The $1,000 fractional-share paper position was worth $1,020.64, a gain of $20.64 or 2.06%.</x:v>
      </x:c>
      <x:c r="I506" s="44" t="str">
        <x:v>Positive but weakest expression</x:v>
      </x:c>
      <x:c r="J506" s="44" t="n">
        <x:v>4</x:v>
      </x:c>
      <x:c r="K506" s="44" t="str">
        <x:v>Producer equities ended above entry but materially lagged both direct crude funds.</x:v>
      </x:c>
    </x:row>
    <x:row r="507">
      <x:c r="A507" t="str">
        <x:v>EV-2026-502</x:v>
      </x:c>
      <x:c r="B507" t="str">
        <x:v>EEI-2026-001</x:v>
      </x:c>
      <x:c r="C507" s="21" t="d">
        <x:v>2026-10-14T20:56:19.000Z</x:v>
      </x:c>
      <x:c r="D507" t="str">
        <x:v>Market confirmation</x:v>
      </x:c>
      <x:c r="E507" t="str">
        <x:v>Reuters</x:v>
      </x:c>
      <x:c r="F507" t="str">
        <x:v>High-quality independent reporting</x:v>
      </x:c>
      <x:c r="G507" s="44" t="str">
        <x:v>https://www.reuters.com/business/energy/oil-prices-climb-traders-weigh-saudi-supply-risk-russian-diesel-flow-2026-10-14/</x:v>
      </x:c>
      <x:c r="H507" s="44" t="str">
        <x:v>Brent settled October 14 at $106.06 and WTI at $95.09 after a Houthi attack on an Aramco building, renewed attacks on ships near Hormuz and Iran's reported adoption of new ship-targeting tactics.</x:v>
      </x:c>
      <x:c r="I507" s="44" t="str">
        <x:v>Supports persistent crude risk premium</x:v>
      </x:c>
      <x:c r="J507" s="44" t="n">
        <x:v>4</x:v>
      </x:c>
      <x:c r="K507" s="44" t="str">
        <x:v>The limited fire at the Aramco building was not a verified production outage; price support came chiefly from route and escalation risk.</x:v>
      </x:c>
    </x:row>
    <x:row r="508">
      <x:c r="A508" t="str">
        <x:v>EV-2026-503</x:v>
      </x:c>
      <x:c r="B508" t="str">
        <x:v>EEI-2026-001</x:v>
      </x:c>
      <x:c r="C508" s="21" t="d">
        <x:v>2026-10-14T20:56:19.000Z</x:v>
      </x:c>
      <x:c r="D508" t="str">
        <x:v>Contradictory modifier</x:v>
      </x:c>
      <x:c r="E508" t="str">
        <x:v>Reuters / IEA</x:v>
      </x:c>
      <x:c r="F508" t="str">
        <x:v>High-quality reporting citing IEA data</x:v>
      </x:c>
      <x:c r="G508" s="44" t="str">
        <x:v>https://www.reuters.com/business/energy/oil-prices-climb-traders-weigh-saudi-supply-risk-russian-diesel-flow-2026-10-14/</x:v>
      </x:c>
      <x:c r="H508" s="44" t="str">
        <x:v>IEA data showed Middle East Gulf crude exports rose by 4.4 million barrels per day in September to about 75% of pre-war levels; excluding Iran, flows exceeded 81% of pre-war levels.</x:v>
      </x:c>
      <x:c r="I508" s="44" t="str">
        <x:v>Weakens shortage mechanism without invalidating route risk</x:v>
      </x:c>
      <x:c r="J508" s="44" t="n">
        <x:v>4</x:v>
      </x:c>
      <x:c r="K508" s="44" t="str">
        <x:v>Recovered exports demonstrate adaptation and cap the scarcity premium even as shipping attacks and insurance costs remain elevated.</x:v>
      </x:c>
    </x:row>
    <x:row r="509">
      <x:c r="A509" t="str">
        <x:v>EV-2026-504</x:v>
      </x:c>
      <x:c r="B509"/>
      <x:c r="C509" s="21" t="d">
        <x:v>2026-10-15T12:24:12.000Z</x:v>
      </x:c>
      <x:c r="D509" t="str">
        <x:v>Long-duration Treasury safe-haven candidate</x:v>
      </x:c>
      <x:c r="E509" t="str">
        <x:v>Reuters</x:v>
      </x:c>
      <x:c r="F509" t="str">
        <x:v>High-quality independent reporting</x:v>
      </x:c>
      <x:c r="G509" s="44" t="str">
        <x:v>https://www.reuters.com/legal/transactional/is-ai-rout-making-bonds-safe-again-2026-10-15/</x:v>
      </x:c>
      <x:c r="H509" s="44" t="str">
        <x:v>AI-linked equity and credit stress pushed government bonds higher despite hot consumer inflation; the 10-year Treasury yield fell to a three-week low as highly leveraged AI issuers repriced.</x:v>
      </x:c>
      <x:c r="I509" s="44" t="str">
        <x:v>Candidate rejected at current entry; review 2026-10-22</x:v>
      </x:c>
      <x:c r="J509" s="44" t="n">
        <x:v>5</x:v>
      </x:c>
      <x:c r="K509" s="44" t="str">
        <x:v>The move conflicts with persistent inflation and fiscal/term-premium risk. Reuters reported CoreWeave carried roughly $48B of bonds and loans, but credit-default-swap markets can be thin and do not establish a broad default cycle.</x:v>
      </x:c>
    </x:row>
    <x:row r="510">
      <x:c r="A510" t="str">
        <x:v>EV-2026-505</x:v>
      </x:c>
      <x:c r="B510"/>
      <x:c r="C510" s="21" t="d">
        <x:v>2026-10-15T12:30:00.000Z</x:v>
      </x:c>
      <x:c r="D510" t="str">
        <x:v>Producer-price contradiction to duration entry</x:v>
      </x:c>
      <x:c r="E510" t="str">
        <x:v>U.S. Bureau of Labor Statistics</x:v>
      </x:c>
      <x:c r="F510" t="str">
        <x:v>Primary government data</x:v>
      </x:c>
      <x:c r="G510" s="44" t="str">
        <x:v>https://www.bls.gov/ppi/</x:v>
      </x:c>
      <x:c r="H510" s="44" t="str">
        <x:v>September final-demand PPI rose 1.3% month over month and 6.3% year over year; goods rose 2.6% and services 0.8%.</x:v>
      </x:c>
      <x:c r="I510" s="44" t="str">
        <x:v>Rejects a fresh TLT entry today; inflation can reverse the safe-haven rally</x:v>
      </x:c>
      <x:c r="J510" s="44" t="n">
        <x:v>5</x:v>
      </x:c>
      <x:c r="K510" s="44" t="str">
        <x:v>One monthly release can be volatile, but the magnitude materially worsens duration risk and was released after the premarket TLT quote.</x:v>
      </x:c>
    </x:row>
    <x:row r="511">
      <x:c r="A511" t="str">
        <x:v>EV-2026-506</x:v>
      </x:c>
      <x:c r="B511"/>
      <x:c r="C511" s="21" t="d">
        <x:v>2026-10-15T12:30:00.000Z</x:v>
      </x:c>
      <x:c r="D511" t="str">
        <x:v>Retail-sales contradiction to duration entry</x:v>
      </x:c>
      <x:c r="E511" t="str">
        <x:v>U.S. Census Bureau</x:v>
      </x:c>
      <x:c r="F511" t="str">
        <x:v>Primary government data</x:v>
      </x:c>
      <x:c r="G511" s="44" t="str">
        <x:v>https://www.census.gov/retail/sales.html</x:v>
      </x:c>
      <x:c r="H511" s="44" t="str">
        <x:v>September retail and food-services sales were $745.0B, up 0.8% month over month and 6.3% year over year; July-August growth was revised higher.</x:v>
      </x:c>
      <x:c r="I511" s="44" t="str">
        <x:v>Rejects a fresh TLT entry today; demand resilience supports higher-for-longer risk</x:v>
      </x:c>
      <x:c r="J511" s="44" t="n">
        <x:v>5</x:v>
      </x:c>
      <x:c r="K511" s="44" t="str">
        <x:v>Sales are nominal and therefore partly reflect inflation, but the release does not support an immediate growth-collapse thesis.</x:v>
      </x:c>
    </x:row>
    <x:row r="512">
      <x:c r="A512" t="str">
        <x:v>EV-2026-507</x:v>
      </x:c>
      <x:c r="B512"/>
      <x:c r="C512" s="21" t="d">
        <x:v>2026-10-15T12:14:43.000Z</x:v>
      </x:c>
      <x:c r="D512" t="str">
        <x:v>TLT comparison-price baseline</x:v>
      </x:c>
      <x:c r="E512" t="str">
        <x:v>Nasdaq market data / iShares</x:v>
      </x:c>
      <x:c r="F512" t="str">
        <x:v>Public market data and issuer fund record</x:v>
      </x:c>
      <x:c r="G512" s="44" t="str">
        <x:v>https://www.nasdaq.com/market-activity/etf/tlt</x:v>
      </x:c>
      <x:c r="H512" s="44" t="str">
        <x:v>TLT was quoted at $78.89, up 0.65% from the prior close, before the 8:30 a.m. ET PPI and retail-sales releases. Decision: REJECT a paper entry rather than use a stale pre-data quote as an executable fill. Performance checkpoint: October 22, 2026.</x:v>
      </x:c>
      <x:c r="I512" s="44" t="str">
        <x:v>No paper order and no simulated fill</x:v>
      </x:c>
      <x:c r="J512" s="44" t="n">
        <x:v>4</x:v>
      </x:c>
      <x:c r="K512" s="44" t="str">
        <x:v>The quote supplied no bid/ask and predates the two primary macro releases; the ledger also contains no available-cash or portfolio-sizing rule. These are operational constraints, not negative investment evidence.</x:v>
      </x:c>
    </x:row>
    <x:row r="513">
      <x:c r="A513" t="str">
        <x:v>EV-2026-508</x:v>
      </x:c>
      <x:c r="B513"/>
      <x:c r="C513" s="21" t="d">
        <x:v>2026-10-15T12:24:12.000Z</x:v>
      </x:c>
      <x:c r="D513" t="str">
        <x:v>TSMC earnings-beat candidate rejected at current price</x:v>
      </x:c>
      <x:c r="E513" t="str">
        <x:v>TSMC / Reuters</x:v>
      </x:c>
      <x:c r="F513" t="str">
        <x:v>Primary issuer event and high-quality independent reporting</x:v>
      </x:c>
      <x:c r="G513" s="44" t="str">
        <x:v>https://www.reuters.com/world/asia-pacific/tsmc-q3-profit-jumps-69-record-beating-expectations-2026-10-15/</x:v>
      </x:c>
      <x:c r="H513" s="44" t="str">
        <x:v>TSMC reported record Q3 profit of NT$763.1B, up 69% year over year and above expectations, as AI demand remained strong. The U.S. ADR was indicated near $430, down 3.37% at 12:14 UTC.</x:v>
      </x:c>
      <x:c r="I513" s="44" t="str">
        <x:v>Rejected as a new entry; review 2026-10-29</x:v>
      </x:c>
      <x:c r="J513" s="44" t="n">
        <x:v>5</x:v>
      </x:c>
      <x:c r="K513" s="44" t="str">
        <x:v>The company cautioned on 2027 macro uncertainty, the stock had already risen about 44% in 2026 and broader AI-credit stress was repricing the sector. Strong operations did not establish an underpriced entry.</x:v>
      </x:c>
    </x:row>
    <x:row r="514">
      <x:c r="A514" t="str">
        <x:v>EV-2026-509</x:v>
      </x:c>
      <x:c r="B514"/>
      <x:c r="C514" s="21" t="d">
        <x:v>2026-10-15T12:24:12.000Z</x:v>
      </x:c>
      <x:c r="D514" t="str">
        <x:v>October 14 federal contract screen</x:v>
      </x:c>
      <x:c r="E514" t="str">
        <x:v>U.S. Department of War</x:v>
      </x:c>
      <x:c r="F514" t="str">
        <x:v>Primary government award announcement</x:v>
      </x:c>
      <x:c r="G514" s="44" t="str">
        <x:v>https://www.war.gov/News/Contracts/Contract/Article/4625668/contracts-for-oct-14-2026/</x:v>
      </x:c>
      <x:c r="H514" s="44" t="str">
        <x:v>Six announced actions totaled about $754.3M. The $499.8M ceiling IDIQ went to Johns Hopkins APL with no funds obligated at award; the $99.0M Shift5 award went to a private company. Public-company items for Lockheed Martin and Oshkosh were modifications rather than distinct new public-equity catalysts.</x:v>
      </x:c>
      <x:c r="I514" s="44" t="str">
        <x:v>No new public-company thesis</x:v>
      </x:c>
      <x:c r="J514" s="44" t="n">
        <x:v>5</x:v>
      </x:c>
      <x:c r="K514" s="44" t="str">
        <x:v>The official page did not disclose every NAICS/PSC field. Ceiling values are not funded revenue, and the largest awards lacked a direct listed-company expression.</x:v>
      </x:c>
    </x:row>
    <x:row r="515">
      <x:c r="A515" t="str">
        <x:v>EV-2026-510</x:v>
      </x:c>
      <x:c r="B515"/>
      <x:c r="C515" s="21" t="d">
        <x:v>2026-10-15T12:24:12.000Z</x:v>
      </x:c>
      <x:c r="D515" t="str">
        <x:v>Refining-margin candidate rejected after prior rerating</x:v>
      </x:c>
      <x:c r="E515" t="str">
        <x:v>TotalEnergies / Reuters</x:v>
      </x:c>
      <x:c r="F515" t="str">
        <x:v>Issuer operating indicator and high-quality independent reporting</x:v>
      </x:c>
      <x:c r="G515" s="44" t="str">
        <x:v>https://www.reuters.com/business/energy/totalenergies-expects-sharp-rise-third-quarter-earnings-2026-10-15/</x:v>
      </x:c>
      <x:c r="H515" s="44" t="str">
        <x:v>TotalEnergies flagged stronger Q3 earnings as its European refining margin reached $33.2 per barrel and downstream cash flow approached $4B. TTE was indicated at $89.64, up 0.82%, after roughly 45% year-to-date appreciation.</x:v>
      </x:c>
      <x:c r="I515" s="44" t="str">
        <x:v>Rejected as a fresh entry; review after October 29 results</x:v>
      </x:c>
      <x:c r="J515" s="44" t="n">
        <x:v>4</x:v>
      </x:c>
      <x:c r="K515" s="44" t="str">
        <x:v>The catalyst was already broadly reflected in the prior rerating, formal results were still pending, and the expression retains oil-price, geopolitical and integrated-company risks.</x:v>
      </x:c>
    </x:row>
    <x:row r="516">
      <x:c r="A516" t="str">
        <x:v>EV-2026-511</x:v>
      </x:c>
      <x:c r="B516"/>
      <x:c r="C516" s="21" t="d">
        <x:v>2026-10-15T12:24:12.000Z</x:v>
      </x:c>
      <x:c r="D516" t="str">
        <x:v>Broad risk and benchmark checkpoint</x:v>
      </x:c>
      <x:c r="E516" t="str">
        <x:v>Reuters / public market data</x:v>
      </x:c>
      <x:c r="F516" t="str">
        <x:v>High-quality independent reporting and market data</x:v>
      </x:c>
      <x:c r="G516" s="44" t="str">
        <x:v>https://www.reuters.com/world/china/global-markets-wrapup-1-2026-10-15/</x:v>
      </x:c>
      <x:c r="H516" s="44" t="str">
        <x:v>Asian technology indexes fell sharply and AI-linked credit stress widened while government bonds and gold gained. At 12:15 UTC QQQ was indicated down 1.97% and SPY down 1.07%, establishing the day's broad benchmark context.</x:v>
      </x:c>
      <x:c r="I516" s="44" t="str">
        <x:v>Supports caution but not a forced defensive trade</x:v>
      </x:c>
      <x:c r="J516" s="44" t="n">
        <x:v>4</x:v>
      </x:c>
      <x:c r="K516" s="44" t="str">
        <x:v>Premarket indications are not official closes; U.S. regular-session breadth and post-data price discovery were unavailable at scan time.</x:v>
      </x:c>
    </x:row>
    <x:row r="517">
      <x:c r="A517" t="str">
        <x:v>EV-2026-512</x:v>
      </x:c>
      <x:c r="B517" t="str">
        <x:v>EEI-2026-001</x:v>
      </x:c>
      <x:c r="C517" s="21" t="d">
        <x:v>2026-10-15T20:36:40.000Z</x:v>
      </x:c>
      <x:c r="D517" t="str">
        <x:v>Paper-trade outcome</x:v>
      </x:c>
      <x:c r="E517" t="str">
        <x:v>StockAnalysis</x:v>
      </x:c>
      <x:c r="F517" t="str">
        <x:v>Market data</x:v>
      </x:c>
      <x:c r="G517" s="44" t="str">
        <x:v>https://stockanalysis.com/etf/bno/history/</x:v>
      </x:c>
      <x:c r="H517" s="44" t="str">
        <x:v>BNO closed October 15 at $64.87 versus the fixed September 8 opening entry of $57.21. The $1,000 fractional-share paper position was worth $1,133.89, a gain of $133.89 or 13.39%.</x:v>
      </x:c>
      <x:c r="I517" s="44" t="str">
        <x:v>Confirms direct Brent expression</x:v>
      </x:c>
      <x:c r="J517" s="44" t="n">
        <x:v>4</x:v>
      </x:c>
      <x:c r="K517" s="44" t="str">
        <x:v>Official regular-session close used; totals retain unrounded fractional shares.</x:v>
      </x:c>
    </x:row>
    <x:row r="518">
      <x:c r="A518" t="str">
        <x:v>EV-2026-513</x:v>
      </x:c>
      <x:c r="B518" t="str">
        <x:v>EEI-2026-001</x:v>
      </x:c>
      <x:c r="C518" s="21" t="d">
        <x:v>2026-10-15T20:36:40.000Z</x:v>
      </x:c>
      <x:c r="D518" t="str">
        <x:v>Paper-trade outcome</x:v>
      </x:c>
      <x:c r="E518" t="str">
        <x:v>StockAnalysis</x:v>
      </x:c>
      <x:c r="F518" t="str">
        <x:v>Market data</x:v>
      </x:c>
      <x:c r="G518" s="44" t="str">
        <x:v>https://stockanalysis.com/etf/uso/history/</x:v>
      </x:c>
      <x:c r="H518" s="44" t="str">
        <x:v>USO closed October 15 at $157.31 versus the fixed September 8 opening entry of $144.60. The $1,000 fractional-share paper position was worth $1,087.90, a gain of $87.90 or 8.79%.</x:v>
      </x:c>
      <x:c r="I518" s="44" t="str">
        <x:v>Confirms direct WTI expression</x:v>
      </x:c>
      <x:c r="J518" s="44" t="n">
        <x:v>4</x:v>
      </x:c>
      <x:c r="K518" s="44" t="str">
        <x:v>Official regular-session close used; totals retain unrounded fractional shares.</x:v>
      </x:c>
    </x:row>
    <x:row r="519">
      <x:c r="A519" t="str">
        <x:v>EV-2026-514</x:v>
      </x:c>
      <x:c r="B519" t="str">
        <x:v>EEI-2026-001</x:v>
      </x:c>
      <x:c r="C519" s="21" t="d">
        <x:v>2026-10-15T20:36:40.000Z</x:v>
      </x:c>
      <x:c r="D519" t="str">
        <x:v>Paper-trade outcome</x:v>
      </x:c>
      <x:c r="E519" t="str">
        <x:v>StockAnalysis</x:v>
      </x:c>
      <x:c r="F519" t="str">
        <x:v>Market data</x:v>
      </x:c>
      <x:c r="G519" s="44" t="str">
        <x:v>https://stockanalysis.com/etf/xop/history/</x:v>
      </x:c>
      <x:c r="H519" s="44" t="str">
        <x:v>XOP closed October 15 at $194.89 versus the fixed September 8 opening entry of $193.84. The $1,000 fractional-share paper position was worth $1,005.42, a gain of $5.42 or 0.54%.</x:v>
      </x:c>
      <x:c r="I519" s="44" t="str">
        <x:v>Positive but weakest expression</x:v>
      </x:c>
      <x:c r="J519" s="44" t="n">
        <x:v>4</x:v>
      </x:c>
      <x:c r="K519" s="44" t="str">
        <x:v>XOP fell 1.49% on the day despite the WTI rally, reinforcing the imperfect producer-equity mapping.</x:v>
      </x:c>
    </x:row>
    <x:row r="520">
      <x:c r="A520" t="str">
        <x:v>EV-2026-515</x:v>
      </x:c>
      <x:c r="B520" t="str">
        <x:v>EEI-2026-001</x:v>
      </x:c>
      <x:c r="C520" s="21" t="d">
        <x:v>2026-10-15T20:36:40.000Z</x:v>
      </x:c>
      <x:c r="D520" t="str">
        <x:v>Infrastructure-risk confirmation</x:v>
      </x:c>
      <x:c r="E520" t="str">
        <x:v>Reuters investigation</x:v>
      </x:c>
      <x:c r="F520" t="str">
        <x:v>High-quality independent reporting</x:v>
      </x:c>
      <x:c r="G520" s="44" t="str">
        <x:v>https://www.reuters.com/investigates/special-report/iran-crisis-infrastructure-attacks/</x:v>
      </x:c>
      <x:c r="H520" s="44" t="str">
        <x:v>Reuters documented at least 135 Iranian or proxy strikes on at least 84 Gulf infrastructure sites, including damage to Fujairah oil-routing systems and Saudi East-West Pipeline pumping stations that impaired key Hormuz bypass routes.</x:v>
      </x:c>
      <x:c r="I520" s="44" t="str">
        <x:v>Confirms persistence of the disruption mechanism</x:v>
      </x:c>
      <x:c r="J520" s="44" t="n">
        <x:v>5</x:v>
      </x:c>
      <x:c r="K520" s="44" t="str">
        <x:v>The investigation supports lasting route and infrastructure risk; it does not establish a new October 15 production outage.</x:v>
      </x:c>
    </x:row>
    <x:row r="521">
      <x:c r="A521" t="str">
        <x:v>EV-2026-516</x:v>
      </x:c>
      <x:c r="B521" t="str">
        <x:v>EEI-2026-001</x:v>
      </x:c>
      <x:c r="C521" s="21" t="d">
        <x:v>2026-10-15T20:36:40.000Z</x:v>
      </x:c>
      <x:c r="D521" t="str">
        <x:v>Market confirmation and counterweight</x:v>
      </x:c>
      <x:c r="E521" t="str">
        <x:v>Reuters / EIA / IEA</x:v>
      </x:c>
      <x:c r="F521" t="str">
        <x:v>High-quality reporting citing government and agency data</x:v>
      </x:c>
      <x:c r="G521" s="44" t="str">
        <x:v>https://www.reuters.com/business/energy/oil-prices-fall-investors-weigh-supply-outlook-middle-east-tensions-2026-10-15/</x:v>
      </x:c>
      <x:c r="H521" s="44" t="str">
        <x:v>Brent settled October 15 at $105.92 while WTI rose 3.03% to $97.97 after an 8.6-million-barrel U.S. crude draw. Shipping attacks sustained the risk premium, but possible shadow-fleet sanctions relief and an IEA release of more than 20 million diesel barrels added supply-side relief.</x:v>
      </x:c>
      <x:c r="I521" s="44" t="str">
        <x:v>Mixed: confirms risk premium but caps shortage upside</x:v>
      </x:c>
      <x:c r="J521" s="44" t="n">
        <x:v>5</x:v>
      </x:c>
      <x:c r="K521" s="44" t="str">
        <x:v>The WTI move was driven partly by U.S. inventories rather than a fresh global Hormuz supply loss; Reuters noted no energy-infrastructure attack in the preceding several days.</x:v>
      </x:c>
    </x:row>
    <x:row r="522">
      <x:c r="A522" t="str">
        <x:v>EV-2026-517</x:v>
      </x:c>
      <x:c r="B522" t="str">
        <x:v>EEI-2026-021</x:v>
      </x:c>
      <x:c r="C522" s="21" t="d">
        <x:v>2026-10-16T13:05:19.000Z</x:v>
      </x:c>
      <x:c r="D522" t="str">
        <x:v>Travelers third-quarter operating trigger</x:v>
      </x:c>
      <x:c r="E522" t="str">
        <x:v>Travelers / SEC EDGAR</x:v>
      </x:c>
      <x:c r="F522" t="str">
        <x:v>Primary issuer filing</x:v>
      </x:c>
      <x:c r="G522" s="44" t="str">
        <x:v>https://www.sec.gov/Archives/edgar/data/86312/000008631226000180/a991pressrelease93026.htm</x:v>
      </x:c>
      <x:c r="H522" s="44" t="str">
        <x:v>Travelers reported $9.18 core EPS, $1.947B core income, 22.1% core ROE, $1.736B of underlying underwriting income, an 84.1% underlying combined ratio and record $1.098B pre-tax net investment income.</x:v>
      </x:c>
      <x:c r="I522" s="44" t="str">
        <x:v>Supports a new developing underwriting and investment-income thesis</x:v>
      </x:c>
      <x:c r="J522" s="44" t="n">
        <x:v>5</x:v>
      </x:c>
      <x:c r="K522" s="44" t="str">
        <x:v>Net written premiums were flat, catastrophe losses were higher, the underlying combined ratio was slightly worse year over year, and favorable reserve development plus repurchases supported results.</x:v>
      </x:c>
    </x:row>
    <x:row r="523">
      <x:c r="A523" t="str">
        <x:v>EV-2026-518</x:v>
      </x:c>
      <x:c r="B523" t="str">
        <x:v>EEI-2026-021</x:v>
      </x:c>
      <x:c r="C523" s="21" t="d">
        <x:v>2026-10-16T12:59:00.000Z</x:v>
      </x:c>
      <x:c r="D523" t="str">
        <x:v>Travelers price dislocation and proposed order</x:v>
      </x:c>
      <x:c r="E523" t="str">
        <x:v>WSJ market data</x:v>
      </x:c>
      <x:c r="F523" t="str">
        <x:v>Timestamped public market data</x:v>
      </x:c>
      <x:c r="G523" s="44" t="str">
        <x:v>https://www.wsj.com/market-data/stock/trv</x:v>
      </x:c>
      <x:c r="H523" s="44" t="str">
        <x:v>TRV was indicated at $371.30 at 8:59 a.m. ET, down 3.28% from the verified October 15 close of $383.89. Decision: PROPOSED $500 paper limit at $365 expiring October 23; not live or filled.</x:v>
      </x:c>
      <x:c r="I523" s="44" t="str">
        <x:v>Creates a testable pending-price condition</x:v>
      </x:c>
      <x:c r="J523" s="44" t="n">
        <x:v>4</x:v>
      </x:c>
      <x:c r="K523" s="44" t="str">
        <x:v>No bid/ask spread was published, regular-session confirmation was unavailable, and the ledger lacks capital and position-sizing rules. These are operational blockers, not negative investment evidence.</x:v>
      </x:c>
    </x:row>
    <x:row r="524">
      <x:c r="A524" t="str">
        <x:v>EV-2026-519</x:v>
      </x:c>
      <x:c r="B524"/>
      <x:c r="C524" s="21" t="d">
        <x:v>2026-10-16T12:55:00.000Z</x:v>
      </x:c>
      <x:c r="D524" t="str">
        <x:v>Exxon refining-margin candidate rejected</x:v>
      </x:c>
      <x:c r="E524" t="str">
        <x:v>ExxonMobil filing / Reuters / WSJ market data</x:v>
      </x:c>
      <x:c r="F524" t="str">
        <x:v>Primary issuer signal and public market data</x:v>
      </x:c>
      <x:c r="G524" s="44" t="str">
        <x:v>https://www.reuters.com/business/energy/exxonmobil-signals-lower-third-quarter-earnings-2026-10-16/</x:v>
      </x:c>
      <x:c r="H524" s="44" t="str">
        <x:v>Exxon indicated that third-quarter refining margins could add $4.5B sequentially to downstream earnings; XOM was $175.94 at 8:55 a.m. ET, near its 52-week high, before full results due October 30.</x:v>
      </x:c>
      <x:c r="I524" s="44" t="str">
        <x:v>REJECT fresh entry; review after full results</x:v>
      </x:c>
      <x:c r="J524" s="44" t="n">
        <x:v>4</x:v>
      </x:c>
      <x:c r="K524" s="44" t="str">
        <x:v>Upstream earnings could fall $1.3B sequentially, no conflict-related volume disruption was reported, the stock was already near a high and the paper portfolio already has concentrated energy exposure.</x:v>
      </x:c>
    </x:row>
    <x:row r="525">
      <x:c r="A525" t="str">
        <x:v>EV-2026-520</x:v>
      </x:c>
      <x:c r="B525"/>
      <x:c r="C525" s="21" t="d">
        <x:v>2026-10-16T13:01:00.000Z</x:v>
      </x:c>
      <x:c r="D525" t="str">
        <x:v>Varonis merger-arbitrage candidate rejected</x:v>
      </x:c>
      <x:c r="E525" t="str">
        <x:v>Varonis SEC filing / public market data</x:v>
      </x:c>
      <x:c r="F525" t="str">
        <x:v>Primary merger filing and timestamped market data</x:v>
      </x:c>
      <x:c r="G525" s="44" t="str">
        <x:v>https://www.sec.gov/Archives/edgar/data/1361113/000121390026109901/ea0308610-8k_varonis.htm</x:v>
      </x:c>
      <x:c r="H525" s="44" t="str">
        <x:v>Proofpoint agreed to pay $49.75 cash per VRNS share with expected closing in first-half 2027. VRNS was $48.72 at 9:01 a.m. ET, leaving only about 2.1% gross spread before time value and deal risk.</x:v>
      </x:c>
      <x:c r="I525" s="44" t="str">
        <x:v>REJECT merger-arbitrage entry</x:v>
      </x:c>
      <x:c r="J525" s="44" t="n">
        <x:v>5</x:v>
      </x:c>
      <x:c r="K525" s="44" t="str">
        <x:v>Stockholder and regulatory approvals, financing, delay and termination risks remain; the small gross spread is inadequate for the stated risks and holding period.</x:v>
      </x:c>
    </x:row>
    <x:row r="526">
      <x:c r="A526" t="str">
        <x:v>EV-2026-521</x:v>
      </x:c>
      <x:c r="B526"/>
      <x:c r="C526" s="21" t="d">
        <x:v>2026-10-16T12:30:00.000Z</x:v>
      </x:c>
      <x:c r="D526" t="str">
        <x:v>Import-price contradiction to duration entry</x:v>
      </x:c>
      <x:c r="E526" t="str">
        <x:v>U.S. Bureau of Labor Statistics</x:v>
      </x:c>
      <x:c r="F526" t="str">
        <x:v>Primary government data</x:v>
      </x:c>
      <x:c r="G526" s="44" t="str">
        <x:v>https://www.bls.gov/news.release/ximpim.htm</x:v>
      </x:c>
      <x:c r="H526" s="44" t="str">
        <x:v>September import prices rose 1.1% month over month and 8.1% year over year; nonfuel import prices rose 0.7% and 6.0%, respectively.</x:v>
      </x:c>
      <x:c r="I526" s="44" t="str">
        <x:v>REJECT fresh TLT entry; reinforces October 15 decision</x:v>
      </x:c>
      <x:c r="J526" s="44" t="n">
        <x:v>5</x:v>
      </x:c>
      <x:c r="K526" s="44" t="str">
        <x:v>Safe-haven demand can still lower yields during equity stress, but broad imported inflation worsens the duration asymmetry after TLT's rebound.</x:v>
      </x:c>
    </x:row>
    <x:row r="527">
      <x:c r="A527" t="str">
        <x:v>EV-2026-522</x:v>
      </x:c>
      <x:c r="B527"/>
      <x:c r="C527" s="21" t="d">
        <x:v>2026-10-16T13:05:19.000Z</x:v>
      </x:c>
      <x:c r="D527" t="str">
        <x:v>October 15 federal contract screen</x:v>
      </x:c>
      <x:c r="E527" t="str">
        <x:v>U.S. Department of War</x:v>
      </x:c>
      <x:c r="F527" t="str">
        <x:v>Primary government award announcement</x:v>
      </x:c>
      <x:c r="G527" s="44" t="str">
        <x:v>https://www.war.gov/News/Contracts/Contract/Article/4626623/contracts-for-oct-15-2026/</x:v>
      </x:c>
      <x:c r="H527" s="44" t="str">
        <x:v>The screen found a $38.77M fully obligated sole-source Taiwan MQ-9B support award to private General Atomics (FA8689-26-C-B006), a $23.87M Navy IDIQ to small-business Core Services Group with a $2,500 minimum obligation (N00189-27-D-W001), and an $18.79M fully obligated Lockheed F-35 modification P00011 to N0001922C0015.</x:v>
      </x:c>
      <x:c r="I527" s="44" t="str">
        <x:v>No new listed-equity thesis</x:v>
      </x:c>
      <x:c r="J527" s="44" t="n">
        <x:v>5</x:v>
      </x:c>
      <x:c r="K527" s="44" t="str">
        <x:v>General Atomics and Core Services Group are not public. Lockheed's item was a modification and immaterial relative to company revenue/backlog; the announcement omitted NAICS/PSC fields.</x:v>
      </x:c>
    </x:row>
    <x:row r="528">
      <x:c r="A528" t="str">
        <x:v>EV-2026-523</x:v>
      </x:c>
      <x:c r="B528" t="str">
        <x:v>EEI-2026-001</x:v>
      </x:c>
      <x:c r="C528" s="21" t="d">
        <x:v>2026-10-15T20:36:40.000Z</x:v>
      </x:c>
      <x:c r="D528" t="str">
        <x:v>Portfolio and SPY benchmark checkpoint</x:v>
      </x:c>
      <x:c r="E528" t="str">
        <x:v>StockAnalysis</x:v>
      </x:c>
      <x:c r="F528" t="str">
        <x:v>Public market data</x:v>
      </x:c>
      <x:c r="G528" s="44" t="str">
        <x:v>https://stockanalysis.com/etf/spy/history/</x:v>
      </x:c>
      <x:c r="H528" s="44" t="str">
        <x:v>The three actual paper positions were worth $3,227.21 at the October 15 closes, up $227.21 or 7.57% on $3,000. SPY rose from its September 8 open of $769.07 to $771.79, about 0.35% over the same unadjusted price window.</x:v>
      </x:c>
      <x:c r="I528" s="44" t="str">
        <x:v>Paper portfolio outperformed the broad benchmark by about 7.22 percentage points</x:v>
      </x:c>
      <x:c r="J528" s="44" t="n">
        <x:v>4</x:v>
      </x:c>
      <x:c r="K528" s="44" t="str">
        <x:v>This is a short, energy-shock-specific window; the paper portfolio is concentrated and excludes transaction costs, taxes and cash. SPY paid a dividend during the period, so the unadjusted price comparison slightly understates benchmark return.</x:v>
      </x:c>
    </x:row>
    <x:row r="529">
      <x:c r="A529" t="str">
        <x:v>EV-2026-524</x:v>
      </x:c>
      <x:c r="B529" t="str">
        <x:v>EEI-2026-002</x:v>
      </x:c>
      <x:c r="C529" s="21" t="d">
        <x:v>2026-10-16T13:05:19.000Z</x:v>
      </x:c>
      <x:c r="D529" t="str">
        <x:v>Expired decision checkpoint resolved</x:v>
      </x:c>
      <x:c r="E529" t="str">
        <x:v>Easy E Invest decision record</x:v>
      </x:c>
      <x:c r="F529" t="str">
        <x:v>Methodology decision</x:v>
      </x:c>
      <x:c r="G529" s="44" t="str">
        <x:v>https://www.reuters.com/world/china/global-markets-global-markets-2026-10-16/</x:v>
      </x:c>
      <x:c r="H529" s="44" t="str">
        <x:v>Decision: REJECT a current coal-equity entry rather than renew WAIT. LNG scarcity remains supported, but there is still no clean coal price or producer-equity confirmation.</x:v>
      </x:c>
      <x:c r="I529" s="44" t="str">
        <x:v>No live order; reassess November 2</x:v>
      </x:c>
      <x:c r="J529" s="44" t="n">
        <x:v>4</x:v>
      </x:c>
      <x:c r="K529" s="44" t="str">
        <x:v>Gas-market strength does not guarantee coal-equity performance because switching capacity, grades, geography, policy and fund structure remain material.</x:v>
      </x:c>
    </x:row>
    <x:row r="530">
      <x:c r="A530" t="str">
        <x:v>EV-2026-525</x:v>
      </x:c>
      <x:c r="B530" t="str">
        <x:v>EEI-2026-003</x:v>
      </x:c>
      <x:c r="C530" s="21" t="d">
        <x:v>2026-10-16T13:05:19.000Z</x:v>
      </x:c>
      <x:c r="D530" t="str">
        <x:v>Expired decision checkpoint resolved</x:v>
      </x:c>
      <x:c r="E530" t="str">
        <x:v>BLS / Easy E Invest decision record</x:v>
      </x:c>
      <x:c r="F530" t="str">
        <x:v>Primary macro data and methodology decision</x:v>
      </x:c>
      <x:c r="G530" s="44" t="str">
        <x:v>https://www.bls.gov/news.release/ximpim.htm</x:v>
      </x:c>
      <x:c r="H530" s="44" t="str">
        <x:v>Decision: REJECT a pre-election breadth trade rather than renew WAIT. Chamber control is unresolved and imported inflation broadening keeps the rates backdrop adverse.</x:v>
      </x:c>
      <x:c r="I530" s="44" t="str">
        <x:v>No live order; reassess November 4</x:v>
      </x:c>
      <x:c r="J530" s="44" t="n">
        <x:v>5</x:v>
      </x:c>
      <x:c r="K530" s="44" t="str">
        <x:v>A control shift can still occur, but the election result, policy implementation, veto risk and market breadth remain unresolved.</x:v>
      </x:c>
    </x:row>
    <x:row r="531">
      <x:c r="A531" t="str">
        <x:v>EV-2026-526</x:v>
      </x:c>
      <x:c r="B531" t="str">
        <x:v>EEI-2026-008</x:v>
      </x:c>
      <x:c r="C531" s="21" t="d">
        <x:v>2026-10-16T13:05:19.000Z</x:v>
      </x:c>
      <x:c r="D531" t="str">
        <x:v>Expired documentation checkpoint resolved</x:v>
      </x:c>
      <x:c r="E531" t="str">
        <x:v>Easy E Invest decision record</x:v>
      </x:c>
      <x:c r="F531" t="str">
        <x:v>Methodology decision</x:v>
      </x:c>
      <x:c r="G531" s="44" t="str">
        <x:v>https://www.usaspending.gov/</x:v>
      </x:c>
      <x:c r="H531" s="44" t="str">
        <x:v>Decision: REJECT a current ELMT entry rather than renew WAIT. No new primary award record resolved the obligation schedule, competition details, capital terms or dilution/execution risk.</x:v>
      </x:c>
      <x:c r="I531" s="44" t="str">
        <x:v>No live order; reassess at next primary filing or November 16</x:v>
      </x:c>
      <x:c r="J531" s="44" t="n">
        <x:v>4</x:v>
      </x:c>
      <x:c r="K531" s="44" t="str">
        <x:v>Government support remains material, so rejection is a current-entry decision rather than thesis invalidation.</x:v>
      </x:c>
    </x:row>
    <x:row r="532">
      <x:c r="A532" t="str">
        <x:v>EV-2026-527</x:v>
      </x:c>
      <x:c r="B532" t="str">
        <x:v>EEI-2026-001</x:v>
      </x:c>
      <x:c r="C532" s="21" t="d">
        <x:v>2026-10-16T21:12:33.000Z</x:v>
      </x:c>
      <x:c r="D532" t="str">
        <x:v>Paper-trade outcome</x:v>
      </x:c>
      <x:c r="E532" t="str">
        <x:v>StockAnalysis</x:v>
      </x:c>
      <x:c r="F532" t="str">
        <x:v>Market data</x:v>
      </x:c>
      <x:c r="G532" s="44" t="str">
        <x:v>https://stockanalysis.com/etf/bno/history/</x:v>
      </x:c>
      <x:c r="H532" s="44" t="str">
        <x:v>BNO closed October 16 at $67.19 versus the fixed September 8 opening entry of $57.21. The $1,000 fractional-share paper position was worth $1,174.45, a gain of $174.45 or 17.44%.</x:v>
      </x:c>
      <x:c r="I532" s="44" t="str">
        <x:v>Confirms direct Brent expression</x:v>
      </x:c>
      <x:c r="J532" s="44" t="n">
        <x:v>4</x:v>
      </x:c>
      <x:c r="K532" s="44" t="str">
        <x:v>Official regular-session close used; totals retain unrounded fractional shares.</x:v>
      </x:c>
    </x:row>
    <x:row r="533">
      <x:c r="A533" t="str">
        <x:v>EV-2026-528</x:v>
      </x:c>
      <x:c r="B533" t="str">
        <x:v>EEI-2026-001</x:v>
      </x:c>
      <x:c r="C533" s="21" t="d">
        <x:v>2026-10-16T21:12:33.000Z</x:v>
      </x:c>
      <x:c r="D533" t="str">
        <x:v>Paper-trade outcome</x:v>
      </x:c>
      <x:c r="E533" t="str">
        <x:v>StockAnalysis</x:v>
      </x:c>
      <x:c r="F533" t="str">
        <x:v>Market data</x:v>
      </x:c>
      <x:c r="G533" s="44" t="str">
        <x:v>https://stockanalysis.com/etf/uso/history/</x:v>
      </x:c>
      <x:c r="H533" s="44" t="str">
        <x:v>USO closed October 16 at $161.76 versus the fixed September 8 opening entry of $144.60. The $1,000 fractional-share paper position was worth $1,118.67, a gain of $118.67 or 11.87%.</x:v>
      </x:c>
      <x:c r="I533" s="44" t="str">
        <x:v>Confirms direct WTI expression</x:v>
      </x:c>
      <x:c r="J533" s="44" t="n">
        <x:v>4</x:v>
      </x:c>
      <x:c r="K533" s="44" t="str">
        <x:v>Official regular-session close used; totals retain unrounded fractional shares.</x:v>
      </x:c>
    </x:row>
    <x:row r="534">
      <x:c r="A534" t="str">
        <x:v>EV-2026-529</x:v>
      </x:c>
      <x:c r="B534" t="str">
        <x:v>EEI-2026-001</x:v>
      </x:c>
      <x:c r="C534" s="21" t="d">
        <x:v>2026-10-16T21:12:33.000Z</x:v>
      </x:c>
      <x:c r="D534" t="str">
        <x:v>Paper-trade outcome</x:v>
      </x:c>
      <x:c r="E534" t="str">
        <x:v>StockAnalysis</x:v>
      </x:c>
      <x:c r="F534" t="str">
        <x:v>Market data</x:v>
      </x:c>
      <x:c r="G534" s="44" t="str">
        <x:v>https://stockanalysis.com/etf/xop/history/</x:v>
      </x:c>
      <x:c r="H534" s="44" t="str">
        <x:v>XOP closed October 16 at $200.38 versus the fixed September 8 opening entry of $193.84. The $1,000 fractional-share paper position was worth $1,033.74, a gain of $33.74 or 3.37%.</x:v>
      </x:c>
      <x:c r="I534" s="44" t="str">
        <x:v>Positive but still weakest expression</x:v>
      </x:c>
      <x:c r="J534" s="44" t="n">
        <x:v>4</x:v>
      </x:c>
      <x:c r="K534" s="44" t="str">
        <x:v>Official regular-session close used; the producer-equity ETF retains company and equity-market mapping risk.</x:v>
      </x:c>
    </x:row>
    <x:row r="535">
      <x:c r="A535" t="str">
        <x:v>EV-2026-530</x:v>
      </x:c>
      <x:c r="B535" t="str">
        <x:v>EEI-2026-001</x:v>
      </x:c>
      <x:c r="C535" s="21" t="d">
        <x:v>2026-10-16T21:12:33.000Z</x:v>
      </x:c>
      <x:c r="D535" t="str">
        <x:v>Market confirmation</x:v>
      </x:c>
      <x:c r="E535" t="str">
        <x:v>Reuters</x:v>
      </x:c>
      <x:c r="F535" t="str">
        <x:v>High-quality independent reporting</x:v>
      </x:c>
      <x:c r="G535" s="44" t="str">
        <x:v>https://www.reuters.com/business/autos-transportation/oil-edges-down-investors-weigh-possible-us-sanctions-shadow-fleet-2026-10-16/</x:v>
      </x:c>
      <x:c r="H535" s="44" t="str">
        <x:v>Brent settled October 16 at $109.86 and WTI at $101.41 after a missile aimed toward Yanbu was intercepted and intensified Iranian attacks sharply reduced Gulf crude flows. Russian refinery damage added a separate supply risk.</x:v>
      </x:c>
      <x:c r="I535" s="44" t="str">
        <x:v>Confirms the crude-scarcity and risk-premium mechanism</x:v>
      </x:c>
      <x:c r="J535" s="44" t="n">
        <x:v>5</x:v>
      </x:c>
      <x:c r="K535" s="44" t="str">
        <x:v>Yanbu infrastructure was reportedly undamaged, and part of the move reflected broader Russia-related refined-product risk.</x:v>
      </x:c>
    </x:row>
    <x:row r="536">
      <x:c r="A536" t="str">
        <x:v>EV-2026-531</x:v>
      </x:c>
      <x:c r="B536" t="str">
        <x:v>EEI-2026-001</x:v>
      </x:c>
      <x:c r="C536" s="21" t="d">
        <x:v>2026-10-16T21:12:33.000Z</x:v>
      </x:c>
      <x:c r="D536" t="str">
        <x:v>Counterweight</x:v>
      </x:c>
      <x:c r="E536" t="str">
        <x:v>Reuters / Baltic Exchange</x:v>
      </x:c>
      <x:c r="F536" t="str">
        <x:v>High-quality reporting citing market data</x:v>
      </x:c>
      <x:c r="G536" s="44" t="str">
        <x:v>https://www.reuters.com/business/energy/supertanker-rates-fall-record-highs-2026-10-16/</x:v>
      </x:c>
      <x:c r="H536" s="44" t="str">
        <x:v>Gulf of Oman-to-China VLCC freight rates eased to about 776 Worldscale from 841 the prior week as route demand softened and the U.S. considered easing some shadow-fleet sanctions, although rates remained near records.</x:v>
      </x:c>
      <x:c r="I536" s="44" t="str">
        <x:v>Mixed: potential transport relief, but persistent elevated friction</x:v>
      </x:c>
      <x:c r="J536" s="44" t="n">
        <x:v>5</x:v>
      </x:c>
      <x:c r="K536" s="44" t="str">
        <x:v>Lower freight can reflect weaker export volumes after attacks rather than normalized Hormuz access; sanctions policy remains under consideration.</x:v>
      </x:c>
    </x:row>
    <x:row r="537">
      <x:c r="A537" t="str">
        <x:v>EV-2026-532</x:v>
      </x:c>
      <x:c r="B537" t="str">
        <x:v>EEI-2026-021</x:v>
      </x:c>
      <x:c r="C537" s="21" t="d">
        <x:v>2026-10-17T12:06:36.000Z</x:v>
      </x:c>
      <x:c r="D537" t="str">
        <x:v>Travelers stale proposal withdrawn</x:v>
      </x:c>
      <x:c r="E537" t="str">
        <x:v>Travelers investor relations / public market data</x:v>
      </x:c>
      <x:c r="F537" t="str">
        <x:v>Issuer-hosted market data</x:v>
      </x:c>
      <x:c r="G537" s="44" t="str">
        <x:v>https://investor.travelers.com/investor-toolkit/historical-prices/default.aspx</x:v>
      </x:c>
      <x:c r="H537" s="44" t="str">
        <x:v>TRV closed October 16 at $389.54 after opening at $370.00 and reaching $390.91. It finished 6.72% above the proposed $365 entry and only 2.30% below its 52-week high. Decision: REJECT and withdraw the stale pending proposal; no fill or position exists.</x:v>
      </x:c>
      <x:c r="I537" s="44" t="str">
        <x:v>Entry decision changed from proposed pending order to rejection</x:v>
      </x:c>
      <x:c r="J537" s="44" t="n">
        <x:v>5</x:v>
      </x:c>
      <x:c r="K537" s="44" t="str">
        <x:v>Travelers' operating results remain strong and its trailing P/E was about 10.4, but the user intends to use market orders and the original price-dependent edge was no longer available. A future alert requires a fresh regular-session quote and acceptable current-price risk/reward.</x:v>
      </x:c>
    </x:row>
    <x:row r="538">
      <x:c r="A538" t="str">
        <x:v>EV-2026-533</x:v>
      </x:c>
      <x:c r="B538"/>
      <x:c r="C538" s="21" t="d">
        <x:v>2026-10-17T12:06:36.000Z</x:v>
      </x:c>
      <x:c r="D538" t="str">
        <x:v>Alcoa earnings candidate rejected</x:v>
      </x:c>
      <x:c r="E538" t="str">
        <x:v>Alcoa</x:v>
      </x:c>
      <x:c r="F538" t="str">
        <x:v>Primary issuer results</x:v>
      </x:c>
      <x:c r="G538" s="44" t="str">
        <x:v>https://investors.alcoa.com/press-releases/press-release-details/2026/Alcoa-Corporation-Reports-Third-Quarter-2026-Results/default.aspx</x:v>
      </x:c>
      <x:c r="H538" s="44" t="str">
        <x:v>Alcoa reported $483M of Q3 net income, $472M of free cash flow and improved production, while reaffirming output projections. AA closed Friday at $41.45, up 2.56%, at about 8.6 times trailing earnings.</x:v>
      </x:c>
      <x:c r="I538" s="44" t="str">
        <x:v>REJECT current entry; review with a live Monday quote only if economics and price remain favorable</x:v>
      </x:c>
      <x:c r="J538" s="44" t="n">
        <x:v>5</x:v>
      </x:c>
      <x:c r="K538" s="44" t="str">
        <x:v>Revenue fell 7% sequentially, adjusted EBITDA fell $112M sequentially, aluminum shipments and realized prices declined, Q4 costs are expected to rise, and debt issued for the AliGroup acquisition lifted gross debt to $4.82B. The weekend quote is not executable.</x:v>
      </x:c>
    </x:row>
    <x:row r="539">
      <x:c r="A539" t="str">
        <x:v>EV-2026-534</x:v>
      </x:c>
      <x:c r="B539"/>
      <x:c r="C539" s="21" t="d">
        <x:v>2026-10-17T12:06:36.000Z</x:v>
      </x:c>
      <x:c r="D539" t="str">
        <x:v>J.B. Hunt earnings candidate rejected</x:v>
      </x:c>
      <x:c r="E539" t="str">
        <x:v>J.B. Hunt</x:v>
      </x:c>
      <x:c r="F539" t="str">
        <x:v>Primary issuer results</x:v>
      </x:c>
      <x:c r="G539" s="44" t="str">
        <x:v>https://www.jbhunt.com/our-company/newsroom/2026/10/q3-2026-earnings</x:v>
      </x:c>
      <x:c r="H539" s="44" t="str">
        <x:v>J.B. Hunt reported revenue up 20% to $3.68B, operating income up 2% and EPS up 3%. Intermodal operating income rose 18%, but JBHT closed Friday at $228.78, down 2.77%, at about 32.5 times trailing earnings.</x:v>
      </x:c>
      <x:c r="I539" s="44" t="str">
        <x:v>REJECT current entry</x:v>
      </x:c>
      <x:c r="J539" s="44" t="n">
        <x:v>5</x:v>
      </x:c>
      <x:c r="K539" s="44" t="str">
        <x:v>Margin conversion was weak: Dedicated operating income fell 22%, Final Mile fell 76% and Truckload fell 6%. The company had about $4M cash versus $1.12B debt, and higher fuel, insurance, medical and purchased-transportation costs remain unresolved.</x:v>
      </x:c>
    </x:row>
    <x:row r="540">
      <x:c r="A540" t="str">
        <x:v>EV-2026-535</x:v>
      </x:c>
      <x:c r="B540"/>
      <x:c r="C540" s="21" t="d">
        <x:v>2026-10-17T12:06:36.000Z</x:v>
      </x:c>
      <x:c r="D540" t="str">
        <x:v>October 16 federal contract screen</x:v>
      </x:c>
      <x:c r="E540" t="str">
        <x:v>U.S. Department of War</x:v>
      </x:c>
      <x:c r="F540" t="str">
        <x:v>Primary government award announcement</x:v>
      </x:c>
      <x:c r="G540" s="44" t="str">
        <x:v>https://www.war.gov/News/Contracts/Contract/Article/4627497/contracts-for-oct-16-2026/</x:v>
      </x:c>
      <x:c r="H540" s="44" t="str">
        <x:v>Three private small businesses received competitive Combat Air Force Contracted Air Support IDIQs with a shared $5.4B ceiling: KestrelX FA4890-27-D-0003, A2G International FA4890-27-D-0002 and Fleet Adversary Support and Training FA4890-27-D-0001. Only $3,000 was obligated at award; performance runs through October 8, 2029.</x:v>
      </x:c>
      <x:c r="I540" s="44" t="str">
        <x:v>No public-equity thesis</x:v>
      </x:c>
      <x:c r="J540" s="44" t="n">
        <x:v>5</x:v>
      </x:c>
      <x:c r="K540" s="44" t="str">
        <x:v>The recipients are private and the ceiling is not funded revenue. A separate $80M Boeing MQ-25A action was too small relative to company revenue and backlog to create a distinct thesis.</x:v>
      </x:c>
    </x:row>
    <x:row r="541">
      <x:c r="A541" t="str">
        <x:v>EV-2026-536</x:v>
      </x:c>
      <x:c r="B541"/>
      <x:c r="C541" s="21" t="d">
        <x:v>2026-10-17T12:06:36.000Z</x:v>
      </x:c>
      <x:c r="D541" t="str">
        <x:v>Friday cross-asset and sector screen</x:v>
      </x:c>
      <x:c r="E541" t="str">
        <x:v>Associated Press / public market data</x:v>
      </x:c>
      <x:c r="F541" t="str">
        <x:v>Independent reporting and observable market data</x:v>
      </x:c>
      <x:c r="G541" s="44" t="str">
        <x:v>https://apnews.com/article/c27809783ae3230b44c26e5ee4bea056</x:v>
      </x:c>
      <x:c r="H541" s="44" t="str">
        <x:v>The S&amp;P 500 fell 1.09% and Nasdaq 2.15% Friday. Technology fell 3.03%, while energy rose 2.56%, staples 1.10% and utilities 1.38%; HYG fell 0.34% and TLT was nearly flat. The rotation confirms narrow risk-off pressure rather than a broad new entry signal.</x:v>
      </x:c>
      <x:c r="I541" s="44" t="str">
        <x:v>No new actionable-now candidate while markets are closed</x:v>
      </x:c>
      <x:c r="J541" s="44" t="n">
        <x:v>4</x:v>
      </x:c>
      <x:c r="K541" s="44" t="str">
        <x:v>Energy and defensives had already moved, credit weakened modestly and no regular-session quote is available on Saturday. The next executable assessment requires fresh Monday price discovery.</x:v>
      </x:c>
    </x:row>
    <x:row r="542">
      <x:c r="A542" t="str">
        <x:v>EV-2026-537</x:v>
      </x:c>
      <x:c r="B542" t="str">
        <x:v>EEI-2026-001</x:v>
      </x:c>
      <x:c r="C542" s="21" t="d">
        <x:v>2026-10-17T12:06:36.000Z</x:v>
      </x:c>
      <x:c r="D542" t="str">
        <x:v>Portfolio and SPY benchmark checkpoint</x:v>
      </x:c>
      <x:c r="E542" t="str">
        <x:v>StockAnalysis / public market data</x:v>
      </x:c>
      <x:c r="F542" t="str">
        <x:v>Official-close market data</x:v>
      </x:c>
      <x:c r="G542" s="44" t="str">
        <x:v>https://stockanalysis.com/etf/spy/history/</x:v>
      </x:c>
      <x:c r="H542" s="44" t="str">
        <x:v>At October 16 closes the three actual paper positions were worth $3,326.86, up $326.86 or 10.90% on $3,000. SPY fell from its September 8 open of $769.07 to $763.25, about -0.76% over the same unadjusted price window.</x:v>
      </x:c>
      <x:c r="I542" s="44" t="str">
        <x:v>Paper portfolio outperformed SPY by about 11.65 percentage points</x:v>
      </x:c>
      <x:c r="J542" s="44" t="n">
        <x:v>4</x:v>
      </x:c>
      <x:c r="K542" s="44" t="str">
        <x:v>The result is concentrated in one energy-shock thesis, excludes transaction costs and taxes, and uses fractional shares. SPY paid a dividend during the period, so the unadjusted price comparison understates benchmark total return.</x:v>
      </x:c>
    </x:row>
    <x:row r="543">
      <x:c r="A543" t="str">
        <x:v>EV-2026-538</x:v>
      </x:c>
      <x:c r="B543"/>
      <x:c r="C543" s="21" t="d">
        <x:v>2026-10-18T12:10:53.000Z</x:v>
      </x:c>
      <x:c r="D543" t="str">
        <x:v>Week-ahead earnings event queue</x:v>
      </x:c>
      <x:c r="E543" t="str">
        <x:v>Associated Press</x:v>
      </x:c>
      <x:c r="F543" t="str">
        <x:v>Independent news calendar</x:v>
      </x:c>
      <x:c r="G543" s="44" t="str">
        <x:v>https://apnews.com/article/earnings-inflation-technology-housing-employment-3982e18ed2061f793aa921b6addade05</x:v>
      </x:c>
      <x:c r="H543" s="44" t="str">
        <x:v>Major scheduled reports include GM and Netflix Tuesday, United Airlines Wednesday, and Tesla, Meta and IBM later in the week. Friday closing prices were recorded as non-executable context only. Decision: no pre-earnings paper entry; reassess after primary results and a live regular-session quote.</x:v>
      </x:c>
      <x:c r="I543" s="44" t="str">
        <x:v>No paper entry; event watch with post-results review</x:v>
      </x:c>
      <x:c r="J543" s="44" t="n">
        <x:v>4</x:v>
      </x:c>
      <x:c r="K543" s="44" t="str">
        <x:v>Binary guidance risk is high, and inflation, fuel, labor and margin sensitivity could dominate company-specific catalysts. Sunday quotes are not executable.</x:v>
      </x:c>
    </x:row>
    <x:row r="544">
      <x:c r="A544" t="str">
        <x:v>EV-2026-539</x:v>
      </x:c>
      <x:c r="B544"/>
      <x:c r="C544" s="21" t="d">
        <x:v>2026-10-18T12:10:53.000Z</x:v>
      </x:c>
      <x:c r="D544" t="str">
        <x:v>Weekend cross-asset snapshot</x:v>
      </x:c>
      <x:c r="E544" t="str">
        <x:v>Public market data</x:v>
      </x:c>
      <x:c r="F544" t="str">
        <x:v>Official-close market data</x:v>
      </x:c>
      <x:c r="G544" s="44" t="str">
        <x:v>https://finance.yahoo.com/quote/SPY/</x:v>
      </x:c>
      <x:c r="H544" s="44" t="str">
        <x:v>Friday's close showed QQQ down 2.47%, IWM down 1.66% and XLK down 3.02%, while XLE gained 2.56%, XLP 1.10% and XLF 0.44%. HYG fell 0.34%, TLT gained 0.08% and GLD fell 0.17%. Decision: no new entry from a one-session rotation without live price confirmation.</x:v>
      </x:c>
      <x:c r="I544" s="44" t="str">
        <x:v>No new paper action</x:v>
      </x:c>
      <x:c r="J544" s="44" t="n">
        <x:v>4</x:v>
      </x:c>
      <x:c r="K544" s="44" t="str">
        <x:v>The move is a single-session snapshot, largely captured in the prior scan, and markets were closed. It does not establish durable breadth or an executable entry.</x:v>
      </x:c>
    </x:row>
    <x:row r="545">
      <x:c r="A545" t="str">
        <x:v>EV-2026-540</x:v>
      </x:c>
      <x:c r="B545" t="str">
        <x:v>EEI-2026-009</x:v>
      </x:c>
      <x:c r="C545" s="21" t="d">
        <x:v>2026-10-18T12:10:53.000Z</x:v>
      </x:c>
      <x:c r="D545" t="str">
        <x:v>Energy inflation evidence remains incremental</x:v>
      </x:c>
      <x:c r="E545" t="str">
        <x:v>Reuters</x:v>
      </x:c>
      <x:c r="F545" t="str">
        <x:v>Independent reporting with official inventory references</x:v>
      </x:c>
      <x:c r="G545" s="44" t="str">
        <x:v>https://www.reuters.com/business/energy/oil-prices-fall-investors-weigh-supply-outlook-middle-east-tensions-2026-10-15/</x:v>
      </x:c>
      <x:c r="H545" s="44" t="str">
        <x:v>Brent closed October 15 at $105.92 and WTI at $97.97 after an 8.6 million-barrel U.S. crude draw. Refining constraints and sanctions continue to support the existing refined-products inflation mechanism, but no new classification or entry decision was warranted Sunday.</x:v>
      </x:c>
      <x:c r="I545" s="44" t="str">
        <x:v>Existing thesis supported; no Entry Window change</x:v>
      </x:c>
      <x:c r="J545" s="44" t="n">
        <x:v>4</x:v>
      </x:c>
      <x:c r="K545" s="44" t="str">
        <x:v>Potential IEA product releases, easing sanctions enforcement and shadow-fleet adaptation could relieve supply stress. Natural-gas inventories remained above the five-year average and warm-weather forecasts pressured gas prices.</x:v>
      </x:c>
    </x:row>
    <x:row r="546">
      <x:c r="A546" t="str">
        <x:v>EV-2026-541</x:v>
      </x:c>
      <x:c r="B546"/>
      <x:c r="C546" s="21" t="d">
        <x:v>2026-10-18T12:10:53.000Z</x:v>
      </x:c>
      <x:c r="D546" t="str">
        <x:v>Public Motley Fool list screened and rejected as a trigger</x:v>
      </x:c>
      <x:c r="E546" t="str">
        <x:v>The Motley Fool</x:v>
      </x:c>
      <x:c r="F546" t="str">
        <x:v>Free editorial idea-generation source only</x:v>
      </x:c>
      <x:c r="G546" s="44" t="str">
        <x:v>https://www.fool.com/investing/top-stocks-to-buy-and-hold/</x:v>
      </x:c>
      <x:c r="H546" s="44" t="str">
        <x:v>The public page, last substantively updated September 3, presented a generic long-term list including Airbnb, CrowdStrike, MercadoLibre and Berkshire Hathaway. It disclosed relevant Fool/author positions and recommendations but supplied no new dated catalyst that justified a distinct thesis.</x:v>
      </x:c>
      <x:c r="I546" s="44" t="str">
        <x:v>REJECT new thesis; no paper action</x:v>
      </x:c>
      <x:c r="J546" s="44" t="n">
        <x:v>3</x:v>
      </x:c>
      <x:c r="K546" s="44" t="str">
        <x:v>The article is broad evergreen editorial content rather than an official paid-service recommendation. Promotional framing and company mentions are not independent confirmation, and no fresh primary catalyst was identified.</x:v>
      </x:c>
    </x:row>
    <x:row r="547">
      <x:c r="A547" t="str">
        <x:v>EV-2026-542</x:v>
      </x:c>
      <x:c r="B547"/>
      <x:c r="C547" s="21" t="d">
        <x:v>2026-10-19T12:46:22.000Z</x:v>
      </x:c>
      <x:c r="D547" t="str">
        <x:v>Cleveland-Cliffs earnings and steel-cycle candidate</x:v>
      </x:c>
      <x:c r="E547" t="str">
        <x:v>Cleveland-Cliffs</x:v>
      </x:c>
      <x:c r="F547" t="str">
        <x:v>Primary issuer results</x:v>
      </x:c>
      <x:c r="G547" s="44" t="str">
        <x:v>https://www.clevelandcliffs.com/investors/news-events/press-releases/detail/705/cleveland-cliffs-reports-third-quarter-2026-results</x:v>
      </x:c>
      <x:c r="H547" s="44" t="str">
        <x:v>Q3 revenue rose to $5.6B, adjusted EBITDA reached $612M versus $286M in Q2, average steel selling price increased to $1,177 per ton and management guided Q4 adjusted EBITDA to about $715M and 2027 adjusted EBITDA above $4B. Decision: REJECT a pre-open paper entry; no fill or position. Reassess only after regular-session price discovery establishes a non-headline base.</x:v>
      </x:c>
      <x:c r="I547" s="44" t="str">
        <x:v>REJECT current entry; strong catalyst but adverse entry asymmetry</x:v>
      </x:c>
      <x:c r="J547" s="44" t="n">
        <x:v>5</x:v>
      </x:c>
      <x:c r="K547" s="44" t="str">
        <x:v>Long-term debt was $7.645B versus $7.253B at year-end, cash was only $77M, nine-month net loss was $198M and 2027 guidance is price- and contract-dependent. Reuters reported a 13.8% premarket jump, so headline-chasing risk is high.</x:v>
      </x:c>
    </x:row>
    <x:row r="548">
      <x:c r="A548" t="str">
        <x:v>EV-2026-543</x:v>
      </x:c>
      <x:c r="B548"/>
      <x:c r="C548" s="21" t="d">
        <x:v>2026-10-19T09:44:00.000Z</x:v>
      </x:c>
      <x:c r="D548" t="str">
        <x:v>Cleveland-Cliffs market-reaction modifier</x:v>
      </x:c>
      <x:c r="E548" t="str">
        <x:v>Reuters</x:v>
      </x:c>
      <x:c r="F548" t="str">
        <x:v>Independent market reporting</x:v>
      </x:c>
      <x:c r="G548" s="44" t="str">
        <x:v>https://www.reuters.com/business/wall-st-futures-climb-ai-stocks-rebound-oil-yields-fall-2026-10-19/</x:v>
      </x:c>
      <x:c r="H548" s="44" t="str">
        <x:v>CLF was indicated 13.8% higher before the open after the earnings beat. The move confirms attention to the catalyst but consumes much of the immediate trading edge before executable regular-session price discovery.</x:v>
      </x:c>
      <x:c r="I548" s="44" t="str">
        <x:v>Supports rejection of a headline chase</x:v>
      </x:c>
      <x:c r="J548" s="44" t="n">
        <x:v>4</x:v>
      </x:c>
      <x:c r="K548" s="44" t="str">
        <x:v>Premarket indications are not executable regular-session quotes and can reverse after the open. Fundamental valuation may still become attractive if the stock builds an orderly base and debt reduction materializes.</x:v>
      </x:c>
    </x:row>
    <x:row r="549">
      <x:c r="A549" t="str">
        <x:v>EV-2026-544</x:v>
      </x:c>
      <x:c r="B549"/>
      <x:c r="C549" s="21" t="d">
        <x:v>2026-10-19T12:46:22.000Z</x:v>
      </x:c>
      <x:c r="D549" t="str">
        <x:v>Fifth Third earnings candidate</x:v>
      </x:c>
      <x:c r="E549" t="str">
        <x:v>Fifth Third Bancorp</x:v>
      </x:c>
      <x:c r="F549" t="str">
        <x:v>Primary issuer results</x:v>
      </x:c>
      <x:c r="G549" s="44" t="str">
        <x:v>https://ir.53.com/news/news-details/2026/Fifth-Third-Bancorp-Reports-Third-Quarter-2026-Earnings/default.aspx</x:v>
      </x:c>
      <x:c r="H549" s="44" t="str">
        <x:v>Adjusted EPS of $1.13 beat the $1.09 public consensus; NII rose 3% sequentially to $2.276B, deposits rose 3%, wholesale funding fell 10%, CET1 improved to 10.02% and the NCO ratio was 0.31%. Decision: REJECT a fresh pre-open entry and require post-call, regular-session confirmation.</x:v>
      </x:c>
      <x:c r="I549" s="44" t="str">
        <x:v>REJECT current entry; integration economics need more proof</x:v>
      </x:c>
      <x:c r="J549" s="44" t="n">
        <x:v>5</x:v>
      </x:c>
      <x:c r="K549" s="44" t="str">
        <x:v>Reported EPS was $0.90, essentially flat year over year; NIM slipped 2 bps sequentially, noninterest income fell 5%, merger-related charges were about $1.04B year to date and nonperforming assets rose to $1.160B from $1.075B in Q2. The beat was modest rather than a step-change.</x:v>
      </x:c>
    </x:row>
    <x:row r="550">
      <x:c r="A550" t="str">
        <x:v>EV-2026-545</x:v>
      </x:c>
      <x:c r="B550"/>
      <x:c r="C550" s="21" t="d">
        <x:v>2026-10-19T13:00:00.000Z</x:v>
      </x:c>
      <x:c r="D550" t="str">
        <x:v>Motley Fool UnitedHealth trigger</x:v>
      </x:c>
      <x:c r="E550" t="str">
        <x:v>The Motley Fool / David Jagielski, CPA</x:v>
      </x:c>
      <x:c r="F550" t="str">
        <x:v>Free editorial idea-generation source only</x:v>
      </x:c>
      <x:c r="G550" s="44" t="str">
        <x:v>https://www.fool.com/investing/2026/10/19/is-unitedhealth-group-stock-a-buy-after-another-solid-quarter/</x:v>
      </x:c>
      <x:c r="H550" s="44" t="str">
        <x:v>Free Oct. 19 editorial at 8:00 a.m. ET argued UNH remained attractive after a Q3 beat and raised 2026 guidance, with a long-term value, stability and dividend thesis. Expected variable: adjusted EPS and medical-cost profitability over multiple years. Author disclosed no position; The Motley Fool recommends UNH, while the article said UNH was not on the current Stock Advisor top-10 list. The piece is a trigger, not confirmation.</x:v>
      </x:c>
      <x:c r="I550" s="44" t="str">
        <x:v>REJECT escalation from editorial alone</x:v>
      </x:c>
      <x:c r="J550" s="44" t="n">
        <x:v>3</x:v>
      </x:c>
      <x:c r="K550" s="44" t="str">
        <x:v>The article used already-public Oct. 13 results and a stock that had rallied about 22% year to date. Promotional Stock Advisor performance language is not evidence and was excluded from the thesis assessment.</x:v>
      </x:c>
    </x:row>
    <x:row r="551">
      <x:c r="A551" t="str">
        <x:v>EV-2026-546</x:v>
      </x:c>
      <x:c r="B551"/>
      <x:c r="C551" s="21" t="d">
        <x:v>2026-10-19T12:46:22.000Z</x:v>
      </x:c>
      <x:c r="D551" t="str">
        <x:v>UnitedHealth primary follow-through</x:v>
      </x:c>
      <x:c r="E551" t="str">
        <x:v>UnitedHealth Group / SEC</x:v>
      </x:c>
      <x:c r="F551" t="str">
        <x:v>Primary issuer and SEC-filed results</x:v>
      </x:c>
      <x:c r="G551" s="44" t="str">
        <x:v>https://www.unitedhealthgroup.com/newsroom/2026/2026-10-13-uhg-reports-third-quarter-2026-results.html</x:v>
      </x:c>
      <x:c r="H551" s="44" t="str">
        <x:v>Q3 revenue was $112.7B, operating income $6.6B, adjusted EPS $4.69 and operating cash flow $5.1B; full-year adjusted EPS guidance rose to at least $20.50. Decision: REJECT a new paper entry at this scan; the catalyst is six days old and no fresh regular-session quote was available.</x:v>
      </x:c>
      <x:c r="I551" s="44" t="str">
        <x:v>Primary confirmation of turnaround; no new thesis or paper action</x:v>
      </x:c>
      <x:c r="J551" s="44" t="n">
        <x:v>5</x:v>
      </x:c>
      <x:c r="K551" s="44" t="str">
        <x:v>Revenue was slightly below the prior-year quarter, operating income fell from $8.0B in Q2, debt-to-capital was 41.7%, and medical-cost, regulatory, legal and membership risks remain. The October 16 close of $401.43 already reflected post-earnings repricing.</x:v>
      </x:c>
    </x:row>
    <x:row r="552">
      <x:c r="A552" t="str">
        <x:v>EV-2026-547</x:v>
      </x:c>
      <x:c r="B552"/>
      <x:c r="C552" s="21" t="d">
        <x:v>2026-10-19T12:46:22.000Z</x:v>
      </x:c>
      <x:c r="D552" t="str">
        <x:v>Government-award and insider channel screen</x:v>
      </x:c>
      <x:c r="E552" t="str">
        <x:v>USAspending.gov / SEC EDGAR</x:v>
      </x:c>
      <x:c r="F552" t="str">
        <x:v>Primary public-record screen</x:v>
      </x:c>
      <x:c r="G552" s="44" t="str">
        <x:v>https://www.usaspending.gov/</x:v>
      </x:c>
      <x:c r="H552" s="44" t="str">
        <x:v>The accessible federal-award feed was led by routine modifications including SAIC 47QFCA21F0001 P00082 ($12.30M), CACI 36C10B26F0143 P00002 ($11.84M) and Accenture 47QFRA21F0029 P00039 ($11.41M). A new Amazon Web Services order, 15JPSS26F00001521 modification 0, was $3.21M and immaterial to Amazon. Separately, Ryan Cohen's Oct. 13 Form 4 showed $22.77M of GME purchases at $26.75-$27.00, but no independent operating catalyst qualified.</x:v>
      </x:c>
      <x:c r="I552" s="44" t="str">
        <x:v>No new public-equity thesis</x:v>
      </x:c>
      <x:c r="J552" s="44" t="n">
        <x:v>4</x:v>
      </x:c>
      <x:c r="K552" s="44" t="str">
        <x:v>Award values were small relative to parent-company revenue and most were modifications rather than new awards. Competition, total potential value and full performance details were not available in the accessible screen. Insider buying alone does not establish revenue or cash-flow improvement, and GME remains unusually sentiment-sensitive.</x:v>
      </x:c>
    </x:row>
    <x:row r="553">
      <x:c r="A553" t="str">
        <x:v>EV-2026-548</x:v>
      </x:c>
      <x:c r="B553" t="str">
        <x:v>EEI-2026-009</x:v>
      </x:c>
      <x:c r="C553" s="21" t="d">
        <x:v>2026-10-19T09:44:00.000Z</x:v>
      </x:c>
      <x:c r="D553" t="str">
        <x:v>Energy and cross-asset pre-open update</x:v>
      </x:c>
      <x:c r="E553" t="str">
        <x:v>Reuters</x:v>
      </x:c>
      <x:c r="F553" t="str">
        <x:v>Independent market reporting</x:v>
      </x:c>
      <x:c r="G553" s="44" t="str">
        <x:v>https://www.reuters.com/business/wall-st-futures-climb-ai-stocks-rebound-oil-yields-fall-2026-10-19/</x:v>
      </x:c>
      <x:c r="H553" s="44" t="str">
        <x:v>Brent fell about 1.3% toward $108.50 after a partial Russian-sanctions waiver, while a new tanker mine incident and elevated shipping and insurance constraints kept physical-supply risk high. Nasdaq futures rose about 1.05% and the 10-year Treasury yield eased to 5.0812%. Decision: existing energy-inflation thesis remains supported but unchanged; no fresh paper entry.</x:v>
      </x:c>
      <x:c r="I553" s="44" t="str">
        <x:v>Incremental support and contradiction; no classification change</x:v>
      </x:c>
      <x:c r="J553" s="44" t="n">
        <x:v>4</x:v>
      </x:c>
      <x:c r="K553" s="44" t="str">
        <x:v>The sanctions waiver and lower oil price show policy can relieve the risk premium, while the equity rebound was premarket and concentrated in AI-linked names. The existing paper portfolio is already concentrated in crude and energy exposure.</x:v>
      </x:c>
    </x:row>
    <x:row r="554">
      <x:c r="A554" t="str">
        <x:v>EV-2026-549</x:v>
      </x:c>
      <x:c r="B554" t="str">
        <x:v>EEI-2026-021</x:v>
      </x:c>
      <x:c r="C554" s="21" t="d">
        <x:v>2026-10-19T12:46:22.000Z</x:v>
      </x:c>
      <x:c r="D554" t="str">
        <x:v>Travelers rejected-setup checkpoint</x:v>
      </x:c>
      <x:c r="E554" t="str">
        <x:v>Easy E Invest decision record</x:v>
      </x:c>
      <x:c r="F554" t="str">
        <x:v>Methodology decision</x:v>
      </x:c>
      <x:c r="G554" s="44" t="str">
        <x:v>https://investor.travelers.com/investor-toolkit/historical-prices/default.aspx</x:v>
      </x:c>
      <x:c r="H554" s="44" t="str">
        <x:v>The withdrawn $365 proposal remains rejected and no position exists. With no fresh regular-session quote available before the scan, no new paper decision was manufactured. Next review: October 26, using a current quote and explicit reward-to-invalidation test.</x:v>
      </x:c>
      <x:c r="I554" s="44" t="str">
        <x:v>REJECT remains; next review dated</x:v>
      </x:c>
      <x:c r="J554" s="44" t="n">
        <x:v>4</x:v>
      </x:c>
      <x:c r="K554" s="44" t="str">
        <x:v>Travelers' operating thesis remains supported, but the October 16 close of $389.54 had already consumed the original setup. Missing pre-open execution evidence is an operational limitation, not a negative fundamental judgment.</x:v>
      </x:c>
    </x:row>
    <x:row r="555">
      <x:c r="A555" t="str">
        <x:v>EV-2026-550</x:v>
      </x:c>
      <x:c r="B555" t="str">
        <x:v>EEI-2026-001</x:v>
      </x:c>
      <x:c r="C555" s="21" t="d">
        <x:v>2026-10-19T21:05:33.000Z</x:v>
      </x:c>
      <x:c r="D555" t="str">
        <x:v>Paper-trade outcome</x:v>
      </x:c>
      <x:c r="E555" t="str">
        <x:v>StockAnalysis</x:v>
      </x:c>
      <x:c r="F555" t="str">
        <x:v>Market data</x:v>
      </x:c>
      <x:c r="G555" s="44" t="str">
        <x:v>https://stockanalysis.com/etf/bno/history/</x:v>
      </x:c>
      <x:c r="H555" s="44" t="str">
        <x:v>BNO closed October 19 at $67.12 versus the fixed September 8 opening entry of $57.21. The $1,000 fractional-share paper position was worth $1,173.22, a gain of $173.22 or 17.32%.</x:v>
      </x:c>
      <x:c r="I555" s="44" t="str">
        <x:v>Confirms direct Brent expression</x:v>
      </x:c>
      <x:c r="J555" s="44" t="n">
        <x:v>4</x:v>
      </x:c>
      <x:c r="K555" s="44" t="str">
        <x:v>Official regular-session close used; totals retain unrounded fractional shares.</x:v>
      </x:c>
    </x:row>
    <x:row r="556">
      <x:c r="A556" t="str">
        <x:v>EV-2026-551</x:v>
      </x:c>
      <x:c r="B556" t="str">
        <x:v>EEI-2026-001</x:v>
      </x:c>
      <x:c r="C556" s="21" t="d">
        <x:v>2026-10-19T21:05:33.000Z</x:v>
      </x:c>
      <x:c r="D556" t="str">
        <x:v>Paper-trade outcome</x:v>
      </x:c>
      <x:c r="E556" t="str">
        <x:v>StockAnalysis</x:v>
      </x:c>
      <x:c r="F556" t="str">
        <x:v>Market data</x:v>
      </x:c>
      <x:c r="G556" s="44" t="str">
        <x:v>https://stockanalysis.com/etf/uso/history/</x:v>
      </x:c>
      <x:c r="H556" s="44" t="str">
        <x:v>USO closed October 19 at $160.81 versus the fixed September 8 opening entry of $144.60. The $1,000 fractional-share paper position was worth $1,112.10, a gain of $112.10 or 11.21%.</x:v>
      </x:c>
      <x:c r="I556" s="44" t="str">
        <x:v>Confirms direct WTI expression</x:v>
      </x:c>
      <x:c r="J556" s="44" t="n">
        <x:v>4</x:v>
      </x:c>
      <x:c r="K556" s="44" t="str">
        <x:v>Official regular-session close used; the fund's futures exposure can diverge from a single expiring WTI contract.</x:v>
      </x:c>
    </x:row>
    <x:row r="557">
      <x:c r="A557" t="str">
        <x:v>EV-2026-552</x:v>
      </x:c>
      <x:c r="B557" t="str">
        <x:v>EEI-2026-001</x:v>
      </x:c>
      <x:c r="C557" s="21" t="d">
        <x:v>2026-10-19T21:05:33.000Z</x:v>
      </x:c>
      <x:c r="D557" t="str">
        <x:v>Paper-trade outcome</x:v>
      </x:c>
      <x:c r="E557" t="str">
        <x:v>StockAnalysis</x:v>
      </x:c>
      <x:c r="F557" t="str">
        <x:v>Market data</x:v>
      </x:c>
      <x:c r="G557" s="44" t="str">
        <x:v>https://stockanalysis.com/etf/xop/history/</x:v>
      </x:c>
      <x:c r="H557" s="44" t="str">
        <x:v>XOP closed October 19 at $199.47 versus the fixed September 8 opening entry of $193.84. The $1,000 fractional-share paper position was worth $1,029.04, a gain of $29.04 or 2.90%.</x:v>
      </x:c>
      <x:c r="I557" s="44" t="str">
        <x:v>Positive but still weakest expression</x:v>
      </x:c>
      <x:c r="J557" s="44" t="n">
        <x:v>4</x:v>
      </x:c>
      <x:c r="K557" s="44" t="str">
        <x:v>Official regular-session close used; the producer-equity ETF retains company and equity-market mapping risk.</x:v>
      </x:c>
    </x:row>
    <x:row r="558">
      <x:c r="A558" t="str">
        <x:v>EV-2026-553</x:v>
      </x:c>
      <x:c r="B558" t="str">
        <x:v>EEI-2026-001</x:v>
      </x:c>
      <x:c r="C558" s="21" t="d">
        <x:v>2026-10-19T21:05:33.000Z</x:v>
      </x:c>
      <x:c r="D558" t="str">
        <x:v>Market confirmation and counterweight</x:v>
      </x:c>
      <x:c r="E558" t="str">
        <x:v>Reuters / Kpler</x:v>
      </x:c>
      <x:c r="F558" t="str">
        <x:v>High-quality independent reporting and shipping data</x:v>
      </x:c>
      <x:c r="G558" s="44" t="str">
        <x:v>https://www.reuters.com/business/energy/oil-slips-trumps-sanction-waiver-may-lead-more-russian-fuel-supplies-2026-10-18/</x:v>
      </x:c>
      <x:c r="H558" s="44" t="str">
        <x:v>Brent settled October 19 at $109.55. The expiring WTI front month settled at $103.66, while the more liquid December contract fell to $98.54. Kpler estimated regional crude flows averaged about 8.5 million bpd last week, down from more than 20 million bpd the prior week, after at least 10 confirmed commercial-vessel incidents.</x:v>
      </x:c>
      <x:c r="I558" s="44" t="str">
        <x:v>Confirms physical disruption but shows price and contract divergence</x:v>
      </x:c>
      <x:c r="J558" s="44" t="n">
        <x:v>5</x:v>
      </x:c>
      <x:c r="K558" s="44" t="str">
        <x:v>Houthi claims of attacks on Saudi facilities were unverified. A partial U.S. waiver on Russian-energy sanctions and higher September OPEC output could add supply.</x:v>
      </x:c>
    </x:row>
    <x:row r="559">
      <x:c r="A559" t="str">
        <x:v>EV-2026-554</x:v>
      </x:c>
      <x:c r="B559" t="str">
        <x:v>EEI-2026-001</x:v>
      </x:c>
      <x:c r="C559" s="21" t="d">
        <x:v>2026-10-19T21:05:33.000Z</x:v>
      </x:c>
      <x:c r="D559" t="str">
        <x:v>Mechanism update</x:v>
      </x:c>
      <x:c r="E559" t="str">
        <x:v>Reuters analysis / Kpler / LSEG</x:v>
      </x:c>
      <x:c r="F559" t="str">
        <x:v>High-quality analysis citing shipping and market data</x:v>
      </x:c>
      <x:c r="G559" s="44" t="str">
        <x:v>https://www.reuters.com/commentary/reuters-open-interest/asian-refiners-pain-is-middle-east-oil-producers-problem-bousso-2026-10-19/</x:v>
      </x:c>
      <x:c r="H559" s="44" t="str">
        <x:v>September Middle East crude exports recovered to 15.4 million bpd, nearly 90% of prewar levels, and Hormuz flows reached 10.7 million bpd, about 75% of prewar levels. Yet freight and insurance reached as much as 30% of delivered crude cost; Nigeria-to-Singapore freight was about $32 per barrel, and estimated Asian net refining margin was only a little above $7 after freight.</x:v>
      </x:c>
      <x:c r="I559" s="44" t="str">
        <x:v>Mixed: invalidates a pure volume-shortage view but confirms severe logistics friction</x:v>
      </x:c>
      <x:c r="J559" s="44" t="n">
        <x:v>5</x:v>
      </x:c>
      <x:c r="K559" s="44" t="str">
        <x:v>The article is Reuters analysis rather than a primary dataset. Freight costs and producer discounts can change quickly with security conditions and negotiations.</x:v>
      </x:c>
    </x:row>
    <x:row r="560">
      <x:c r="A560" t="str">
        <x:v>EV-2026-560</x:v>
      </x:c>
      <x:c r="B560"/>
      <x:c r="C560" s="21" t="d">
        <x:v>2026-10-21T13:46:46.000Z</x:v>
      </x:c>
      <x:c r="D560" t="str">
        <x:v>Cross-asset discovery screen</x:v>
      </x:c>
      <x:c r="E560" t="str">
        <x:v>Reuters / public market data</x:v>
      </x:c>
      <x:c r="F560" t="str">
        <x:v>Independent reporting and timestamped market data</x:v>
      </x:c>
      <x:c r="G560" s="44" t="str">
        <x:v>https://www.reuters.com/legal/transactional/nasdaq-futures-lead-gains-spacex-super-micro-results-lift-ai-trade-2026-10-21/</x:v>
      </x:c>
      <x:c r="H560" s="44" t="str">
        <x:v>Public-data coverage spanned major equity sectors, broad and sector ETFs, Treasury and high-yield instruments, gold and silver, crude and energy equities, earnings revisions, corporate actions, federal awards, policy and public Motley Fool ideas. Relative strength favored healthcare, financials, real estate and small caps while technology lagged early.</x:v>
      </x:c>
      <x:c r="I560" s="44" t="str">
        <x:v>Discovery context; no standalone thesis</x:v>
      </x:c>
      <x:c r="J560" s="44" t="n">
        <x:v>4</x:v>
      </x:c>
      <x:c r="K560" s="44" t="str">
        <x:v>Coverage was broad but not exhaustive. No proprietary flow, consolidated order book, paid research or complete insider-feed census was available.</x:v>
      </x:c>
    </x:row>
    <x:row r="561">
      <x:c r="A561" t="str">
        <x:v>EV-2026-561</x:v>
      </x:c>
      <x:c r="B561" t="str">
        <x:v>EEI-2026-022</x:v>
      </x:c>
      <x:c r="C561" s="21" t="d">
        <x:v>2026-10-21T13:46:46.000Z</x:v>
      </x:c>
      <x:c r="D561" t="str">
        <x:v>AT&amp;T Q3 primary validation</x:v>
      </x:c>
      <x:c r="E561" t="str">
        <x:v>AT&amp;T</x:v>
      </x:c>
      <x:c r="F561" t="str">
        <x:v>Primary issuer results</x:v>
      </x:c>
      <x:c r="G561" s="44" t="str">
        <x:v>https://about.att.com/story/2026/3q-earnings.html</x:v>
      </x:c>
      <x:c r="H561" s="44" t="str">
        <x:v>Q3 revenue was $32.3B, up 5.3%; adjusted EPS $0.65; adjusted EBITDA $12.5B, up 5.4%; operating cash flow $10.5B; free cash flow $5.0B; Advanced Connectivity service revenue up 6.1%; and subscriber additions included 442,000 fiber, 327,000 fixed wireless and 379,000 postpaid phones.</x:v>
      </x:c>
      <x:c r="I561" s="44" t="str">
        <x:v>Supports new Strong thesis</x:v>
      </x:c>
      <x:c r="J561" s="44" t="n">
        <x:v>5</x:v>
      </x:c>
      <x:c r="K561" s="44" t="str">
        <x:v>Net debt was $149.8B, total debt $159.6B, legacy revenue fell 24.5%, Mexico took a $2.6B impairment and leverage normalization is long dated.</x:v>
      </x:c>
    </x:row>
    <x:row r="562">
      <x:c r="A562" t="str">
        <x:v>EV-2026-562</x:v>
      </x:c>
      <x:c r="B562" t="str">
        <x:v>EEI-2026-022</x:v>
      </x:c>
      <x:c r="C562" s="21" t="d">
        <x:v>2026-10-21T13:46:46.000Z</x:v>
      </x:c>
      <x:c r="D562" t="str">
        <x:v>AT&amp;T independent confirmation and price decision</x:v>
      </x:c>
      <x:c r="E562" t="str">
        <x:v>Reuters / public market data</x:v>
      </x:c>
      <x:c r="F562" t="str">
        <x:v>Independent reporting and timestamped quote</x:v>
      </x:c>
      <x:c r="G562" s="44" t="str">
        <x:v>https://www.reuters.com/business/media-telecom/att-raises-annual-profit-forecast-strong-demand-bundled-plans-2026-10-21/</x:v>
      </x:c>
      <x:c r="H562" s="44" t="str">
        <x:v>Reuters confirmed revenue and EPS beats, stronger bundled-plan demand and raised adjusted-EPS guidance. T traded at $22.01 at 9:31 a.m. ET (15-minute-delayed public feed), range $21.64-$24.04. Decision: propose a $300 exploratory paper entry at market; do not chase above $23.50. No fill was recorded.</x:v>
      </x:c>
      <x:c r="I562" s="44" t="str">
        <x:v>ACTIONABLE NOW proposal; not a fill</x:v>
      </x:c>
      <x:c r="J562" s="44" t="n">
        <x:v>4</x:v>
      </x:c>
      <x:c r="K562" s="44" t="str">
        <x:v>The negative market response may reflect debt, capex and legacy-business risk. Portfolio capital and sizing rules remain unavailable, so a proposal cannot be counted as a position.</x:v>
      </x:c>
    </x:row>
    <x:row r="563">
      <x:c r="A563" t="str">
        <x:v>EV-2026-563</x:v>
      </x:c>
      <x:c r="B563"/>
      <x:c r="C563" s="21" t="d">
        <x:v>2026-10-21T13:46:46.000Z</x:v>
      </x:c>
      <x:c r="D563" t="str">
        <x:v>Super Micro preliminary-results candidate</x:v>
      </x:c>
      <x:c r="E563" t="str">
        <x:v>Super Micro Computer / SEC and Reuters</x:v>
      </x:c>
      <x:c r="F563" t="str">
        <x:v>Primary filing with independent confirmation</x:v>
      </x:c>
      <x:c r="G563" s="44" t="str">
        <x:v>https://www.sec.gov/Archives/edgar/data/1375365/000137536526000025/smcifirstquarterfy2027busi.htm</x:v>
      </x:c>
      <x:c r="H563" s="44" t="str">
        <x:v>Super Micro preliminarily raised fiscal-Q1 revenue to $18.5B-$19.5B from $14.5B-$15.5B and gross margin to 12.0%-12.5% from 10.4%-10.8%; SMCI traded near $36.77 at 9:31 a.m. ET (15-minute-delayed public feed). Decision: REJECT a fresh entry until audited November 3 results resolve profitability, cash conversion and accounting quality.</x:v>
      </x:c>
      <x:c r="I563" s="44" t="str">
        <x:v>Rejected fresh candidate</x:v>
      </x:c>
      <x:c r="J563" s="44" t="n">
        <x:v>5</x:v>
      </x:c>
      <x:c r="K563" s="44" t="str">
        <x:v>Figures are unaudited; the company remains under accounting scrutiny, recently changed CFO, and the initial repricing reduced near-term edge.</x:v>
      </x:c>
    </x:row>
    <x:row r="564">
      <x:c r="A564" t="str">
        <x:v>EV-2026-564</x:v>
      </x:c>
      <x:c r="B564"/>
      <x:c r="C564" s="21" t="d">
        <x:v>2026-10-21T13:46:46.000Z</x:v>
      </x:c>
      <x:c r="D564" t="str">
        <x:v>Elevance earnings candidate</x:v>
      </x:c>
      <x:c r="E564" t="str">
        <x:v>Reuters</x:v>
      </x:c>
      <x:c r="F564" t="str">
        <x:v>Independent market reporting</x:v>
      </x:c>
      <x:c r="G564" s="44" t="str">
        <x:v>https://www.reuters.com/business/healthcare-pharmaceuticals/elevance-lifts-2026-profit-forecast-better-medical-cost-management-2026-10-21/</x:v>
      </x:c>
      <x:c r="H564" s="44" t="str">
        <x:v>Elevance raised 2026 adjusted-EPS guidance to at least $29 and reported a 90.6% benefit-expense ratio; ELV traded near $446.79 at 9:31 a.m. ET (15-minute-delayed public feed). Decision: REJECT because membership fell by about 487,000 and the headline EPS included $1.85 of non-operating income.</x:v>
      </x:c>
      <x:c r="I564" s="44" t="str">
        <x:v>Rejected fresh candidate</x:v>
      </x:c>
      <x:c r="J564" s="44" t="n">
        <x:v>4</x:v>
      </x:c>
      <x:c r="K564" s="44" t="str">
        <x:v>The medical-cost result improved, but membership contraction and non-operating earnings reduce the quality of the apparent beat.</x:v>
      </x:c>
    </x:row>
    <x:row r="565">
      <x:c r="A565" t="str">
        <x:v>EV-2026-565</x:v>
      </x:c>
      <x:c r="B565"/>
      <x:c r="C565" s="21" t="d">
        <x:v>2026-10-21T13:46:46.000Z</x:v>
      </x:c>
      <x:c r="D565" t="str">
        <x:v>Netflix earnings and public-editorial trigger</x:v>
      </x:c>
      <x:c r="E565" t="str">
        <x:v>Reuters / The Motley Fool</x:v>
      </x:c>
      <x:c r="F565" t="str">
        <x:v>Independent reporting; free editorial trigger only</x:v>
      </x:c>
      <x:c r="G565" s="44" t="str">
        <x:v>https://www.reuters.com/business/media-telecom/netflix-issues-weak-fourth-quarter-forecast-company-seeks-kick-start-growth-2026-10-20/</x:v>
      </x:c>
      <x:c r="H565" s="44" t="str">
        <x:v>A public Motley Fool article called Netflix oversold, but Reuters reported weaker Q4 profit guidance, a reduced 2026 advertising-revenue forecast and U.S. subscriber losses; NFLX traded near $65.08 at 9:31 a.m. ET (15-minute-delayed public feed). Decision: REJECT. Motley Fool was not confirmation.</x:v>
      </x:c>
      <x:c r="I565" s="44" t="str">
        <x:v>Rejected fresh candidate</x:v>
      </x:c>
      <x:c r="J565" s="44" t="n">
        <x:v>4</x:v>
      </x:c>
      <x:c r="K565" s="44" t="str">
        <x:v>Q3 revenue grew 11.8%, but subscriber, advertising and forward-profit evidence contradicted the oversold thesis.</x:v>
      </x:c>
    </x:row>
    <x:row r="566">
      <x:c r="A566" t="str">
        <x:v>EV-2026-566</x:v>
      </x:c>
      <x:c r="B566"/>
      <x:c r="C566" s="21" t="d">
        <x:v>2026-10-21T13:46:46.000Z</x:v>
      </x:c>
      <x:c r="D566" t="str">
        <x:v>Abbott separation candidate</x:v>
      </x:c>
      <x:c r="E566" t="str">
        <x:v>Reuters</x:v>
      </x:c>
      <x:c r="F566" t="str">
        <x:v>Independent market reporting</x:v>
      </x:c>
      <x:c r="G566" s="44" t="str">
        <x:v>https://www.reuters.com/business/healthcare-pharmaceuticals/abbott-lowers-2026-sales-growth-forecast-medical-device-weakness-2026-10-21/</x:v>
      </x:c>
      <x:c r="H566" s="44" t="str">
        <x:v>Abbott proposed a nutrition-business separation by the end of 2027 but cut 2026 organic-sales growth guidance because of medical-device weakness. Decision: REJECT a new thesis pending transaction details and stabilization in the core device business.</x:v>
      </x:c>
      <x:c r="I566" s="44" t="str">
        <x:v>Rejected corporate-action candidate</x:v>
      </x:c>
      <x:c r="J566" s="44" t="n">
        <x:v>4</x:v>
      </x:c>
      <x:c r="K566" s="44" t="str">
        <x:v>A long-dated separation cannot offset an immediate operating-guide cut without clearer standalone economics.</x:v>
      </x:c>
    </x:row>
    <x:row r="567">
      <x:c r="A567" t="str">
        <x:v>EV-2026-567</x:v>
      </x:c>
      <x:c r="B567"/>
      <x:c r="C567" s="21" t="d">
        <x:v>2026-10-21T13:46:46.000Z</x:v>
      </x:c>
      <x:c r="D567" t="str">
        <x:v>L3Harris Navy contract screen</x:v>
      </x:c>
      <x:c r="E567" t="str">
        <x:v>L3Harris</x:v>
      </x:c>
      <x:c r="F567" t="str">
        <x:v>Primary issuer announcement</x:v>
      </x:c>
      <x:c r="G567" s="44" t="str">
        <x:v>https://www.l3harris.com/newsroom/press-release/2026/10/l3harris-advances-us-navy-next-generation-jammer-low-band-program</x:v>
      </x:c>
      <x:c r="H567" s="44" t="str">
        <x:v>L3Harris disclosed an $876.4M undefinitized Navy contract modification for the Next Generation Jammer Low Band engineering and manufacturing-development phase. Decision: REJECT a standalone entry because the action was previously signaled, funding and margin detail remain incomplete, and an undefinitized modification is not equivalent to a new fully funded award.</x:v>
      </x:c>
      <x:c r="I567" s="44" t="str">
        <x:v>Rejected award catalyst</x:v>
      </x:c>
      <x:c r="J567" s="44" t="n">
        <x:v>5</x:v>
      </x:c>
      <x:c r="K567" s="44" t="str">
        <x:v>The notice did not establish incremental obligation, competition terms, final economics or unexpected materiality relative to L3Harris revenue and backlog.</x:v>
      </x:c>
    </x:row>
    <x:row r="568">
      <x:c r="A568" t="str">
        <x:v>EV-2026-568</x:v>
      </x:c>
      <x:c r="B568"/>
      <x:c r="C568" s="21" t="d">
        <x:v>2026-10-21T13:46:46.000Z</x:v>
      </x:c>
      <x:c r="D568" t="str">
        <x:v>Federal-award channel screen</x:v>
      </x:c>
      <x:c r="E568" t="str">
        <x:v>U.S. Department of War / federal award records</x:v>
      </x:c>
      <x:c r="F568" t="str">
        <x:v>Primary government records and delayed award data</x:v>
      </x:c>
      <x:c r="G568" s="44" t="str">
        <x:v>https://www.war.gov/news/contracts/</x:v>
      </x:c>
      <x:c r="H568" s="44" t="str">
        <x:v>The October 20 public contract list included electricity-supply awards to Constellation NewEnergy, Direct Energy and WGL Energy whose individual values were not material to public parents. A separately surfaced $2.21B TOTE shipbuilding award was a July action posted with delay and involved a private recipient. No listed-equity thesis qualified.</x:v>
      </x:c>
      <x:c r="I568" s="44" t="str">
        <x:v>No public-equity thesis</x:v>
      </x:c>
      <x:c r="J568" s="44" t="n">
        <x:v>4</x:v>
      </x:c>
      <x:c r="K568" s="44" t="str">
        <x:v>The current award page was intermittently inaccessible, and delayed feeds can surface old actions as new. Obligations, NAICS/PSC and parent-level materiality were incomplete for some records.</x:v>
      </x:c>
    </x:row>
    <x:row r="569">
      <x:c r="A569" t="str">
        <x:v>EV-2026-569</x:v>
      </x:c>
      <x:c r="B569"/>
      <x:c r="C569" s="21" t="d">
        <x:v>2026-10-21T13:46:46.000Z</x:v>
      </x:c>
      <x:c r="D569" t="str">
        <x:v>Motley Fool public-idea screen</x:v>
      </x:c>
      <x:c r="E569" t="str">
        <x:v>The Motley Fool / John Ballard</x:v>
      </x:c>
      <x:c r="F569" t="str">
        <x:v>Free editorial trigger source only</x:v>
      </x:c>
      <x:c r="G569" s="44" t="str">
        <x:v>https://www.fool.com/investing/2026/10/21/2-brilliant-stocks-to-buy-now-and-hold-forever/</x:v>
      </x:c>
      <x:c r="H569" s="44" t="str">
        <x:v>A free October 21 editorial proposed Amazon and On Holding as long-duration buys. The article supplied no new independently material catalyst beyond existing growth narratives, so neither idea advanced to a thesis or paper action. Promotional framing was excluded and Motley Fool was not treated as confirmation.</x:v>
      </x:c>
      <x:c r="I569" s="44" t="str">
        <x:v>Rejected escalation</x:v>
      </x:c>
      <x:c r="J569" s="44" t="n">
        <x:v>3</x:v>
      </x:c>
      <x:c r="K569" s="44" t="str">
        <x:v>No paid-service pick was inferred. The article's broad long-horizon claims did not create a fresh, timestamped entry edge.</x:v>
      </x:c>
    </x:row>
    <x:row r="570">
      <x:c r="A570" t="str">
        <x:v>EV-2026-555</x:v>
      </x:c>
      <x:c r="B570" t="str">
        <x:v>EEI-2026-001</x:v>
      </x:c>
      <x:c r="C570" s="21" t="d">
        <x:v>2026-10-20T21:06:27.000Z</x:v>
      </x:c>
      <x:c r="D570" t="str">
        <x:v>Paper-trade outcome</x:v>
      </x:c>
      <x:c r="E570" t="str">
        <x:v>StockAnalysis</x:v>
      </x:c>
      <x:c r="F570" t="str">
        <x:v>Market data</x:v>
      </x:c>
      <x:c r="G570" s="44" t="str">
        <x:v>https://stockanalysis.com/etf/bno/history/</x:v>
      </x:c>
      <x:c r="H570" s="44" t="str">
        <x:v>BNO closed October 20 at $66.87 versus the fixed September 8 opening entry of $57.21. The $1,000 fractional-share paper position was worth $1,168.85, a gain of $168.85 or 16.89%.</x:v>
      </x:c>
      <x:c r="I570" s="44" t="str">
        <x:v>Confirms direct Brent expression</x:v>
      </x:c>
      <x:c r="J570" s="44" t="n">
        <x:v>4</x:v>
      </x:c>
      <x:c r="K570" s="44" t="str">
        <x:v>Restored after the October 21 morning research scan displaced the prior close record; official regular-session close used.</x:v>
      </x:c>
    </x:row>
    <x:row r="571">
      <x:c r="A571" t="str">
        <x:v>EV-2026-556</x:v>
      </x:c>
      <x:c r="B571" t="str">
        <x:v>EEI-2026-001</x:v>
      </x:c>
      <x:c r="C571" s="21" t="d">
        <x:v>2026-10-20T21:06:27.000Z</x:v>
      </x:c>
      <x:c r="D571" t="str">
        <x:v>Paper-trade outcome</x:v>
      </x:c>
      <x:c r="E571" t="str">
        <x:v>StockAnalysis</x:v>
      </x:c>
      <x:c r="F571" t="str">
        <x:v>Market data</x:v>
      </x:c>
      <x:c r="G571" s="44" t="str">
        <x:v>https://stockanalysis.com/etf/uso/history/</x:v>
      </x:c>
      <x:c r="H571" s="44" t="str">
        <x:v>USO closed October 20 at $160.61 versus the fixed September 8 opening entry of $144.60. The $1,000 fractional-share paper position was worth $1,110.72, a gain of $110.72 or 11.07%.</x:v>
      </x:c>
      <x:c r="I571" s="44" t="str">
        <x:v>Confirms direct WTI expression</x:v>
      </x:c>
      <x:c r="J571" s="44" t="n">
        <x:v>4</x:v>
      </x:c>
      <x:c r="K571" s="44" t="str">
        <x:v>Restored after the October 21 morning research scan displaced the prior close record; the fund's futures exposure can diverge from a single expiring WTI contract.</x:v>
      </x:c>
    </x:row>
    <x:row r="572">
      <x:c r="A572" t="str">
        <x:v>EV-2026-557</x:v>
      </x:c>
      <x:c r="B572" t="str">
        <x:v>EEI-2026-001</x:v>
      </x:c>
      <x:c r="C572" s="21" t="d">
        <x:v>2026-10-20T21:06:27.000Z</x:v>
      </x:c>
      <x:c r="D572" t="str">
        <x:v>Paper-trade outcome</x:v>
      </x:c>
      <x:c r="E572" t="str">
        <x:v>StockAnalysis</x:v>
      </x:c>
      <x:c r="F572" t="str">
        <x:v>Market data</x:v>
      </x:c>
      <x:c r="G572" s="44" t="str">
        <x:v>https://stockanalysis.com/etf/xop/history/</x:v>
      </x:c>
      <x:c r="H572" s="44" t="str">
        <x:v>XOP closed October 20 at $200.05 versus the fixed September 8 opening entry of $193.84. The $1,000 fractional-share paper position was worth $1,032.04, a gain of $32.04 or 3.20%.</x:v>
      </x:c>
      <x:c r="I572" s="44" t="str">
        <x:v>Positive but still weakest expression</x:v>
      </x:c>
      <x:c r="J572" s="44" t="n">
        <x:v>4</x:v>
      </x:c>
      <x:c r="K572" s="44" t="str">
        <x:v>Restored after the October 21 morning research scan displaced the prior close record; producer equities retain company and equity-market mapping risk.</x:v>
      </x:c>
    </x:row>
    <x:row r="573">
      <x:c r="A573" t="str">
        <x:v>EV-2026-558</x:v>
      </x:c>
      <x:c r="B573" t="str">
        <x:v>EEI-2026-001</x:v>
      </x:c>
      <x:c r="C573" s="21" t="d">
        <x:v>2026-10-20T21:06:27.000Z</x:v>
      </x:c>
      <x:c r="D573" t="str">
        <x:v>Market confirmation and counterweight</x:v>
      </x:c>
      <x:c r="E573" t="str">
        <x:v>Reuters / Kpler</x:v>
      </x:c>
      <x:c r="F573" t="str">
        <x:v>High-quality independent reporting and shipping data</x:v>
      </x:c>
      <x:c r="G573" s="44" t="str">
        <x:v>https://www.reuters.com/business/energy/oil-eases-markets-assess-potential-waiver-russian-energy-middle-east-supply-2026-10-20/</x:v>
      </x:c>
      <x:c r="H573" s="44" t="str">
        <x:v>Brent settled October 20 at $108.79 after reaching $111.99 intraday. Expiring November WTI settled at $101.79, while the more active December contract settled at $97.82. Kpler reported at least 18 vessel attacks over two weeks, and Houthi forces claimed new attacks on Saudi energy, airport and military targets.</x:v>
      </x:c>
      <x:c r="I573" s="44" t="str">
        <x:v>Confirms persistent risk premium but shows sharp intraday reversal</x:v>
      </x:c>
      <x:c r="J573" s="44" t="n">
        <x:v>5</x:v>
      </x:c>
      <x:c r="K573" s="44" t="str">
        <x:v>Restored after displacement; Saudi authorities had not confirmed the Houthi claims, and Reuters could not independently verify them.</x:v>
      </x:c>
    </x:row>
    <x:row r="574">
      <x:c r="A574" t="str">
        <x:v>EV-2026-559</x:v>
      </x:c>
      <x:c r="B574" t="str">
        <x:v>EEI-2026-001</x:v>
      </x:c>
      <x:c r="C574" s="21" t="d">
        <x:v>2026-10-20T21:06:27.000Z</x:v>
      </x:c>
      <x:c r="D574" t="str">
        <x:v>Mechanism update</x:v>
      </x:c>
      <x:c r="E574" t="str">
        <x:v>Reuters</x:v>
      </x:c>
      <x:c r="F574" t="str">
        <x:v>High-quality independent reporting</x:v>
      </x:c>
      <x:c r="G574" s="44" t="str">
        <x:v>https://www.reuters.com/business/energy/oil-eases-markets-assess-potential-waiver-russian-energy-middle-east-supply-2026-10-20/</x:v>
      </x:c>
      <x:c r="H574" s="44" t="str">
        <x:v>Iran's president discussed mediation with Pakistan's army chief, helping crude reverse from session highs. Russian diesel cargoes resumed to Turkey and Brazil after sanctions relief, and U.S. officials pushed for higher domestic refinery utilization and reopening shuttered plants.</x:v>
      </x:c>
      <x:c r="I574" s="44" t="str">
        <x:v>Counterweight: diplomacy and incremental product supply can compress the premium</x:v>
      </x:c>
      <x:c r="J574" s="44" t="n">
        <x:v>5</x:v>
      </x:c>
      <x:c r="K574" s="44" t="str">
        <x:v>Restored after displacement; mediation has failed before, vessel attacks remain frequent and refinery measures would not directly restore Gulf transit reliability.</x:v>
      </x:c>
    </x:row>
    <x:row r="575">
      <x:c r="A575" t="str">
        <x:v>EV-2026-575</x:v>
      </x:c>
      <x:c r="B575"/>
      <x:c r="C575" s="21" t="d">
        <x:v>2026-10-22T12:43:14.000Z</x:v>
      </x:c>
      <x:c r="D575" t="str">
        <x:v>Cross-asset discovery screen</x:v>
      </x:c>
      <x:c r="E575" t="str">
        <x:v>Reuters / public market data</x:v>
      </x:c>
      <x:c r="F575" t="str">
        <x:v>Independent reporting and timestamped market data</x:v>
      </x:c>
      <x:c r="G575" s="44" t="str">
        <x:v>https://www.reuters.com/world/china/global-markets-global-markets-2026-10-22/</x:v>
      </x:c>
      <x:c r="H575" s="44" t="str">
        <x:v>Public-data coverage spanned all major equity sectors through earnings and mover screens; broad and sector ETFs; Treasury duration and high-yield credit; crude, natural gas and precious metals; regulatory and FDA actions; federal-award channels; corporate actions; and public Motley Fool editorials. U.S. technology futures weakened, Brent rose about 3% near $112 on renewed Saudi shipping risk, the 10-year Treasury yield eased near 5.06%, and credit ETFs were little changed before the cash session.</x:v>
      </x:c>
      <x:c r="I575" s="44" t="str">
        <x:v>Discovery context; no standalone thesis</x:v>
      </x:c>
      <x:c r="J575" s="44" t="n">
        <x:v>4</x:v>
      </x:c>
      <x:c r="K575" s="44" t="str">
        <x:v>Coverage was broad but not exhaustive. No proprietary flow, consolidated order book, paid research, complete real-time insider census or regular-session quote was available before the scan ended.</x:v>
      </x:c>
    </x:row>
    <x:row r="576">
      <x:c r="A576" t="str">
        <x:v>EV-2026-576</x:v>
      </x:c>
      <x:c r="B576" t="str">
        <x:v>EEI-2026-022</x:v>
      </x:c>
      <x:c r="C576" s="21" t="d">
        <x:v>2026-10-22T12:43:14.000Z</x:v>
      </x:c>
      <x:c r="D576" t="str">
        <x:v>AT&amp;T premarket decision review</x:v>
      </x:c>
      <x:c r="E576" t="str">
        <x:v>AT&amp;T / public market data</x:v>
      </x:c>
      <x:c r="F576" t="str">
        <x:v>Primary results plus public premarket indication</x:v>
      </x:c>
      <x:c r="G576" s="44" t="str">
        <x:v>https://about.att.com/story/2026/3q-earnings.html</x:v>
      </x:c>
      <x:c r="H576" s="44" t="str">
        <x:v>AT&amp;T's raised roughly $2.40 adjusted-EPS outlook, at least $18B free-cash-flow target and Advanced Connectivity growth remained intact. A public feed showed T at $22.06 at 8:13 a.m. ET versus the October 21 close of $23.42. Decision: retain only a finite premarket watch through the October 22 close; restore an actionable proposal solely with a fresh regular-session price at or below $22.25, above the $21.50 daily-close invalidation and without new guidance deterioration.</x:v>
      </x:c>
      <x:c r="I576" s="44" t="str">
        <x:v>Finite premarket watch; not an order or alert</x:v>
      </x:c>
      <x:c r="J576" s="44" t="n">
        <x:v>5</x:v>
      </x:c>
      <x:c r="K576" s="44" t="str">
        <x:v>Wireless additions merely met expectations, operating costs rose, net debt remains high and SpaceX is a new long-horizon competitive threat. Premarket prices are not executable regular-session evidence.</x:v>
      </x:c>
    </x:row>
    <x:row r="577">
      <x:c r="A577" t="str">
        <x:v>EV-2026-577</x:v>
      </x:c>
      <x:c r="B577"/>
      <x:c r="C577" s="21" t="d">
        <x:v>2026-10-22T12:43:14.000Z</x:v>
      </x:c>
      <x:c r="D577" t="str">
        <x:v>IBM earnings-dislocation candidate</x:v>
      </x:c>
      <x:c r="E577" t="str">
        <x:v>IBM</x:v>
      </x:c>
      <x:c r="F577" t="str">
        <x:v>Primary issuer results</x:v>
      </x:c>
      <x:c r="G577" s="44" t="str">
        <x:v>https://newsroom.ibm.com/2026-10-21-IBM-RELEASES-THIRD-QUARTER-RESULTS</x:v>
      </x:c>
      <x:c r="H577" s="44" t="str">
        <x:v>IBM reported $17.1B of revenue, up 5%; software growth of 8%; Q3 free cash flow of $3.0B, up $0.7B; and raised full-year free-cash-flow growth to more than $1B. A public premarket report indicated about $238.85, down roughly 5%. Decision: REJECT a new paper entry pending regular-session stabilization and a better debt-adjusted valuation.</x:v>
      </x:c>
      <x:c r="I577" s="44" t="str">
        <x:v>Rejected fresh candidate</x:v>
      </x:c>
      <x:c r="J577" s="44" t="n">
        <x:v>5</x:v>
      </x:c>
      <x:c r="K577" s="44" t="str">
        <x:v>GAAP gross margin fell 50 basis points, consulting was flat, IBM Z revenue fell 20%, debt rose to $63.8B after $11.4B of acquisitions and the company only reiterated 4%-5% constant-currency revenue growth.</x:v>
      </x:c>
    </x:row>
    <x:row r="578">
      <x:c r="A578" t="str">
        <x:v>EV-2026-578</x:v>
      </x:c>
      <x:c r="B578"/>
      <x:c r="C578" s="21" t="d">
        <x:v>2026-10-22T12:43:14.000Z</x:v>
      </x:c>
      <x:c r="D578" t="str">
        <x:v>Meta earnings and capital-allocation candidate</x:v>
      </x:c>
      <x:c r="E578" t="str">
        <x:v>Meta Platforms</x:v>
      </x:c>
      <x:c r="F578" t="str">
        <x:v>Primary issuer results</x:v>
      </x:c>
      <x:c r="G578" s="44" t="str">
        <x:v>https://investor.atmeta.com/investor-news/press-release-details/2026/Meta-Reports-Third-Quarter-2026-Results/default.aspx</x:v>
      </x:c>
      <x:c r="H578" s="44" t="str">
        <x:v>Meta's Q3 revenue grew 26% to $64.6B, ad impressions rose 10% and average price per ad rose 14%. Decision: REJECT a fresh paper entry because current cash use, litigation and governance changes impair near-term entry quality despite strong core growth.</x:v>
      </x:c>
      <x:c r="I578" s="44" t="str">
        <x:v>Rejected fresh candidate</x:v>
      </x:c>
      <x:c r="J578" s="44" t="n">
        <x:v>5</x:v>
      </x:c>
      <x:c r="K578" s="44" t="str">
        <x:v>Q3 free cash flow was negative $2.12B, capex was $34.91B, 2026 capex guidance is $135B-$145B, the quarter included a $9.89B legal charge, further youth-related litigation remains active and a new non-voting Class C stock is planned.</x:v>
      </x:c>
    </x:row>
    <x:row r="579">
      <x:c r="A579" t="str">
        <x:v>EV-2026-579</x:v>
      </x:c>
      <x:c r="B579"/>
      <x:c r="C579" s="21" t="d">
        <x:v>2026-10-22T12:43:14.000Z</x:v>
      </x:c>
      <x:c r="D579" t="str">
        <x:v>P&amp;G earnings candidate</x:v>
      </x:c>
      <x:c r="E579" t="str">
        <x:v>Procter &amp; Gamble</x:v>
      </x:c>
      <x:c r="F579" t="str">
        <x:v>Primary issuer release</x:v>
      </x:c>
      <x:c r="G579" s="44" t="str">
        <x:v>https://www.pginvestor.com/files/content_files/FY2627-Q1-JAS-Press-Release-Final.pdf</x:v>
      </x:c>
      <x:c r="H579" s="44" t="str">
        <x:v>P&amp;G reported 4% net and organic sales growth, $1.97 diluted EPS and $2.00 core EPS. Decision: REJECT a fresh entry because only 1% core-EPS growth and cost pressure did not provide enough edge at roughly 23 times trailing earnings before regular-session price discovery.</x:v>
      </x:c>
      <x:c r="I579" s="44" t="str">
        <x:v>Rejected fresh candidate</x:v>
      </x:c>
      <x:c r="J579" s="44" t="n">
        <x:v>5</x:v>
      </x:c>
      <x:c r="K579" s="44" t="str">
        <x:v>Gross margin fell and management cited about $1.4B of annual input and logistics pressure; the stock was only modestly lower in premarket trading, so the operating beat had not created a large valuation dislocation.</x:v>
      </x:c>
    </x:row>
    <x:row r="580">
      <x:c r="A580" t="str">
        <x:v>EV-2026-580</x:v>
      </x:c>
      <x:c r="B580"/>
      <x:c r="C580" s="21" t="d">
        <x:v>2026-10-22T12:43:14.000Z</x:v>
      </x:c>
      <x:c r="D580" t="str">
        <x:v>Nokia AI-network demand candidate</x:v>
      </x:c>
      <x:c r="E580" t="str">
        <x:v>Nokia / Reuters</x:v>
      </x:c>
      <x:c r="F580" t="str">
        <x:v>Primary issuer context with independent reporting</x:v>
      </x:c>
      <x:c r="G580" s="44" t="str">
        <x:v>https://www.reuters.com/business/nokia-third-quarter-profit-beats-expectations-2026-10-22/</x:v>
      </x:c>
      <x:c r="H580" s="44" t="str">
        <x:v>Nokia's comparable Q3 sales rose 10% to €5.15B, comparable operating profit reached €605M versus €453M consensus, and AI/cloud sales and orders rose 123% and 118%. Decision: REJECT a fresh chase because the shares were already up 48% year to date and the company maintained rather than raised full-year guidance.</x:v>
      </x:c>
      <x:c r="I580" s="44" t="str">
        <x:v>Rejected fresh candidate</x:v>
      </x:c>
      <x:c r="J580" s="44" t="n">
        <x:v>4</x:v>
      </x:c>
      <x:c r="K580" s="44" t="str">
        <x:v>Reported operating profit was reduced by Infinera-integration charges, the catalyst had already materially repriced the shares and U.S. ADR regular-session confirmation was not yet available.</x:v>
      </x:c>
    </x:row>
    <x:row r="581">
      <x:c r="A581" t="str">
        <x:v>EV-2026-581</x:v>
      </x:c>
      <x:c r="B581"/>
      <x:c r="C581" s="21" t="d">
        <x:v>2026-10-22T12:43:14.000Z</x:v>
      </x:c>
      <x:c r="D581" t="str">
        <x:v>FDA approval candidate screen</x:v>
      </x:c>
      <x:c r="E581" t="str">
        <x:v>U.S. FDA / GSK</x:v>
      </x:c>
      <x:c r="F581" t="str">
        <x:v>Primary regulator record</x:v>
      </x:c>
      <x:c r="G581" s="44" t="str">
        <x:v>https://www.fda.gov/news-events/press-announcements/fda-approves-first-its-kind-chronic-hepatitis-b-treatment</x:v>
      </x:c>
      <x:c r="H581" s="44" t="str">
        <x:v>FDA approved GSK's Hibsago for a defined chronic-hepatitis-B population; 19% of treated trial patients maintained viral control 24 weeks after stopping all therapy. Decision: REJECT a standalone GSK thesis because product pricing, eligible population, launch economics and parent-level revenue materiality were not yet established.</x:v>
      </x:c>
      <x:c r="I581" s="44" t="str">
        <x:v>Rejected regulatory candidate</x:v>
      </x:c>
      <x:c r="J581" s="44" t="n">
        <x:v>5</x:v>
      </x:c>
      <x:c r="K581" s="44" t="str">
        <x:v>The label has boxed warnings for serious liver reactions and low platelets, only a subset qualifies, and an approval already known since October 20 offers no verified fresh entry edge today.</x:v>
      </x:c>
    </x:row>
    <x:row r="582">
      <x:c r="A582" t="str">
        <x:v>EV-2026-582</x:v>
      </x:c>
      <x:c r="B582"/>
      <x:c r="C582" s="21" t="d">
        <x:v>2026-10-22T12:43:14.000Z</x:v>
      </x:c>
      <x:c r="D582" t="str">
        <x:v>Federal-award and policy screen</x:v>
      </x:c>
      <x:c r="E582" t="str">
        <x:v>USAspending / Department of Defense / FDA</x:v>
      </x:c>
      <x:c r="F582" t="str">
        <x:v>Primary government records and delayed award data</x:v>
      </x:c>
      <x:c r="G582" s="44" t="str">
        <x:v>https://www.usaspending.gov/</x:v>
      </x:c>
      <x:c r="H582" s="44" t="str">
        <x:v>Current public searches did not surface a newly obligated, parent-material listed-company award with complete award terms. Several results were old actions, zero-dollar administrative modifications, private recipients or immaterial relative to public parents. No public-equity thesis qualified.</x:v>
      </x:c>
      <x:c r="I582" s="44" t="str">
        <x:v>No qualifying public-equity award</x:v>
      </x:c>
      <x:c r="J582" s="44" t="n">
        <x:v>4</x:v>
      </x:c>
      <x:c r="K582" s="44" t="str">
        <x:v>Award feeds can be delayed and search coverage was not exhaustive. Incomplete obligations, competition terms, NAICS/PSC and parent-level materiality prevented escalation.</x:v>
      </x:c>
    </x:row>
    <x:row r="583">
      <x:c r="A583" t="str">
        <x:v>EV-2026-583</x:v>
      </x:c>
      <x:c r="B583"/>
      <x:c r="C583" s="21" t="d">
        <x:v>2026-10-22T12:43:14.000Z</x:v>
      </x:c>
      <x:c r="D583" t="str">
        <x:v>Motley Fool public-idea screen</x:v>
      </x:c>
      <x:c r="E583" t="str">
        <x:v>The Motley Fool / Adam Spatacco and Trevor Jennewine</x:v>
      </x:c>
      <x:c r="F583" t="str">
        <x:v>Free editorial trigger source only</x:v>
      </x:c>
      <x:c r="G583" s="44" t="str">
        <x:v>https://www.fool.com/investing/2026/10/22/prediction-spacex-stock-can-make-you-millionaire/</x:v>
      </x:c>
      <x:c r="H583" s="44" t="str">
        <x:v>Two free October 22 editorials discussed SpaceX and Nvidia-linked portfolio holdings. They relied on aggressive valuation assumptions or already-known holdings and did not supply a fresh independently material catalyst. Decision: reject escalation; Motley Fool remained a trigger only and no paid recommendation was inferred.</x:v>
      </x:c>
      <x:c r="I583" s="44" t="str">
        <x:v>Rejected escalation</x:v>
      </x:c>
      <x:c r="J583" s="44" t="n">
        <x:v>3</x:v>
      </x:c>
      <x:c r="K583" s="44" t="str">
        <x:v>SpaceX valuation assumptions were promotional and private-market shares are not a clean liquid public expression; the Nvidia portfolio article did not establish incremental earnings or cash-flow materiality.</x:v>
      </x:c>
    </x:row>
    <x:row r="584">
      <x:c r="A584" t="str">
        <x:v>EV-2026-584</x:v>
      </x:c>
      <x:c r="B584" t="str">
        <x:v>EEI-2026-001</x:v>
      </x:c>
      <x:c r="C584" s="21" t="d">
        <x:v>2026-10-22T12:43:14.000Z</x:v>
      </x:c>
      <x:c r="D584" t="str">
        <x:v>Energy and rates premarket update</x:v>
      </x:c>
      <x:c r="E584" t="str">
        <x:v>Reuters / EIA</x:v>
      </x:c>
      <x:c r="F584" t="str">
        <x:v>Independent reporting and primary energy data</x:v>
      </x:c>
      <x:c r="G584" s="44" t="str">
        <x:v>https://www.reuters.com/world/china/global-markets-global-markets-2026-10-22/</x:v>
      </x:c>
      <x:c r="H584" s="44" t="str">
        <x:v>Brent rose about 3% near $112 as additional Houthi attacks in Saudi Arabia renewed supply-risk pricing; safe-haven demand pushed Treasury yields lower. The latest EIA evidence still showed a larger-than-expected U.S. crude draw but rising distillate inventories. Existing BNO, USO and XOP positions were left at verified October 21 official closes because premarket fund indications were not regular-session marks.</x:v>
      </x:c>
      <x:c r="I584" s="44" t="str">
        <x:v>Supports energy risk premium; no new trade</x:v>
      </x:c>
      <x:c r="J584" s="44" t="n">
        <x:v>4</x:v>
      </x:c>
      <x:c r="K584" s="44" t="str">
        <x:v>The oil move is headline-sensitive; distillate inventory growth, possible diplomacy and U.S. supply responses can compress the premium. No contemporaneous regular-session ETF prices were available.</x:v>
      </x:c>
    </x:row>
    <x:row r="585">
      <x:c r="A585" t="str">
        <x:v>EV-2026-585</x:v>
      </x:c>
      <x:c r="B585" t="str">
        <x:v>EEI-2026-001</x:v>
      </x:c>
      <x:c r="C585" s="21" t="d">
        <x:v>2026-10-22T21:12:36.000Z</x:v>
      </x:c>
      <x:c r="D585" t="str">
        <x:v>Paper-trade outcome</x:v>
      </x:c>
      <x:c r="E585" t="str">
        <x:v>StockAnalysis</x:v>
      </x:c>
      <x:c r="F585" t="str">
        <x:v>Market data</x:v>
      </x:c>
      <x:c r="G585" s="44" t="str">
        <x:v>https://stockanalysis.com/etf/bno/history/</x:v>
      </x:c>
      <x:c r="H585" s="44" t="str">
        <x:v>BNO closed October 22 at $68.91 versus the fixed September 8 opening entry of $57.21. The $1,000 fractional-share paper position was worth $1,204.51, a gain of $204.51 or 20.45%.</x:v>
      </x:c>
      <x:c r="I585" s="44" t="str">
        <x:v>Confirms direct Brent expression</x:v>
      </x:c>
      <x:c r="J585" s="44" t="n">
        <x:v>4</x:v>
      </x:c>
      <x:c r="K585" s="44" t="str">
        <x:v>Official regular-session close used; totals retain unrounded fractional shares.</x:v>
      </x:c>
    </x:row>
    <x:row r="586">
      <x:c r="A586" t="str">
        <x:v>EV-2026-586</x:v>
      </x:c>
      <x:c r="B586" t="str">
        <x:v>EEI-2026-001</x:v>
      </x:c>
      <x:c r="C586" s="21" t="d">
        <x:v>2026-10-22T21:12:36.000Z</x:v>
      </x:c>
      <x:c r="D586" t="str">
        <x:v>Paper-trade outcome</x:v>
      </x:c>
      <x:c r="E586" t="str">
        <x:v>StockAnalysis</x:v>
      </x:c>
      <x:c r="F586" t="str">
        <x:v>Market data</x:v>
      </x:c>
      <x:c r="G586" s="44" t="str">
        <x:v>https://stockanalysis.com/etf/uso/history/</x:v>
      </x:c>
      <x:c r="H586" s="44" t="str">
        <x:v>USO closed October 22 at $162.51 versus the fixed September 8 opening entry of $144.60. The $1,000 fractional-share paper position was worth $1,123.86, a gain of $123.86 or 12.39%.</x:v>
      </x:c>
      <x:c r="I586" s="44" t="str">
        <x:v>Confirms direct WTI expression</x:v>
      </x:c>
      <x:c r="J586" s="44" t="n">
        <x:v>4</x:v>
      </x:c>
      <x:c r="K586" s="44" t="str">
        <x:v>Official regular-session close used; the fund's futures exposure can diverge from spot WTI.</x:v>
      </x:c>
    </x:row>
    <x:row r="587">
      <x:c r="A587" t="str">
        <x:v>EV-2026-587</x:v>
      </x:c>
      <x:c r="B587" t="str">
        <x:v>EEI-2026-001</x:v>
      </x:c>
      <x:c r="C587" s="21" t="d">
        <x:v>2026-10-22T21:12:36.000Z</x:v>
      </x:c>
      <x:c r="D587" t="str">
        <x:v>Paper-trade outcome</x:v>
      </x:c>
      <x:c r="E587" t="str">
        <x:v>StockAnalysis</x:v>
      </x:c>
      <x:c r="F587" t="str">
        <x:v>Market data</x:v>
      </x:c>
      <x:c r="G587" s="44" t="str">
        <x:v>https://stockanalysis.com/etf/xop/history/</x:v>
      </x:c>
      <x:c r="H587" s="44" t="str">
        <x:v>XOP closed October 22 at $196.87 versus the fixed September 8 opening entry of $193.84. The $1,000 fractional-share paper position was worth $1,015.63, a gain of $15.63 or 1.56%.</x:v>
      </x:c>
      <x:c r="I587" s="44" t="str">
        <x:v>Positive but still weakest expression</x:v>
      </x:c>
      <x:c r="J587" s="44" t="n">
        <x:v>4</x:v>
      </x:c>
      <x:c r="K587" s="44" t="str">
        <x:v>Official regular-session close used; the producer-equity ETF retains company and equity-market mapping risk.</x:v>
      </x:c>
    </x:row>
    <x:row r="588">
      <x:c r="A588" t="str">
        <x:v>EV-2026-588</x:v>
      </x:c>
      <x:c r="B588" t="str">
        <x:v>EEI-2026-001</x:v>
      </x:c>
      <x:c r="C588" s="21" t="d">
        <x:v>2026-10-22T21:12:36.000Z</x:v>
      </x:c>
      <x:c r="D588" t="str">
        <x:v>Market confirmation</x:v>
      </x:c>
      <x:c r="E588" t="str">
        <x:v>Reuters</x:v>
      </x:c>
      <x:c r="F588" t="str">
        <x:v>High-quality independent reporting</x:v>
      </x:c>
      <x:c r="G588" s="44" t="str">
        <x:v>https://www.reuters.com/business/energy/oil-rises-us-orders-diplomats-leave-saudi-arabia-amid-escalating-tensions-2026-10-22/</x:v>
      </x:c>
      <x:c r="H588" s="44" t="str">
        <x:v>Brent rose 4.0% to settle October 22 at $113.17, its highest close since May 4, and WTI rose 2.4% to $99.47. Houthi attacks on Saudi infrastructure intensified supply concerns, Saudi Aramco told staff to evacuate its Dhahran headquarters, and a Libyan pipeline shutdown reduced output at two fields.</x:v>
      </x:c>
      <x:c r="I588" s="44" t="str">
        <x:v>Confirms renewed supply-risk premium</x:v>
      </x:c>
      <x:c r="J588" s="44" t="n">
        <x:v>5</x:v>
      </x:c>
      <x:c r="K588" s="44" t="str">
        <x:v>Middle East crude exports were still about 17 million barrels per day last week, near the 18 million prewar average, so the price response reflects disruption risk as well as current physical scarcity.</x:v>
      </x:c>
    </x:row>
    <x:row r="589">
      <x:c r="A589" t="str">
        <x:v>EV-2026-589</x:v>
      </x:c>
      <x:c r="B589" t="str">
        <x:v>EEI-2026-022</x:v>
      </x:c>
      <x:c r="C589" s="21" t="d">
        <x:v>2026-10-23T12:19:06.000Z</x:v>
      </x:c>
      <x:c r="D589" t="str">
        <x:v>AT&amp;T competitive-threat review</x:v>
      </x:c>
      <x:c r="E589" t="str">
        <x:v>Reuters</x:v>
      </x:c>
      <x:c r="F589" t="str">
        <x:v>High-quality independent reporting</x:v>
      </x:c>
      <x:c r="G589" s="44" t="str">
        <x:v>https://www.reuters.com/business/media-telecom/spacex-seeks-access-80000-us-cell-sites-wireless-network-bloomberg-news-reports-2026-10-22/</x:v>
      </x:c>
      <x:c r="H589" s="44" t="str">
        <x:v>Reuters reported that SpaceX is in talks for access to at least 80,000 U.S. cell sites, a potential path toward a fourth nationwide carrier. AT&amp;T and other national carriers fell 4.2%-5% in extended trading. Decision: downgrade EEI-2026-022 to Developing, confidence 3/5 and edge 2/5, and classify the expired entry watch as REJECT 2026-10-23.</x:v>
      </x:c>
      <x:c r="I589" s="44" t="str">
        <x:v>Meaningful contradiction; no paper entry</x:v>
      </x:c>
      <x:c r="J589" s="44" t="n">
        <x:v>5</x:v>
      </x:c>
      <x:c r="K589" s="44" t="str">
        <x:v>The cited talks were not confirmed by SpaceX or the named tower companies. Independent analysis estimates a terrestrial network would cost more than $80B, require years and still need more spectrum, customer support and handset subsidies.</x:v>
      </x:c>
    </x:row>
    <x:row r="590">
      <x:c r="A590" t="str">
        <x:v>EV-2026-590</x:v>
      </x:c>
      <x:c r="B590"/>
      <x:c r="C590" s="21" t="d">
        <x:v>2026-10-23T12:19:06.000Z</x:v>
      </x:c>
      <x:c r="D590" t="str">
        <x:v>Booz Allen earnings and valuation candidate</x:v>
      </x:c>
      <x:c r="E590" t="str">
        <x:v>Booz Allen Hamilton</x:v>
      </x:c>
      <x:c r="F590" t="str">
        <x:v>Primary issuer results</x:v>
      </x:c>
      <x:c r="G590" s="44" t="str">
        <x:v>https://investors.boozallen.com/static-files/90958a7c-b90a-478b-92f0-f3d9e8534109</x:v>
      </x:c>
      <x:c r="H590" s="44" t="str">
        <x:v>Booz Allen reported Q2 FY2027 adjusted EPS of $1.76, backlog of about $41B, 1.5 times book-to-bill and raised adjusted-EPS guidance to $6.50-$6.70. A public premarket indication near $78.57 implied a low-teens trailing multiple. Decision: no paper entry before regular-session price discovery; retain as a candidate for a future fresh quote rather than create a stale order.</x:v>
      </x:c>
      <x:c r="I590" s="44" t="str">
        <x:v>Promising but not entered</x:v>
      </x:c>
      <x:c r="J590" s="44" t="n">
        <x:v>5</x:v>
      </x:c>
      <x:c r="K590" s="44" t="str">
        <x:v>Quarterly revenue fell 3.9%, revenue excluding billable expenses fell 0.8%, quarterly free cash flow fell to $263M from $395M, cash declined and long-term debt increased after acquisitions.</x:v>
      </x:c>
    </x:row>
    <x:row r="591">
      <x:c r="A591" t="str">
        <x:v>EV-2026-591</x:v>
      </x:c>
      <x:c r="B591"/>
      <x:c r="C591" s="21" t="d">
        <x:v>2026-10-23T12:19:06.000Z</x:v>
      </x:c>
      <x:c r="D591" t="str">
        <x:v>SLB earnings and energy-services candidate</x:v>
      </x:c>
      <x:c r="E591" t="str">
        <x:v>SLB</x:v>
      </x:c>
      <x:c r="F591" t="str">
        <x:v>Primary issuer results</x:v>
      </x:c>
      <x:c r="G591" s="44" t="str">
        <x:v>https://investorcenter.slb.com/news-releases/news-release-details/slb-announces-third-quarter-2026-results</x:v>
      </x:c>
      <x:c r="H591" s="44" t="str">
        <x:v>SLB reported Q3 revenue of $9.45B, adjusted EPS of $0.64, $828M of free cash flow and continued growth in digital and data-center solutions. Decision: reject a new paper entry for this scan despite the earnings beat because balance-sheet and margin evidence did not offer enough downside protection before regular-session price discovery.</x:v>
      </x:c>
      <x:c r="I591" s="44" t="str">
        <x:v>Rejected current entry</x:v>
      </x:c>
      <x:c r="J591" s="44" t="n">
        <x:v>5</x:v>
      </x:c>
      <x:c r="K591" s="44" t="str">
        <x:v>Adjusted EBITDA margin was 21.9% versus 23.1% a year earlier; net debt increased to $9.25B; nine-month free cash flow fell to $1.52B from $1.83B while buybacks and dividends exceeded free cash flow.</x:v>
      </x:c>
    </x:row>
    <x:row r="592">
      <x:c r="A592" t="str">
        <x:v>EV-2026-592</x:v>
      </x:c>
      <x:c r="B592"/>
      <x:c r="C592" s="21" t="d">
        <x:v>2026-10-23T12:19:06.000Z</x:v>
      </x:c>
      <x:c r="D592" t="str">
        <x:v>American Express earnings candidate</x:v>
      </x:c>
      <x:c r="E592" t="str">
        <x:v>American Express / Reuters</x:v>
      </x:c>
      <x:c r="F592" t="str">
        <x:v>Issuer-reported results with independent reporting</x:v>
      </x:c>
      <x:c r="G592" s="44" t="str">
        <x:v>https://www.reuters.com/business/american-express-raises-2026-profit-forecast-affluent-customers-keep-spending-2026-10-23/</x:v>
      </x:c>
      <x:c r="H592" s="44" t="str">
        <x:v>American Express raised 2026 adjusted-EPS guidance to $18.30-$18.60 after revenue rose 9% to $20.1B, billed business rose 8% and adjusted EPS reached $4.68. Credit provisions fell to $1.0B from $1.3B. Decision: no paper entry before a current regular-session quote; the modest premarket reaction did not establish a large dislocation at roughly 20 times trailing earnings.</x:v>
      </x:c>
      <x:c r="I592" s="44" t="str">
        <x:v>Strong fundamentals; no current entry</x:v>
      </x:c>
      <x:c r="J592" s="44" t="n">
        <x:v>4</x:v>
      </x:c>
      <x:c r="K592" s="44" t="str">
        <x:v>The affluent-customer mix is not representative of the whole consumer, valuation is not distressed and no regular-session executable quote was available during the scan.</x:v>
      </x:c>
    </x:row>
    <x:row r="593">
      <x:c r="A593" t="str">
        <x:v>EV-2026-593</x:v>
      </x:c>
      <x:c r="B593"/>
      <x:c r="C593" s="21" t="d">
        <x:v>2026-10-23T12:19:06.000Z</x:v>
      </x:c>
      <x:c r="D593" t="str">
        <x:v>Federal-contract award screen</x:v>
      </x:c>
      <x:c r="E593" t="str">
        <x:v>Department of War / AwardTape</x:v>
      </x:c>
      <x:c r="F593" t="str">
        <x:v>Official announcement restatement with award-record analysis</x:v>
      </x:c>
      <x:c r="G593" s="44" t="str">
        <x:v>https://awardtape.com/contracts/2026-10-22/</x:v>
      </x:c>
      <x:c r="H593" s="44" t="str">
        <x:v>The October 22 release contained four actions. Longbow LLC received a $419.6M Apache radar/support IDIQ (W58RGZ-27-D-A008), one bid, no initial obligation, orders through 2032. Raytheon received a $350M ceiling-increase modification to FA8672-19-D-0001, bringing the SDB II support ceiling to $950M with no new obligation. Sigmatech's $249.2M order vehicle had no initial obligation, and Saab's $14.3M option modification was fully obligated. Decision: no new listed-equity thesis.</x:v>
      </x:c>
      <x:c r="I593" s="44" t="str">
        <x:v>No qualifying public-company catalyst</x:v>
      </x:c>
      <x:c r="J593" s="44" t="n">
        <x:v>4</x:v>
      </x:c>
      <x:c r="K593" s="44" t="str">
        <x:v>The largest public-company action was a routine ceiling modification rather than fresh obligated revenue; Longbow parent-level materiality was not established, Sigmatech is private and the Saab option is immaterial to its parent.</x:v>
      </x:c>
    </x:row>
    <x:row r="594">
      <x:c r="A594" t="str">
        <x:v>EV-2026-594</x:v>
      </x:c>
      <x:c r="B594"/>
      <x:c r="C594" s="21" t="d">
        <x:v>2026-10-23T12:19:06.000Z</x:v>
      </x:c>
      <x:c r="D594" t="str">
        <x:v>Cross-asset breadth and relative-strength screen</x:v>
      </x:c>
      <x:c r="E594" t="str">
        <x:v>Associated Press / public market data</x:v>
      </x:c>
      <x:c r="F594" t="str">
        <x:v>Independent reporting and observable market data</x:v>
      </x:c>
      <x:c r="G594" s="44" t="str">
        <x:v>https://apnews.com/article/stocks-wall-street-nasdaq-dow-1970e79d013cbddcae89c53b4b98f384</x:v>
      </x:c>
      <x:c r="H594" s="44" t="str">
        <x:v>On October 22 the S&amp;P 500 fell 1.2% and Nasdaq fell 2.6%, while the Dow was flat and Russell 2000 rose 0.1%; most U.S. stocks advanced despite the index decline. The scan also covered all major sector ETFs, broad ETFs, Treasury duration, high-yield credit, gold and crude. Defensive sectors and Treasuries led premarket while technology lagged, but premarket indications were not executable.</x:v>
      </x:c>
      <x:c r="I594" s="44" t="str">
        <x:v>Rotation context; no standalone action</x:v>
      </x:c>
      <x:c r="J594" s="44" t="n">
        <x:v>4</x:v>
      </x:c>
      <x:c r="K594" s="44" t="str">
        <x:v>The divergence may be temporary and reflects concentration in large technology stocks. No proprietary flow, consolidated order book or regular-session confirmation was available during the scan.</x:v>
      </x:c>
    </x:row>
    <x:row r="595">
      <x:c r="A595" t="str">
        <x:v>EV-2026-595</x:v>
      </x:c>
      <x:c r="B595"/>
      <x:c r="C595" s="21" t="d">
        <x:v>2026-10-23T12:19:06.000Z</x:v>
      </x:c>
      <x:c r="D595" t="str">
        <x:v>Motley Fool public-idea screen</x:v>
      </x:c>
      <x:c r="E595" t="str">
        <x:v>The Motley Fool / Harsh Chauhan</x:v>
      </x:c>
      <x:c r="F595" t="str">
        <x:v>Free editorial trigger source only</x:v>
      </x:c>
      <x:c r="G595" s="44" t="str">
        <x:v>https://www.fool.com/investing/2026/10/23/prediction-intel-stock-will-take-off-after-oct-29/</x:v>
      </x:c>
      <x:c r="H595" s="44" t="str">
        <x:v>A free October 23 editorial predicted that Intel could beat expectations on October 29 based on server demand and price increases. Other public items discussed ASML split speculation, Microsoft quantum computing, Meta and generic crash positioning. Decision: reject escalation; none supplied a new independently confirmed and economically material catalyst suitable for a paper entry today.</x:v>
      </x:c>
      <x:c r="I595" s="44" t="str">
        <x:v>Rejected trigger escalation</x:v>
      </x:c>
      <x:c r="J595" s="44" t="n">
        <x:v>3</x:v>
      </x:c>
      <x:c r="K595" s="44" t="str">
        <x:v>Intel's factual catalyst is unresolved until earnings; the article is promotional prediction content, not confirmation. The author disclosed no Intel position, while The Motley Fool disclosed that it owns and recommends Intel.</x:v>
      </x:c>
    </x:row>
    <x:row r="596">
      <x:c r="A596" t="str">
        <x:v>EV-2026-596</x:v>
      </x:c>
      <x:c r="B596" t="str">
        <x:v>EEI-2026-001</x:v>
      </x:c>
      <x:c r="C596" s="21" t="d">
        <x:v>2026-10-22T21:12:36.000Z</x:v>
      </x:c>
      <x:c r="D596" t="str">
        <x:v>Mechanism update</x:v>
      </x:c>
      <x:c r="E596" t="str">
        <x:v>Reuters / Kpler / UKMTO</x:v>
      </x:c>
      <x:c r="F596" t="str">
        <x:v>Independent analysis with shipping data</x:v>
      </x:c>
      <x:c r="G596" s="44" t="str">
        <x:v>https://www.reuters.com/commentary/reuters-open-interest/dont-mistake-mideast-oil-rebound-normality-2026-10-22/</x:v>
      </x:c>
      <x:c r="H596" s="44" t="str">
        <x:v>October Middle East exports averaged 17.3 million barrels per day, above the 16.9 million prewar benchmark, while Hormuz flows recovered to 11.7 million barrels per day, about 82% of prewar levels. Yet UKMTO reported a record 12 attacks in or around Hormuz last week; two-million-barrel tanker rates to China remained near $1.4 million per day, more than 12 times prewar levels, and insurance costs were about 10% of cargo value versus roughly 3% before the war.</x:v>
      </x:c>
      <x:c r="I596" s="44" t="str">
        <x:v>Mixed: physical supply recovered, but reliability and logistics costs remain severely impaired</x:v>
      </x:c>
      <x:c r="J596" s="44" t="n">
        <x:v>5</x:v>
      </x:c>
      <x:c r="K596" s="44" t="str">
        <x:v>Restored after the October 23 morning scan replaced the original record that had used EV-2026-589; reassigned the next available unique ID. The thesis now works more through transport reliability, insurance and escalation risk than through an outright shortage of available barrels.</x:v>
      </x:c>
    </x:row>
    <x:row r="597">
      <x:c r="A597" t="str">
        <x:v>EV-2026-597</x:v>
      </x:c>
      <x:c r="B597" t="str">
        <x:v>EEI-2026-001</x:v>
      </x:c>
      <x:c r="C597" s="21" t="d">
        <x:v>2026-10-23T20:34:55.000Z</x:v>
      </x:c>
      <x:c r="D597" t="str">
        <x:v>Paper-trade outcome</x:v>
      </x:c>
      <x:c r="E597" t="str">
        <x:v>StockAnalysis</x:v>
      </x:c>
      <x:c r="F597" t="str">
        <x:v>Market data</x:v>
      </x:c>
      <x:c r="G597" s="44" t="str">
        <x:v>https://stockanalysis.com/etf/bno/history/</x:v>
      </x:c>
      <x:c r="H597" s="44" t="str">
        <x:v>BNO closed October 23 at $70.99 versus the fixed September 8 opening entry of $57.21. The $1,000 fractional-share paper position was worth $1,240.87, a gain of $240.87 or 24.09%.</x:v>
      </x:c>
      <x:c r="I597" s="44" t="str">
        <x:v>Confirms direct Brent expression</x:v>
      </x:c>
      <x:c r="J597" s="44" t="n">
        <x:v>4</x:v>
      </x:c>
      <x:c r="K597" s="44" t="str">
        <x:v>Official regular-session close used; totals retain unrounded fractional shares.</x:v>
      </x:c>
    </x:row>
    <x:row r="598">
      <x:c r="A598" t="str">
        <x:v>EV-2026-598</x:v>
      </x:c>
      <x:c r="B598" t="str">
        <x:v>EEI-2026-001</x:v>
      </x:c>
      <x:c r="C598" s="21" t="d">
        <x:v>2026-10-23T20:34:55.000Z</x:v>
      </x:c>
      <x:c r="D598" t="str">
        <x:v>Paper-trade outcome</x:v>
      </x:c>
      <x:c r="E598" t="str">
        <x:v>StockAnalysis</x:v>
      </x:c>
      <x:c r="F598" t="str">
        <x:v>Market data</x:v>
      </x:c>
      <x:c r="G598" s="44" t="str">
        <x:v>https://stockanalysis.com/etf/uso/history/</x:v>
      </x:c>
      <x:c r="H598" s="44" t="str">
        <x:v>USO closed October 23 at $169.53 versus the fixed September 8 opening entry of $144.60. The $1,000 fractional-share paper position was worth $1,172.41, a gain of $172.41 or 17.24%.</x:v>
      </x:c>
      <x:c r="I598" s="44" t="str">
        <x:v>Confirms direct WTI expression</x:v>
      </x:c>
      <x:c r="J598" s="44" t="n">
        <x:v>4</x:v>
      </x:c>
      <x:c r="K598" s="44" t="str">
        <x:v>Official regular-session close used; the fund's futures exposure can diverge from spot WTI.</x:v>
      </x:c>
    </x:row>
    <x:row r="599">
      <x:c r="A599" t="str">
        <x:v>EV-2026-599</x:v>
      </x:c>
      <x:c r="B599" t="str">
        <x:v>EEI-2026-001</x:v>
      </x:c>
      <x:c r="C599" s="21" t="d">
        <x:v>2026-10-23T20:34:55.000Z</x:v>
      </x:c>
      <x:c r="D599" t="str">
        <x:v>Paper-trade outcome</x:v>
      </x:c>
      <x:c r="E599" t="str">
        <x:v>StockAnalysis</x:v>
      </x:c>
      <x:c r="F599" t="str">
        <x:v>Market data</x:v>
      </x:c>
      <x:c r="G599" s="44" t="str">
        <x:v>https://stockanalysis.com/etf/xop/history/</x:v>
      </x:c>
      <x:c r="H599" s="44" t="str">
        <x:v>XOP closed October 23 at $201.69 versus the fixed September 8 opening entry of $193.84. The $1,000 fractional-share paper position was worth $1,040.50, a gain of $40.50 or 4.05%.</x:v>
      </x:c>
      <x:c r="I599" s="44" t="str">
        <x:v>Positive but still weakest expression</x:v>
      </x:c>
      <x:c r="J599" s="44" t="n">
        <x:v>4</x:v>
      </x:c>
      <x:c r="K599" s="44" t="str">
        <x:v>Official regular-session close used; the producer-equity ETF retains company and equity-market mapping risk.</x:v>
      </x:c>
    </x:row>
    <x:row r="600">
      <x:c r="A600" t="str">
        <x:v>EV-2026-600</x:v>
      </x:c>
      <x:c r="B600" t="str">
        <x:v>EEI-2026-001</x:v>
      </x:c>
      <x:c r="C600" s="21" t="d">
        <x:v>2026-10-23T20:34:55.000Z</x:v>
      </x:c>
      <x:c r="D600" t="str">
        <x:v>Market confirmation</x:v>
      </x:c>
      <x:c r="E600" t="str">
        <x:v>Reuters</x:v>
      </x:c>
      <x:c r="F600" t="str">
        <x:v>High-quality independent reporting</x:v>
      </x:c>
      <x:c r="G600" s="44" t="str">
        <x:v>https://www.reuters.com/business/energy/oil-little-changed-supply-concern-lingers-amid-houthi-attacks-saudi-arabia-2026-10-23/</x:v>
      </x:c>
      <x:c r="H600" s="44" t="str">
        <x:v>Brent rose $3.55 or 3.14% to settle October 23 at $116.72, its highest since April 29, and WTI rose $3.80 or 3.8% to $103.27. Houthi attacks on Saudi energy infrastructure, Saudi Aramco's headquarters evacuation, an oil spill off the UAE and the worst October for commercial-shipping attacks in and near Hormuz reinforced disruption risk.</x:v>
      </x:c>
      <x:c r="I600" s="44" t="str">
        <x:v>Confirms renewed supply-risk premium and shipping-reliability mechanism</x:v>
      </x:c>
      <x:c r="J600" s="44" t="n">
        <x:v>5</x:v>
      </x:c>
      <x:c r="K600" s="44" t="str">
        <x:v>Regional exports and Hormuz transit have recovered substantially, so the price move reflects the risk of renewed interruption rather than proof that current barrels are broadly unavailable.</x:v>
      </x:c>
    </x:row>
    <x:row r="601">
      <x:c r="A601" t="str">
        <x:v>EV-2026-601</x:v>
      </x:c>
      <x:c r="B601"/>
      <x:c r="C601" s="21" t="d">
        <x:v>2026-10-24T12:17:49.000Z</x:v>
      </x:c>
      <x:c r="D601" t="str">
        <x:v>Cross-asset and sector close screen</x:v>
      </x:c>
      <x:c r="E601" t="str">
        <x:v>Reuters / public market data</x:v>
      </x:c>
      <x:c r="F601" t="str">
        <x:v>Independent reporting and observable official-close data</x:v>
      </x:c>
      <x:c r="G601" s="44" t="str">
        <x:v>https://www.reuters.com/business/wall-street-futures-dip-after-ai-rout-telecoms-slide-2026-10-23/</x:v>
      </x:c>
      <x:c r="H601" s="44" t="str">
        <x:v>Friday's close showed concentrated energy leadership: XLE rose 2.59% and USO 4.31%, while SPY fell 0.53%, IWM 0.36%, XLF 1.31%, XLV 1.13%, XLY 1.64% and XLP 1.92%. QQQ was about flat; TLT fell 0.49%, HYG 0.07%, GLD 0.65% and SLV 1.24%. NYSE and Nasdaq decliners led 1.72-to-1 and 1.57-to-1. Decision: no new entry from the rotation screen; energy strength confirmed the existing paper exposures but raised headline-chasing risk.</x:v>
      </x:c>
      <x:c r="I601" s="44" t="str">
        <x:v>Existing energy positions confirmed; no new order</x:v>
      </x:c>
      <x:c r="J601" s="44" t="n">
        <x:v>5</x:v>
      </x:c>
      <x:c r="K601" s="44" t="str">
        <x:v>The Nasdaq was almost unchanged and XLK rose 0.47%, so the tape was not a uniform risk-off move. Friday volume was below its 20-day average, and recovered Middle East exports remain a physical counterweight to the risk premium.</x:v>
      </x:c>
    </x:row>
    <x:row r="602">
      <x:c r="A602" t="str">
        <x:v>EV-2026-602</x:v>
      </x:c>
      <x:c r="B602"/>
      <x:c r="C602" s="21" t="d">
        <x:v>2026-10-24T12:17:49.000Z</x:v>
      </x:c>
      <x:c r="D602" t="str">
        <x:v>Crown Castle tower-demand candidate</x:v>
      </x:c>
      <x:c r="E602" t="str">
        <x:v>Crown Castle / Reuters</x:v>
      </x:c>
      <x:c r="F602" t="str">
        <x:v>Primary issuer results with independent market reporting</x:v>
      </x:c>
      <x:c r="G602" s="44" t="str">
        <x:v>https://investor.crowncastle.com/node/29361</x:v>
      </x:c>
      <x:c r="H602" s="44" t="str">
        <x:v>Crown Castle closed October 23 at $85.97, up 9.1%, after reporting that SpaceX was seeking access to at least 80,000 U.S. cell sites. Primary Q3 results showed AFFO per share up 11% and a raised AFFO outlook, but site-rental revenue fell 5%, adjusted EBITDA fell 6%, net income fell 12% and full-year site-rental revenue and EBITDA are still expected to decline. Decision: REJECT a weekend entry after the gap; reopen only with primary contract economics and a fresh regular-session price that restores downside protection.</x:v>
      </x:c>
      <x:c r="I602" s="44" t="str">
        <x:v>Rejected current entry; rumor-driven gap</x:v>
      </x:c>
      <x:c r="J602" s="44" t="n">
        <x:v>5</x:v>
      </x:c>
      <x:c r="K602" s="44" t="str">
        <x:v>SpaceX and the tower companies had not confirmed a binding contract. The 9.1% one-day move may have capitalized a multi-year opportunity immediately, while interest rates, leverage and shrinking reported revenue and EBITDA remain material risks.</x:v>
      </x:c>
    </x:row>
    <x:row r="603">
      <x:c r="A603" t="str">
        <x:v>EV-2026-603</x:v>
      </x:c>
      <x:c r="B603"/>
      <x:c r="C603" s="21" t="d">
        <x:v>2026-10-24T12:17:49.000Z</x:v>
      </x:c>
      <x:c r="D603" t="str">
        <x:v>Robert Half earnings-recovery candidate</x:v>
      </x:c>
      <x:c r="E603" t="str">
        <x:v>Robert Half / SEC</x:v>
      </x:c>
      <x:c r="F603" t="str">
        <x:v>Primary SEC-filed issuer results</x:v>
      </x:c>
      <x:c r="G603" s="44" t="str">
        <x:v>https://www.sec.gov/Archives/edgar/data/315213/000031521326000049/rhiq32026ex991.htm</x:v>
      </x:c>
      <x:c r="H603" s="44" t="str">
        <x:v>Robert Half reported Q3 revenue of $1.359 billion versus $1.354 billion, net income of $50 million versus $43 million and adjusted operating margin of 5.3% versus 4.5%. Talent Solutions returned to adjusted year-over-year growth for the first time since 2022. RHI then closed near $46.39, up about 23%. Decision: REJECT a current paper entry after the gap; require follow-through in revenue, cash conversion and hiring demand at a fresh price.</x:v>
      </x:c>
      <x:c r="I603" s="44" t="str">
        <x:v>Rejected post-earnings chase</x:v>
      </x:c>
      <x:c r="J603" s="44" t="n">
        <x:v>5</x:v>
      </x:c>
      <x:c r="K603" s="44" t="str">
        <x:v>Nine-month revenue remained down 2%, net income fell to $90 million from $101 million, and nine-month net cash before financing of $47.1 million was far below the approximately $179.8 million of dividends paid. The 23% move compressed the margin of safety.</x:v>
      </x:c>
    </x:row>
    <x:row r="604">
      <x:c r="A604" t="str">
        <x:v>EV-2026-604</x:v>
      </x:c>
      <x:c r="B604"/>
      <x:c r="C604" s="21" t="d">
        <x:v>2026-10-24T12:17:49.000Z</x:v>
      </x:c>
      <x:c r="D604" t="str">
        <x:v>Motley Fool AVGO and ADBE idea screen</x:v>
      </x:c>
      <x:c r="E604" t="str">
        <x:v>The Motley Fool / Daniel Sparks</x:v>
      </x:c>
      <x:c r="F604" t="str">
        <x:v>Free editorial trigger only; primary issuer results checked separately</x:v>
      </x:c>
      <x:c r="G604" s="44" t="str">
        <x:v>https://www.fool.com/investing/2026/10/24/2-unloved-stocks-of-2026-to-consider-buying-now/</x:v>
      </x:c>
      <x:c r="H604" s="44" t="str">
        <x:v>A free October 24, 5:23 a.m. ET editorial proposed gradually buying Broadcom and Adobe, citing AVGO's fiscal-Q3 revenue of $29.6 billion and $13.7 billion of free cash flow, and Adobe's $6.76 billion of revenue, $6.13 adjusted EPS and raised full-year target. The author and clients disclosed no positions; The Motley Fool disclosed positions and recommendations in both plus an Adobe option spread. Decision: reject escalation today because the catalysts were more than a month old, markets were closed and no fresh issuer event created a current entry.</x:v>
      </x:c>
      <x:c r="I604" s="44" t="str">
        <x:v>Rejected trigger escalation; no stale weekend action</x:v>
      </x:c>
      <x:c r="J604" s="44" t="n">
        <x:v>4</x:v>
      </x:c>
      <x:c r="K604" s="44" t="str">
        <x:v>AVGO's top five customers represented about 55% of revenue, creating concentration and AI-capital-cycle risk. Adobe still faces slowing growth and AI substitution risk. The editorial is opinion, not independent confirmation, and its valuation claims depend on adjusted and forward earnings.</x:v>
      </x:c>
    </x:row>
    <x:row r="605">
      <x:c r="A605" t="str">
        <x:v>EV-2026-605</x:v>
      </x:c>
      <x:c r="B605"/>
      <x:c r="C605" s="21" t="d">
        <x:v>2026-10-24T12:17:49.000Z</x:v>
      </x:c>
      <x:c r="D605" t="str">
        <x:v>Motley Fool PepsiCo income idea screen</x:v>
      </x:c>
      <x:c r="E605" t="str">
        <x:v>The Motley Fool / Will Healy</x:v>
      </x:c>
      <x:c r="F605" t="str">
        <x:v>Free editorial trigger only; SEC and issuer records checked separately</x:v>
      </x:c>
      <x:c r="G605" s="44" t="str">
        <x:v>https://www.fool.com/investing/2026/10/24/want-income-for-life-pepsico-yields-43-and-has-the/</x:v>
      </x:c>
      <x:c r="H605" s="44" t="str">
        <x:v>A free October 24, 5:55 a.m. ET editorial proposed PepsiCo for its 4.3% yield, 54-year dividend-growth record, $10.8 billion trailing free cash flow and roughly 17-times earnings valuation. The author and The Motley Fool disclosed no position. Primary Q3 records confirmed $25.274 billion of revenue and $3.048 billion of net income. Decision: reject escalation; the October 8 results were not a fresh catalyst, and the closed market precluded a current executable decision.</x:v>
      </x:c>
      <x:c r="I605" s="44" t="str">
        <x:v>Rejected trigger escalation</x:v>
      </x:c>
      <x:c r="J605" s="44" t="n">
        <x:v>4</x:v>
      </x:c>
      <x:c r="K605" s="44" t="str">
        <x:v>PepsiCo cut its 2026 profit outlook, North American recovery and margins lag, and debt remains substantial. Trailing free cash flow covered the dividend, but dividend safety alone does not establish near-term total-return upside at Friday's $135.77 close.</x:v>
      </x:c>
    </x:row>
    <x:row r="606">
      <x:c r="A606" t="str">
        <x:v>EV-2026-606</x:v>
      </x:c>
      <x:c r="B606"/>
      <x:c r="C606" s="21" t="d">
        <x:v>2026-10-24T12:17:49.000Z</x:v>
      </x:c>
      <x:c r="D606" t="str">
        <x:v>Federal-contract award screen</x:v>
      </x:c>
      <x:c r="E606" t="str">
        <x:v>Department of War / AwardTape</x:v>
      </x:c>
      <x:c r="F606" t="str">
        <x:v>Official announcement restatement with award-record analysis</x:v>
      </x:c>
      <x:c r="G606" s="44" t="str">
        <x:v>https://awardtape.com/contracts/2026-10-23/</x:v>
      </x:c>
      <x:c r="H606" s="44" t="str">
        <x:v>The October 23 release contained eight actions totaling about $3.0 billion. Fluor Marine Propulsion's $2.409 billion modification to N0002418C2130 obligated only $597,900 at the action; Vitol's $230.1 million IDIQ showed no initial obligation; Huntington Ingalls/Oceaneering's $98.1 million action was a ceiling increase with no initial obligation. Lockheed's $114.6 million F-35 order and Northrop's $43.9 million Trident facility contract were fully obligated but immaterial to their parents. Decision: no new listed-equity thesis.</x:v>
      </x:c>
      <x:c r="I606" s="44" t="str">
        <x:v>No qualifying public-company catalyst</x:v>
      </x:c>
      <x:c r="J606" s="44" t="n">
        <x:v>5</x:v>
      </x:c>
      <x:c r="K606" s="44" t="str">
        <x:v>The largest figures were modifications, ceilings or private-company vehicles rather than unexpected current revenue. Public-parent awards were too small relative to consolidated revenue and backlog to create a distinct thesis; the Hampton Roads barracks close involved a private developer.</x:v>
      </x:c>
    </x:row>
    <x:row r="607">
      <x:c r="A607" t="str">
        <x:v>EV-2026-607</x:v>
      </x:c>
      <x:c r="B607" t="str">
        <x:v>EEI-2026-001</x:v>
      </x:c>
      <x:c r="C607" s="21" t="d">
        <x:v>2026-10-24T12:17:49.000Z</x:v>
      </x:c>
      <x:c r="D607" t="str">
        <x:v>Paper-portfolio material-change review</x:v>
      </x:c>
      <x:c r="E607" t="str">
        <x:v>StockAnalysis / ledger calculations</x:v>
      </x:c>
      <x:c r="F607" t="str">
        <x:v>Official-close market data and fixed historical paper units</x:v>
      </x:c>
      <x:c r="G607" s="44" t="str">
        <x:v>https://stockanalysis.com/etf/bno/history/</x:v>
      </x:c>
      <x:c r="H607" s="44" t="str">
        <x:v>Using the fixed September 8 paper units and the already logged October 23 closes, BNO, USO and XOP were worth $3,453.77 in total, up $453.77 or 15.13% on $3,000. The one-day change from the October 22 total of $3,344.00 was $109.77 or 3.28%. SPY closed at $759.97 versus its September 8 open of $769.07, a decline of 1.18%, so the paper portfolio led by 16.31 percentage points. Decision: hold the three recorded paper positions; do not add after the oil gap.</x:v>
      </x:c>
      <x:c r="I607" s="44" t="str">
        <x:v>Material portfolio change; concise notification warranted</x:v>
      </x:c>
      <x:c r="J607" s="44" t="n">
        <x:v>5</x:v>
      </x:c>
      <x:c r="K607" s="44" t="str">
        <x:v>The outperformance is concentrated in one geopolitical energy thesis and is not diversified. BNO and USO embed futures-structure risk, XOP adds equity and company risk, and Middle East export volumes have materially recovered despite continuing shipping and attack risk.</x:v>
      </x:c>
    </x:row>
    <x:row r="608">
      <x:c r="A608" t="str">
        <x:v>EV-2026-608</x:v>
      </x:c>
      <x:c r="B608" t="str">
        <x:v>EEI-2026-001</x:v>
      </x:c>
      <x:c r="C608" s="21" t="d">
        <x:v>2026-10-25T12:43:55.000Z</x:v>
      </x:c>
      <x:c r="D608" t="str">
        <x:v>Middle East conflict and energy-paper review</x:v>
      </x:c>
      <x:c r="E608" t="str">
        <x:v>Reuters</x:v>
      </x:c>
      <x:c r="F608" t="str">
        <x:v>Independent regional-market reporting and the existing fixed paper ledger</x:v>
      </x:c>
      <x:c r="G608" s="44" t="str">
        <x:v>https://www.reuters.com/world/middle-east/gulf-bourses-slip-houthi-saudi-clashes-rattle-investors-2026-10-25/</x:v>
      </x:c>
      <x:c r="H608" s="44" t="str">
        <x:v>Saudi Arabia's benchmark fell 2.6%, Saudi Aramco 1.1% and Egypt's EGX30 2.5% on Sunday as Saudi forces intercepted drones and missiles and Yemen fighting intensified. The escalation supports the existing geopolitical energy variable, but U.S. markets were closed and October 23 closes remain reference prices only. Decision: HOLD the existing BNO, USO and XOP paper positions; do not add without a fresh regular-session quote and a renewed reward-to-invalidation check.</x:v>
      </x:c>
      <x:c r="I608" s="44" t="str">
        <x:v>Hold existing positions; no add while market closed</x:v>
      </x:c>
      <x:c r="J608" s="44" t="n">
        <x:v>5</x:v>
      </x:c>
      <x:c r="K608" s="44" t="str">
        <x:v>The regional equity selloff is risk confirmation, not direct evidence of a new physical supply loss. Recovered Middle East exports, a possible de-escalation and a Monday gap could rapidly compress the oil risk premium; the paper portfolio remains concentrated in one thesis.</x:v>
      </x:c>
    </x:row>
    <x:row r="609">
      <x:c r="A609" t="str">
        <x:v>EV-2026-609</x:v>
      </x:c>
      <x:c r="B609"/>
      <x:c r="C609" s="21" t="d">
        <x:v>2026-10-25T12:43:55.000Z</x:v>
      </x:c>
      <x:c r="D609" t="str">
        <x:v>Bloom Energy post-earnings dislocation</x:v>
      </x:c>
      <x:c r="E609" t="str">
        <x:v>Bloom Energy</x:v>
      </x:c>
      <x:c r="F609" t="str">
        <x:v>Primary issuer results and observable official-close data</x:v>
      </x:c>
      <x:c r="G609" s="44" t="str">
        <x:v>https://investor.bloomenergy.com/press-releases/press-release-details/2026/Bloom-Energy-Reports-Record-Third-Quarter-2026-Financial-Results-and-Raises-Full-Year-2026-Guidance/default.aspx</x:v>
      </x:c>
      <x:c r="H609" s="44" t="str">
        <x:v>Bloom Energy reported Q3 revenue of $1.236 billion, up 138%, GAAP gross margin of 33.8%, operating income of $225 million and EPS of $0.78, and raised 2026 revenue guidance to $4.4-$4.6 billion. It closed October 23 at $193.30, down 11.3%. Decision: REJECT a weekend paper entry despite the growth because the approximately 118-times trailing earnings valuation, negative free cash flow, rising contract assets and inventory, dilution and roughly $2.5 billion of recourse debt leave inadequate downside protection without a fresh executable price.</x:v>
      </x:c>
      <x:c r="I609" s="44" t="str">
        <x:v>Rejected current entry</x:v>
      </x:c>
      <x:c r="J609" s="44" t="n">
        <x:v>5</x:v>
      </x:c>
      <x:c r="K609" s="44" t="str">
        <x:v>Cash and restricted cash of about $3.7 billion are meaningful, but shares outstanding rose to 295.5 million from 280.0 million, Q3 free cash flow was materially negative, and execution requires very large capital and working-capital commitments. The stock remained more than double its prior-year level even after the decline.</x:v>
      </x:c>
    </x:row>
    <x:row r="610">
      <x:c r="A610" t="str">
        <x:v>EV-2026-610</x:v>
      </x:c>
      <x:c r="B610"/>
      <x:c r="C610" s="21" t="d">
        <x:v>2026-10-25T12:43:55.000Z</x:v>
      </x:c>
      <x:c r="D610" t="str">
        <x:v>Comfort Systems earnings dislocation</x:v>
      </x:c>
      <x:c r="E610" t="str">
        <x:v>Comfort Systems USA</x:v>
      </x:c>
      <x:c r="F610" t="str">
        <x:v>Primary issuer results and observable official-close data</x:v>
      </x:c>
      <x:c r="G610" s="44" t="str">
        <x:v>https://investors.comfortsystemsusa.com/news-events/news-releases/</x:v>
      </x:c>
      <x:c r="H610" s="44" t="str">
        <x:v>Comfort Systems reported quarterly revenue of about $3.77 billion, up 54%, EPS of $13.91 and backlog of $17.81 billion, up about 90%. FIX closed October 23 at $1,160.86, down 9.35%. Decision: REJECT a weekend entry; powerful data-center and industrial demand is already embedded in a roughly $40.8 billion valuation, sequential margin softening and cyclical execution risk, and no current executable quote was available.</x:v>
      </x:c>
      <x:c r="I610" s="44" t="str">
        <x:v>Rejected current entry</x:v>
      </x:c>
      <x:c r="J610" s="44" t="n">
        <x:v>4</x:v>
      </x:c>
      <x:c r="K610" s="44" t="str">
        <x:v>Backlog gives visibility but does not remove labor, project-mix, acquisition-integration or data-center concentration risk. The share price remains far above its pre-boom structure, so a one-day drop alone does not establish a margin of safety.</x:v>
      </x:c>
    </x:row>
    <x:row r="611">
      <x:c r="A611" t="str">
        <x:v>EV-2026-611</x:v>
      </x:c>
      <x:c r="B611"/>
      <x:c r="C611" s="21" t="d">
        <x:v>2026-10-25T12:43:55.000Z</x:v>
      </x:c>
      <x:c r="D611" t="str">
        <x:v>Hasbro raised-guidance momentum screen</x:v>
      </x:c>
      <x:c r="E611" t="str">
        <x:v>Hasbro</x:v>
      </x:c>
      <x:c r="F611" t="str">
        <x:v>Primary issuer results and observable official-close data</x:v>
      </x:c>
      <x:c r="G611" s="44" t="str">
        <x:v>https://investor.hasbro.com/news-releases/news-release-details/hasbro-reports-third-quarter-2026-financial-results</x:v>
      </x:c>
      <x:c r="H611" s="44" t="str">
        <x:v>Hasbro reported Q3 revenue up 15%, Wizards and Digital Gaming revenue up 31%, adjusted operating profit up 52%, and raised its full-year revenue outlook to growth of 7%-9% with adjusted EBITDA of $1.575-$1.625 billion. HAS closed October 23 at $117.44 after gaining about 18.9% for the week. Decision: REJECT a post-results weekend entry; the rapid repricing, concentration in Magic and a $55 million tariff refund reduce confidence that the reported acceleration is fully repeatable.</x:v>
      </x:c>
      <x:c r="I611" s="44" t="str">
        <x:v>Rejected post-results chase</x:v>
      </x:c>
      <x:c r="J611" s="44" t="n">
        <x:v>5</x:v>
      </x:c>
      <x:c r="K611" s="44" t="str">
        <x:v>Consumer Products grew only 4%, the tariff refund flattered the quarter, and franchise concentration raises volatility. A fresh regular-session quote and holiday sell-through would be required before reconsideration.</x:v>
      </x:c>
    </x:row>
    <x:row r="612">
      <x:c r="A612" t="str">
        <x:v>EV-2026-612</x:v>
      </x:c>
      <x:c r="B612"/>
      <x:c r="C612" s="21" t="d">
        <x:v>2026-10-25T12:43:55.000Z</x:v>
      </x:c>
      <x:c r="D612" t="str">
        <x:v>Roper Technologies raised-guidance momentum screen</x:v>
      </x:c>
      <x:c r="E612" t="str">
        <x:v>Roper Technologies</x:v>
      </x:c>
      <x:c r="F612" t="str">
        <x:v>Primary issuer results and observable official-close data</x:v>
      </x:c>
      <x:c r="G612" s="44" t="str">
        <x:v>https://www.ropertech.com/news-releases/news-release-details/roper-technologies-announces-third-quarter-financial-results-2</x:v>
      </x:c>
      <x:c r="H612" s="44" t="str">
        <x:v>Roper reported Q3 revenue up 8% to $2.17 billion, organic revenue up 7%, adjusted EBITDA up 7% to $864 million and adjusted EPS up 15% to $5.89, and raised full-year adjusted diluted EPS guidance to $22.35-$22.40. ROP closed October 23 at $438.14 after a roughly 16% weekly rise. Decision: REJECT a weekend entry after the repricing; recurring software economics are attractive, but the one-week move and 40-basis-point EBITDA-margin decline leave insufficient current edge without a fresh quote.</x:v>
      </x:c>
      <x:c r="I612" s="44" t="str">
        <x:v>Rejected post-results chase</x:v>
      </x:c>
      <x:c r="J612" s="44" t="n">
        <x:v>5</x:v>
      </x:c>
      <x:c r="K612" s="44" t="str">
        <x:v>Acquisition execution and capital allocation remain essential to compounding, while elevated rates can pressure valuation. The strong operating report is confirmation of quality, not an automatically favorable entry price.</x:v>
      </x:c>
    </x:row>
    <x:row r="613">
      <x:c r="A613" t="str">
        <x:v>EV-2026-613</x:v>
      </x:c>
      <x:c r="B613"/>
      <x:c r="C613" s="21" t="d">
        <x:v>2026-10-25T12:43:55.000Z</x:v>
      </x:c>
      <x:c r="D613" t="str">
        <x:v>Applied Digital insider-buy dislocation</x:v>
      </x:c>
      <x:c r="E613" t="str">
        <x:v>Applied Digital / SEC</x:v>
      </x:c>
      <x:c r="F613" t="str">
        <x:v>Primary issuer results and public insider filings</x:v>
      </x:c>
      <x:c r="G613" s="44" t="str">
        <x:v>https://ir.applieddigital.com/news-events/press-releases/detail/163/applied-digital-reports-fiscal-first-quarter-2027-results</x:v>
      </x:c>
      <x:c r="H613" s="44" t="str">
        <x:v>Applied Digital insiders disclosed sizable open-market purchases after the share decline, including roughly $1 million by the CEO and about $5.7 million by the president. Fiscal Q1 revenue rose 322% to $341.9 million, but the company lost $221 million and reported about $6.4 billion of debt against $3.7 billion of cash and restricted cash. APLD closed October 23 at $18.25. Decision: REJECT a current entry; insider alignment is supportive but does not offset financing, dilution, construction and cash-burn risk.</x:v>
      </x:c>
      <x:c r="I613" s="44" t="str">
        <x:v>Rejected insider-buy signal</x:v>
      </x:c>
      <x:c r="J613" s="44" t="n">
        <x:v>4</x:v>
      </x:c>
      <x:c r="K613" s="44" t="str">
        <x:v>The CEO sold roughly $6 million of stock in January, and large purchases can still lose money. Capital needs are unusually high, net losses remain substantial and customer or project delays could force unfavorable financing.</x:v>
      </x:c>
    </x:row>
    <x:row r="614">
      <x:c r="A614" t="str">
        <x:v>EV-2026-614</x:v>
      </x:c>
      <x:c r="B614"/>
      <x:c r="C614" s="21" t="d">
        <x:v>2026-10-25T12:43:55.000Z</x:v>
      </x:c>
      <x:c r="D614" t="str">
        <x:v>Motley Fool weekend trigger screen</x:v>
      </x:c>
      <x:c r="E614" t="str">
        <x:v>The Motley Fool / Eric Volkman and Daniel Sparks</x:v>
      </x:c>
      <x:c r="F614" t="str">
        <x:v>Free editorial triggers only; primary issuer results checked separately</x:v>
      </x:c>
      <x:c r="G614" s="44" t="str">
        <x:v>https://www.fool.com/investing/2026/10/25/is-spotify-technology-sa-a-buy-after-its-latest-earnings-report/</x:v>
      </x:c>
      <x:c r="H614" s="44" t="str">
        <x:v>Free October 25 editorials highlighted Spotify after earnings and Microsoft at a lower preferred purchase price. Spotify's primary results confirmed revenue near EUR5.0 billion, 306 million subscribers, 33% gross margin, EUR672 million operating income and EUR735 million free cash flow, but SPOT had already jumped 11.1% on October 22 and traded near 52-times forward earnings. Microsoft traded at $524.51 ahead of October 28 earnings; the article itself preferred a price about 12% lower. Decision: treat both as idea triggers only and REJECT weekend escalation at stale prices.</x:v>
      </x:c>
      <x:c r="I614" s="44" t="str">
        <x:v>Rejected trigger escalation</x:v>
      </x:c>
      <x:c r="J614" s="44" t="n">
        <x:v>4</x:v>
      </x:c>
      <x:c r="K614" s="44" t="str">
        <x:v>Neither editorial independently confirms a catalyst or favorable entry. Spotify's growth is increasingly priced, while Microsoft's AI capital spending compresses near-term free-cash-flow conversion and the next earnings release creates gap risk. No paid recommendation was inferred or accessed.</x:v>
      </x:c>
    </x:row>
    <x:row r="615">
      <x:c r="A615" t="str">
        <x:v>EV-2026-615</x:v>
      </x:c>
      <x:c r="B615" t="str">
        <x:v>EEI-2026-023</x:v>
      </x:c>
      <x:c r="C615" s="21" t="d">
        <x:v>2026-10-26T12:33:04.000Z</x:v>
      </x:c>
      <x:c r="D615" t="str">
        <x:v>Verizon Q3 operational acceleration</x:v>
      </x:c>
      <x:c r="E615" t="str">
        <x:v>Verizon</x:v>
      </x:c>
      <x:c r="F615" t="str">
        <x:v>Primary issuer results</x:v>
      </x:c>
      <x:c r="G615" s="44" t="str">
        <x:v>https://www.verizon.com/about/news/verizon-delivers-another-record-breaking-quarter</x:v>
      </x:c>
      <x:c r="H615" s="44" t="str">
        <x:v>Verizon reported 406,000 postpaid phone net additions, service revenue of $23.5B (+2.9%), adjusted EBITDA of $13.8B (+8.0%), adjusted EPS of $1.31 (+8.3%) and free cash flow of $7.8B (+12.1%). It raised FY2026 adjusted EPS to $5.04-$5.06, phone additions to 1.1M-1.2M and FCF growth to nearly 12%, and announced a $2B-plus AWS AI-fiber framework. At 7:47:20 a.m. ET, VZ traded premarket at $44.80. Decision: PROPOSE a $300 research-test paper entry only at or below $45.25 through today's close; not a fill because capital and sizing rules are unavailable.</x:v>
      </x:c>
      <x:c r="I615" s="44" t="str">
        <x:v>New proposed paper entry; no fill</x:v>
      </x:c>
      <x:c r="J615" s="44" t="n">
        <x:v>5</x:v>
      </x:c>
      <x:c r="K615" s="44" t="str">
        <x:v>Revenue missed consensus; net unsecured debt was $123.7B, capital intensity remains high, and reported SpaceX wireless ambitions are a long-run competitive threat. The AWS framework must convert to revenue and returns.</x:v>
      </x:c>
    </x:row>
    <x:row r="616">
      <x:c r="A616" t="str">
        <x:v>EV-2026-616</x:v>
      </x:c>
      <x:c r="B616"/>
      <x:c r="C616" s="21" t="d">
        <x:v>2026-10-26T12:33:04.000Z</x:v>
      </x:c>
      <x:c r="D616" t="str">
        <x:v>EQT-Range Resources merger</x:v>
      </x:c>
      <x:c r="E616" t="str">
        <x:v>EQT / Range Resources</x:v>
      </x:c>
      <x:c r="F616" t="str">
        <x:v>Primary merger announcement</x:v>
      </x:c>
      <x:c r="G616" s="44" t="str">
        <x:v>https://ir.rangeresources.com/news-releases/news-release-details/eqt-announces-strategic-acquisition-range-resources-creating/</x:v>
      </x:c>
      <x:c r="H616" s="44" t="str">
        <x:v>EQT agreed to acquire Range in an all-stock transaction giving each RRC share 0.987 EQT shares. The companies cite a pro-forma enterprise value above $50B, roughly 9 Bcfe/d of production, nearly 3M acres and $325M of annual synergies within two years, with closing targeted for Q1 2027. Last official closes were EQT $55.63 and RRC $45.52; premarket reports showed divergent acquirer-target reactions. Decision: REJECT buying the premium-repriced target and reject an EQT entry before October 27 earnings and merger price discovery.</x:v>
      </x:c>
      <x:c r="I616" s="44" t="str">
        <x:v>Rejected merger chase</x:v>
      </x:c>
      <x:c r="J616" s="44" t="n">
        <x:v>5</x:v>
      </x:c>
      <x:c r="K616" s="44" t="str">
        <x:v>Antitrust, commodity-price, integration, dilution and synergy-realization risks remain. The announced exchange ratio fixes relative economics but not absolute value, and EQT shareholders bear near-term dilution and execution risk.</x:v>
      </x:c>
    </x:row>
    <x:row r="617">
      <x:c r="A617" t="str">
        <x:v>EV-2026-617</x:v>
      </x:c>
      <x:c r="B617"/>
      <x:c r="C617" s="21" t="d">
        <x:v>2026-10-26T12:33:04.000Z</x:v>
      </x:c>
      <x:c r="D617" t="str">
        <x:v>Brazil runoff and fiscal repricing</x:v>
      </x:c>
      <x:c r="E617" t="str">
        <x:v>Brazil Superior Electoral Court / Reuters</x:v>
      </x:c>
      <x:c r="F617" t="str">
        <x:v>Primary election result and independent market analysis</x:v>
      </x:c>
      <x:c r="G617" s="44" t="str">
        <x:v>https://www.tse.jus.br/comunicacao/noticias/2026/Outubro/presidente-do-tse-anuncia-reeleicao-de-lula-e-faz-balanco-do-2o-turno-das-eleicoes-2026</x:v>
      </x:c>
      <x:c r="H617" s="44" t="str">
        <x:v>Brazil's election authority declared Lula reelected with 51.79% of valid votes. Independent analysis expected fiscal-risk repricing; EWZ's last official close was $42.59. Decision: REJECT an immediate dip-buy or short because the cabinet and fiscal program remain unknown and public premarket feeds showed conflicting gap magnitudes.</x:v>
      </x:c>
      <x:c r="I617" s="44" t="str">
        <x:v>Rejected binary political chase</x:v>
      </x:c>
      <x:c r="J617" s="44" t="n">
        <x:v>5</x:v>
      </x:c>
      <x:c r="K617" s="44" t="str">
        <x:v>The election result is definitive, but market direction depends on fiscal appointments, budget policy, currency and rates. Conflicting adjusted-price feeds make a headline percentage move unreliable without normalized data.</x:v>
      </x:c>
    </x:row>
    <x:row r="618">
      <x:c r="A618" t="str">
        <x:v>EV-2026-618</x:v>
      </x:c>
      <x:c r="B618"/>
      <x:c r="C618" s="21" t="d">
        <x:v>2026-10-26T12:33:04.000Z</x:v>
      </x:c>
      <x:c r="D618" t="str">
        <x:v>Iovance sarcoma data screen</x:v>
      </x:c>
      <x:c r="E618" t="str">
        <x:v>Iovance Biotherapeutics</x:v>
      </x:c>
      <x:c r="F618" t="str">
        <x:v>Primary clinical update</x:v>
      </x:c>
      <x:c r="G618" s="44" t="str">
        <x:v>https://www.globenewswire.com/news-release/2026/10/26/3387958/0/en/iovance-announces-data-showing-durable-responses-with-lifileucel-til-cell-therapy-in-advanced-soft-tissue-sarcomas-at-esmo-2026.html</x:v>
      </x:c>
      <x:c r="H618" s="44" t="str">
        <x:v>Iovance reported a 50% objective-response rate in eight evaluable sarcoma patients, with four ongoing responses. The response rate was directionally consistent with an earlier six-patient disclosure, the sample remains uncontrolled and small, and the registrational study continues. The last official close was $14.09. Decision: REJECT a headline entry; the incremental evidence does not justify paying for binary development risk.</x:v>
      </x:c>
      <x:c r="I618" s="44" t="str">
        <x:v>Rejected small-sample headline</x:v>
      </x:c>
      <x:c r="J618" s="44" t="n">
        <x:v>4</x:v>
      </x:c>
      <x:c r="K618" s="44" t="str">
        <x:v>Tiny sample size, no comparator, trial immaturity, continuing operating cash burn and a multi-billion-dollar market value limit materiality. Later registrational efficacy, durability and manufacturing economics are decisive.</x:v>
      </x:c>
    </x:row>
    <x:row r="619">
      <x:c r="A619" t="str">
        <x:v>EV-2026-619</x:v>
      </x:c>
      <x:c r="B619"/>
      <x:c r="C619" s="21" t="d">
        <x:v>2026-10-26T12:33:04.000Z</x:v>
      </x:c>
      <x:c r="D619" t="str">
        <x:v>October 23 federal contract screen</x:v>
      </x:c>
      <x:c r="E619" t="str">
        <x:v>Department of War / AwardTape</x:v>
      </x:c>
      <x:c r="F619" t="str">
        <x:v>Official-announcement restatement with award-record analysis</x:v>
      </x:c>
      <x:c r="G619" s="44" t="str">
        <x:v>https://www.awardtape.com/contracts/2026-10-23/</x:v>
      </x:c>
      <x:c r="H619" s="44" t="str">
        <x:v>The largest action was a $2.409B cost-plus-fixed-fee MODIFICATION to Fluor Marine Propulsion contract N0002418C2130, originally awarded in 2018; only about $0.598M was obligated at the action and the record already carried roughly $15B of obligations and a $20.3B ceiling through September 2028. Lockheed's $114.6M F-35 order and Northrop's $43.9M Trident-facility contract were new and fully obligated but immaterial to their parents. FLR's last official close was $44.05. Decision: no new listed-equity thesis.</x:v>
      </x:c>
      <x:c r="I619" s="44" t="str">
        <x:v>No qualifying award catalyst</x:v>
      </x:c>
      <x:c r="J619" s="44" t="n">
        <x:v>5</x:v>
      </x:c>
      <x:c r="K619" s="44" t="str">
        <x:v>Fluor's headline figure is a routine modification to a long-running reimbursable program, not $2.409B of new current revenue; parent-level profitability, funding schedule and margin are unresolved. The other public-parent awards were below 0.5% of annual scale.</x:v>
      </x:c>
    </x:row>
    <x:row r="620">
      <x:c r="A620" t="str">
        <x:v>EV-2026-620</x:v>
      </x:c>
      <x:c r="B620"/>
      <x:c r="C620" s="21" t="d">
        <x:v>2026-10-26T12:33:04.000Z</x:v>
      </x:c>
      <x:c r="D620" t="str">
        <x:v>Motley Fool public-idea screen</x:v>
      </x:c>
      <x:c r="E620" t="str">
        <x:v>The Motley Fool / Adria Cimino and Lee Samaha</x:v>
      </x:c>
      <x:c r="F620" t="str">
        <x:v>Free editorials as triggers only; issuer records independently checked</x:v>
      </x:c>
      <x:c r="G620" s="44" t="str">
        <x:v>https://www.fool.com/investing/2026/10/26/should-you-buy-amazon-before-oct-29/</x:v>
      </x:c>
      <x:c r="H620" s="44" t="str">
        <x:v>Free October 26 editorials argued for Amazon before or after October 29 earnings and for patient ownership of 3M. The Amazon writer disclosed a position; the 3M writer disclosed none, and Motley Fool disclosed recommendations. Amazon faces binary earnings and very high capex; 3M's improvement is offset by large PFAS cash outflows in 2027-2028. MMM's last official close was $173.46. Decision: treat both as trigger sources only and REJECT pre-event or already-repriced entries.</x:v>
      </x:c>
      <x:c r="I620" s="44" t="str">
        <x:v>Rejected trigger escalation</x:v>
      </x:c>
      <x:c r="J620" s="44" t="n">
        <x:v>4</x:v>
      </x:c>
      <x:c r="K620" s="44" t="str">
        <x:v>Promotional opinion is not confirmation. Amazon's near-term free-cash-flow conversion and earnings gap risk remain material; 3M faces legal cash drains and much of the operating recovery is already visible.</x:v>
      </x:c>
    </x:row>
    <x:row r="621">
      <x:c r="A621" t="str">
        <x:v>EV-2026-621</x:v>
      </x:c>
      <x:c r="B621" t="str">
        <x:v>EEI-2026-001</x:v>
      </x:c>
      <x:c r="C621" s="21" t="d">
        <x:v>2026-10-26T12:33:04.000Z</x:v>
      </x:c>
      <x:c r="D621" t="str">
        <x:v>Paper portfolio and benchmark checkpoint</x:v>
      </x:c>
      <x:c r="E621" t="str">
        <x:v>Public market data / ledger calculations</x:v>
      </x:c>
      <x:c r="F621" t="str">
        <x:v>Last official closes and fixed historical units</x:v>
      </x:c>
      <x:c r="G621" s="44" t="str">
        <x:v>https://stockanalysis.com/etf/bno/history/</x:v>
      </x:c>
      <x:c r="H621" s="44" t="str">
        <x:v>Using the October 23 official closes, fixed-unit paper values were BNO $1240.87, USO $1172.41 and XOP $1040.50, totaling $3453.77. The basket was up $453.77 (15.13%) on $3,000. SPY at $759.97 was -1.18% from its September 8 open, leaving a 16.31 percentage-point relative result. Decision: HOLD the three actual paper positions; do not add after the energy breakout.</x:v>
      </x:c>
      <x:c r="I621" s="44" t="str">
        <x:v>Hold three actual positions</x:v>
      </x:c>
      <x:c r="J621" s="44" t="n">
        <x:v>4</x:v>
      </x:c>
      <x:c r="K621" s="44" t="str">
        <x:v>The basket is concentrated in one geopolitical energy thesis. These are prior-session official closes, not Monday executable marks; futures structure, de-escalation and broad-equity exposure can reverse gains quickly.</x:v>
      </x:c>
    </x:row>
    <x:row r="622">
      <x:c r="A622" t="str">
        <x:v>EV-2026-622</x:v>
      </x:c>
      <x:c r="B622"/>
      <x:c r="C622" s="21" t="d">
        <x:v>2026-10-26T12:33:04.000Z</x:v>
      </x:c>
      <x:c r="D622" t="str">
        <x:v>Due proposal reviews: Travelers and AT&amp;T</x:v>
      </x:c>
      <x:c r="E622" t="str">
        <x:v>Public market data / prior primary records</x:v>
      </x:c>
      <x:c r="F622" t="str">
        <x:v>Premarket review against frozen decision rules</x:v>
      </x:c>
      <x:c r="G622" s="44" t="str">
        <x:v>https://stockanalysis.com/stocks/trv/history/</x:v>
      </x:c>
      <x:c r="H622" s="44" t="str">
        <x:v>At the 8:33 a.m. ET premarket checkpoint, the last official closes were TRV $398.28 and T $20.93. The withdrawn TRV $365 proposal and unfilled AT&amp;T proposal remain rejected; neither is a position. Travelers still lacks a new catalyst at a qualifying valuation, while no primary evidence has removed the reported SpaceX competitive threat to AT&amp;T. Next scheduled review: November 26.</x:v>
      </x:c>
      <x:c r="I622" s="44" t="str">
        <x:v>Prior proposals remain rejected</x:v>
      </x:c>
      <x:c r="J622" s="44" t="n">
        <x:v>4</x:v>
      </x:c>
      <x:c r="K622" s="44" t="str">
        <x:v>Both underlying businesses may perform well despite the entry rejection. The decision is about current reward versus downside and stale proposal discipline, not a prediction that either stock must fall.</x:v>
      </x:c>
    </x:row>
    <x:row r="623">
      <x:c r="A623" t="str">
        <x:v>EV-2026-623</x:v>
      </x:c>
      <x:c r="B623" t="str">
        <x:v>EEI-2026-001</x:v>
      </x:c>
      <x:c r="C623" s="21" t="d">
        <x:v>2026-10-26T20:38:11.000Z</x:v>
      </x:c>
      <x:c r="D623" t="str">
        <x:v>Paper-trade outcome</x:v>
      </x:c>
      <x:c r="E623" t="str">
        <x:v>StockAnalysis</x:v>
      </x:c>
      <x:c r="F623" t="str">
        <x:v>Market data</x:v>
      </x:c>
      <x:c r="G623" s="44" t="str">
        <x:v>https://stockanalysis.com/etf/bno/history/</x:v>
      </x:c>
      <x:c r="H623" s="44" t="str">
        <x:v>BNO closed October 26 at $70.12 versus the fixed September 8 opening entry of $57.21. The $1,000 fractional-share paper position was worth $1,225.66, a gain of $225.66 or 22.57%.</x:v>
      </x:c>
      <x:c r="I623" s="44" t="str">
        <x:v>Confirms direct Brent expression despite daily pullback</x:v>
      </x:c>
      <x:c r="J623" s="44" t="n">
        <x:v>4</x:v>
      </x:c>
      <x:c r="K623" s="44" t="str">
        <x:v>Official regular-session close used; totals retain unrounded fractional shares.</x:v>
      </x:c>
    </x:row>
    <x:row r="624">
      <x:c r="A624" t="str">
        <x:v>EV-2026-624</x:v>
      </x:c>
      <x:c r="B624" t="str">
        <x:v>EEI-2026-001</x:v>
      </x:c>
      <x:c r="C624" s="21" t="d">
        <x:v>2026-10-26T20:38:11.000Z</x:v>
      </x:c>
      <x:c r="D624" t="str">
        <x:v>Paper-trade outcome</x:v>
      </x:c>
      <x:c r="E624" t="str">
        <x:v>StockAnalysis</x:v>
      </x:c>
      <x:c r="F624" t="str">
        <x:v>Market data</x:v>
      </x:c>
      <x:c r="G624" s="44" t="str">
        <x:v>https://stockanalysis.com/etf/uso/history/</x:v>
      </x:c>
      <x:c r="H624" s="44" t="str">
        <x:v>USO closed October 26 at $166.23 versus the fixed September 8 opening entry of $144.60. The $1,000 fractional-share paper position was worth $1,149.59, a gain of $149.59 or 14.96%.</x:v>
      </x:c>
      <x:c r="I624" s="44" t="str">
        <x:v>Confirms direct WTI expression despite daily pullback</x:v>
      </x:c>
      <x:c r="J624" s="44" t="n">
        <x:v>4</x:v>
      </x:c>
      <x:c r="K624" s="44" t="str">
        <x:v>Official regular-session close used; the fund's futures exposure can diverge from spot WTI.</x:v>
      </x:c>
    </x:row>
    <x:row r="625">
      <x:c r="A625" t="str">
        <x:v>EV-2026-625</x:v>
      </x:c>
      <x:c r="B625" t="str">
        <x:v>EEI-2026-001</x:v>
      </x:c>
      <x:c r="C625" s="21" t="d">
        <x:v>2026-10-26T20:38:11.000Z</x:v>
      </x:c>
      <x:c r="D625" t="str">
        <x:v>Paper-trade outcome</x:v>
      </x:c>
      <x:c r="E625" t="str">
        <x:v>StockAnalysis</x:v>
      </x:c>
      <x:c r="F625" t="str">
        <x:v>Market data</x:v>
      </x:c>
      <x:c r="G625" s="44" t="str">
        <x:v>https://stockanalysis.com/etf/xop/history/</x:v>
      </x:c>
      <x:c r="H625" s="44" t="str">
        <x:v>XOP closed October 26 at $204.86 versus the fixed September 8 opening entry of $193.84. The $1,000 fractional-share paper position was worth $1,056.85, a gain of $56.85 or 5.69%.</x:v>
      </x:c>
      <x:c r="I625" s="44" t="str">
        <x:v>Positive but still weakest expression</x:v>
      </x:c>
      <x:c r="J625" s="44" t="n">
        <x:v>4</x:v>
      </x:c>
      <x:c r="K625" s="44" t="str">
        <x:v>Official regular-session close used; the producer-equity ETF retains company and broad-equity mapping risk.</x:v>
      </x:c>
    </x:row>
    <x:row r="626">
      <x:c r="A626" t="str">
        <x:v>EV-2026-626</x:v>
      </x:c>
      <x:c r="B626" t="str">
        <x:v>EEI-2026-001</x:v>
      </x:c>
      <x:c r="C626" s="21" t="d">
        <x:v>2026-10-26T20:38:11.000Z</x:v>
      </x:c>
      <x:c r="D626" t="str">
        <x:v>Market confirmation</x:v>
      </x:c>
      <x:c r="E626" t="str">
        <x:v>Reuters</x:v>
      </x:c>
      <x:c r="F626" t="str">
        <x:v>High-quality independent reporting</x:v>
      </x:c>
      <x:c r="G626" s="44" t="str">
        <x:v>https://www.reuters.com/business/energy/oil-prices-down-almost-1-early-trading-2026-10-25/</x:v>
      </x:c>
      <x:c r="H626" s="44" t="str">
        <x:v>Brent fell $0.91 or 0.8% to settle October 26 at $115.81, while WTI fell $1.51 or 1.46% to $101.76. Hopes for regional diplomacy reduced the immediate supply-risk premium after Friday's rally.</x:v>
      </x:c>
      <x:c r="I626" s="44" t="str">
        <x:v>Daily counter-signal; formal thesis remains profitable</x:v>
      </x:c>
      <x:c r="J626" s="44" t="n">
        <x:v>5</x:v>
      </x:c>
      <x:c r="K626" s="44" t="str">
        <x:v>Prices remained near six-month highs and both direct crude paper positions stayed well above their September 8 entries.</x:v>
      </x:c>
    </x:row>
    <x:row r="627">
      <x:c r="A627" t="str">
        <x:v>EV-2026-627</x:v>
      </x:c>
      <x:c r="B627" t="str">
        <x:v>EEI-2026-024</x:v>
      </x:c>
      <x:c r="C627" s="21" t="d">
        <x:v>2026-10-27T13:32:55.000Z</x:v>
      </x:c>
      <x:c r="D627" t="str">
        <x:v>Q3 earnings inflection and 2027 outlook</x:v>
      </x:c>
      <x:c r="E627" t="str">
        <x:v>SoFi Technologies</x:v>
      </x:c>
      <x:c r="F627" t="str">
        <x:v>Primary issuer results</x:v>
      </x:c>
      <x:c r="G627" s="44" t="str">
        <x:v>https://investors.sofi.com/news/news-details/2026/SoFi-Reports-Third-Quarter-2026-with-Record-Net-Revenue-of-1-4-Billion-Net-Income-of-241-Million-and-Raises-Full-Year-Guidance/default.aspx</x:v>
      </x:c>
      <x:c r="H627" s="44" t="str">
        <x:v>SoFi reported $1.385B of GAAP revenue (+44%), $241M of net income, $0.18 diluted EPS, $469.8M of adjusted EBITDA, 17.1M members and $570.6M of fee-based revenue. It guided to $5.04B of 2026 adjusted revenue and $0.61 EPS and approximately $6.4B and $0.90 EPS for 2027. At 9:32 a.m. ET regular-session checkpoint (15-minute-delayed public feed), SOFI was $15.86. Decision: REJECT an immediate paper entry at $15.86 because the quote exceeded the precommitted $15.25 no-chase ceiling. Reassess after an orderly consolidation or the next credit and technology-platform update; no live order.</x:v>
      </x:c>
      <x:c r="I627" s="44" t="str">
        <x:v>Rejected above no-chase ceiling</x:v>
      </x:c>
      <x:c r="J627" s="44" t="n">
        <x:v>5</x:v>
      </x:c>
      <x:c r="K627" s="44" t="str">
        <x:v>Technology Platform revenue fell 24% and contribution profit fell 56% year over year after a major client departure. Consumer credit, rate sensitivity, concentration, dilution and execution risk remain material.</x:v>
      </x:c>
    </x:row>
    <x:row r="628">
      <x:c r="A628" t="str">
        <x:v>EV-2026-628</x:v>
      </x:c>
      <x:c r="B628" t="str">
        <x:v>EEI-2026-024</x:v>
      </x:c>
      <x:c r="C628" s="21" t="d">
        <x:v>2026-10-27T13:32:55.000Z</x:v>
      </x:c>
      <x:c r="D628" t="str">
        <x:v>Independent earnings and market confirmation</x:v>
      </x:c>
      <x:c r="E628" t="str">
        <x:v>Wall Street Journal / public market data</x:v>
      </x:c>
      <x:c r="F628" t="str">
        <x:v>High-quality independent reporting and timestamped quote</x:v>
      </x:c>
      <x:c r="G628" s="44" t="str">
        <x:v>https://www.wsj.com/business/earnings/sofi-lifts-outlook-after-profit-revenue-and-memberships-jump-8cc45f94</x:v>
      </x:c>
      <x:c r="H628" s="44" t="str">
        <x:v>Independent reporting confirmed the Q3 profit and revenue acceleration, raised outlook and record membership growth. The regular-session quote of $15.86 at 9:32 a.m. ET regular-session checkpoint (15-minute-delayed public feed) supplied executable-price context rather than a premarket indication.</x:v>
      </x:c>
      <x:c r="I628" s="44" t="str">
        <x:v>Confirms materiality and current-price test</x:v>
      </x:c>
      <x:c r="J628" s="44" t="n">
        <x:v>5</x:v>
      </x:c>
      <x:c r="K628" s="44" t="str">
        <x:v>A one-day earnings reaction is not proof of durable rerating. The 2027 outlook is management guidance, not realized earnings.</x:v>
      </x:c>
    </x:row>
    <x:row r="629">
      <x:c r="A629" t="str">
        <x:v>EV-2026-629</x:v>
      </x:c>
      <x:c r="B629"/>
      <x:c r="C629" s="21" t="d">
        <x:v>2026-10-27T13:32:55.000Z</x:v>
      </x:c>
      <x:c r="D629" t="str">
        <x:v>AI hardware earnings and capital-intensity screen</x:v>
      </x:c>
      <x:c r="E629" t="str">
        <x:v>Celestica</x:v>
      </x:c>
      <x:c r="F629" t="str">
        <x:v>Primary issuer results</x:v>
      </x:c>
      <x:c r="G629" s="44" t="str">
        <x:v>https://corporate.celestica.com/news-releases/news-release-details/celestica-announces-third-quarter-2026-financial-results-and</x:v>
      </x:c>
      <x:c r="H629" s="44" t="str">
        <x:v>Celestica reported Q3 revenue of $5.83B and adjusted EPS of $3.30, raised 2026 guidance and introduced a $40B 2027 revenue outlook, but cut 2026 free-cash-flow guidance to $460M and expects $1.5B-$2.0B of 2027 capex. CLS was $267.09 at 9:32 a.m. ET regular-session checkpoint (15-minute-delayed public feed). Decision: REJECT an immediate entry because cash conversion, customer concentration, equity issuance and aggressive demand assumptions outweigh the headline growth at the current price.</x:v>
      </x:c>
      <x:c r="I629" s="44" t="str">
        <x:v>Rejected immediate entry</x:v>
      </x:c>
      <x:c r="J629" s="44" t="n">
        <x:v>5</x:v>
      </x:c>
      <x:c r="K629" s="44" t="str">
        <x:v>HPS growth and demand visibility are strong; a later entry could qualify if free-cash-flow conversion improves and the stock forms an orderly base.</x:v>
      </x:c>
    </x:row>
    <x:row r="630">
      <x:c r="A630" t="str">
        <x:v>EV-2026-630</x:v>
      </x:c>
      <x:c r="B630"/>
      <x:c r="C630" s="21" t="d">
        <x:v>2026-10-27T13:32:55.000Z</x:v>
      </x:c>
      <x:c r="D630" t="str">
        <x:v>Airline revenue versus solvency screen</x:v>
      </x:c>
      <x:c r="E630" t="str">
        <x:v>JetBlue Airways</x:v>
      </x:c>
      <x:c r="F630" t="str">
        <x:v>Primary issuer results</x:v>
      </x:c>
      <x:c r="G630" s="44" t="str">
        <x:v>https://www.news.jetblue.com/latest-news/press-release-details/2026/JetBlue-Announces-Third-Quarter-2026-Results/default.aspx</x:v>
      </x:c>
      <x:c r="H630" s="44" t="str">
        <x:v>JetBlue reported Q3 revenue of $2.812B (+21.1%) and strong unit-revenue growth, but maintained a deeply negative full-year adjusted operating-margin outlook and does not target sustained free cash flow until 2028. JBLU was $2.59 at 9:32 a.m. ET regular-session checkpoint (15-minute-delayed public feed). Decision: REJECT despite revenue momentum because fuel, interest, debt and continuing losses dominate the equity case.</x:v>
      </x:c>
      <x:c r="I630" s="44" t="str">
        <x:v>Rejected balance-sheet risk</x:v>
      </x:c>
      <x:c r="J630" s="44" t="n">
        <x:v>5</x:v>
      </x:c>
      <x:c r="K630" s="44" t="str">
        <x:v>Industry pricing and alliance benefits could improve results, but execution and refinancing risk remain high.</x:v>
      </x:c>
    </x:row>
    <x:row r="631">
      <x:c r="A631" t="str">
        <x:v>EV-2026-631</x:v>
      </x:c>
      <x:c r="B631"/>
      <x:c r="C631" s="21" t="d">
        <x:v>2026-10-27T13:32:55.000Z</x:v>
      </x:c>
      <x:c r="D631" t="str">
        <x:v>Consumer-staples quality versus valuation screen</x:v>
      </x:c>
      <x:c r="E631" t="str">
        <x:v>The Coca-Cola Company</x:v>
      </x:c>
      <x:c r="F631" t="str">
        <x:v>Primary issuer results</x:v>
      </x:c>
      <x:c r="G631" s="44" t="str">
        <x:v>https://investors.coca-colacompany.com/news-events/press-releases/detail/1176/coca-cola-reports-third-quarter-2026-results-and-raises-full-year-guidance</x:v>
      </x:c>
      <x:c r="H631" s="44" t="str">
        <x:v>Coca-Cola reported Q3 revenue of $13.4B (+7%), organic revenue growth of 7% and comparable EPS of $0.93 (+8%) and raised full-year guidance. KO was $92.09 at 9:32 a.m. ET regular-session checkpoint (15-minute-delayed public feed). Decision: REJECT a fresh paper entry because the quality and pricing evidence are already reflected in a high earnings multiple and the catalyst lacks a clear valuation dislocation.</x:v>
      </x:c>
      <x:c r="I631" s="44" t="str">
        <x:v>Rejected on valuation and edge</x:v>
      </x:c>
      <x:c r="J631" s="44" t="n">
        <x:v>5</x:v>
      </x:c>
      <x:c r="K631" s="44" t="str">
        <x:v>A defensive growth profile can still outperform if macro risk rises; rejection concerns current edge, not business quality.</x:v>
      </x:c>
    </x:row>
    <x:row r="632">
      <x:c r="A632" t="str">
        <x:v>EV-2026-632</x:v>
      </x:c>
      <x:c r="B632" t="str">
        <x:v>EEI-2026-018</x:v>
      </x:c>
      <x:c r="C632" s="21" t="d">
        <x:v>2026-10-27T13:32:55.000Z</x:v>
      </x:c>
      <x:c r="D632" t="str">
        <x:v>Due Boeing thesis review</x:v>
      </x:c>
      <x:c r="E632" t="str">
        <x:v>Boeing / Reuters</x:v>
      </x:c>
      <x:c r="F632" t="str">
        <x:v>Primary issuer results and independent reporting</x:v>
      </x:c>
      <x:c r="G632" s="44" t="str">
        <x:v>https://www.reuters.com/business/aerospace-defense/boeing-jetliner-production-challenges-weigh-third-quarter-results-2026-10-27/</x:v>
      </x:c>
      <x:c r="H632" s="44" t="str">
        <x:v>Boeing's Q3 adjusted loss was worse than expected, while commercial production problems persisted. Defense revenue and operating margin improved and free cash flow turned positive, but the PAC-3 seeker action remains an undefinitized ceiling without disclosed funded obligations. BA was $184.65 at 9:32 a.m. ET regular-session checkpoint (15-minute-delayed public feed). Decision: convert legacy WAIT to REJECT; next review November 27.</x:v>
      </x:c>
      <x:c r="I632" s="44" t="str">
        <x:v>Due review completed; current entry rejected</x:v>
      </x:c>
      <x:c r="J632" s="44" t="n">
        <x:v>5</x:v>
      </x:c>
      <x:c r="K632" s="44" t="str">
        <x:v>Defense improvement and record backlog support the long-run variable, but listed-equity dilution by commercial execution, debt and fixed-price risk remains decisive.</x:v>
      </x:c>
    </x:row>
    <x:row r="633">
      <x:c r="A633" t="str">
        <x:v>EV-2026-633</x:v>
      </x:c>
      <x:c r="B633" t="str">
        <x:v>EEI-2026-023</x:v>
      </x:c>
      <x:c r="C633" s="21" t="d">
        <x:v>2026-10-27T13:32:55.000Z</x:v>
      </x:c>
      <x:c r="D633" t="str">
        <x:v>Expired Verizon proposal review</x:v>
      </x:c>
      <x:c r="E633" t="str">
        <x:v>Public market data / prior issuer evidence</x:v>
      </x:c>
      <x:c r="F633" t="str">
        <x:v>Timestamped quote and decision review</x:v>
      </x:c>
      <x:c r="G633" s="44" t="str">
        <x:v>https://www.verizon.com/about/news/verizon-delivers-another-record-breaking-quarter</x:v>
      </x:c>
      <x:c r="H633" s="44" t="str">
        <x:v>The October 26 VZ proposal expired unfilled. VZ traded at $43.25 at 9:32 a.m. ET regular-session checkpoint (15-minute-delayed public feed), near or below the frozen $43.40 daily-close invalidation level. Decision: REJECT renewal; no Verizon position exists. Require a confirmed close above $43.40 and intact fundamentals before any fresh finite decision.</x:v>
      </x:c>
      <x:c r="I633" s="44" t="str">
        <x:v>Expired proposal rejected</x:v>
      </x:c>
      <x:c r="J633" s="44" t="n">
        <x:v>4</x:v>
      </x:c>
      <x:c r="K633" s="44" t="str">
        <x:v>An intraday quote does not by itself trigger the daily-close invalidation; the Strong fundamental thesis remains open pending closing-price and operating evidence.</x:v>
      </x:c>
    </x:row>
    <x:row r="634">
      <x:c r="A634" t="str">
        <x:v>EV-2026-634</x:v>
      </x:c>
      <x:c r="B634"/>
      <x:c r="C634" s="21" t="d">
        <x:v>2026-10-27T13:32:55.000Z</x:v>
      </x:c>
      <x:c r="D634" t="str">
        <x:v>Motley Fool public-idea screen</x:v>
      </x:c>
      <x:c r="E634" t="str">
        <x:v>The Motley Fool / Neil Rozenbaum</x:v>
      </x:c>
      <x:c r="F634" t="str">
        <x:v>Free editorial trigger only; primary issuer records checked independently</x:v>
      </x:c>
      <x:c r="G634" s="44" t="str">
        <x:v>https://www.fool.com/investing/2026/10/27/the-ai-sell-off-doesn-t-add-up-chip-stocks-are-beating-earnings-and-still-falling/</x:v>
      </x:c>
      <x:c r="H634" s="44" t="str">
        <x:v>A free editorial argued that post-earnings weakness in AI chip and infrastructure names created opportunity. The writer disclosed ownership of Broadcom and Nebius; the publication disclosed recommendations and affiliate compensation. Celestica and other issuer records independently confirm strong AI demand, but the promotional article bundles different valuations, cash-flow profiles and risks. Decision: no entry from the article; it remains a trigger source only.</x:v>
      </x:c>
      <x:c r="I634" s="44" t="str">
        <x:v>Trigger rejected as insufficiently specific</x:v>
      </x:c>
      <x:c r="J634" s="44" t="n">
        <x:v>3</x:v>
      </x:c>
      <x:c r="K634" s="44" t="str">
        <x:v>Motley Fool is not confirmation or an expert enhancer. The piece does not supply a single underwritten entry, current-price risk budget or uniform catalyst.</x:v>
      </x:c>
    </x:row>
    <x:row r="635">
      <x:c r="A635" t="str">
        <x:v>EV-2026-635</x:v>
      </x:c>
      <x:c r="B635"/>
      <x:c r="C635" s="21" t="d">
        <x:v>2026-10-27T13:32:55.000Z</x:v>
      </x:c>
      <x:c r="D635" t="str">
        <x:v>Federal award and regulatory discovery screen</x:v>
      </x:c>
      <x:c r="E635" t="str">
        <x:v>U.S. Department of Defense / public agency channels</x:v>
      </x:c>
      <x:c r="F635" t="str">
        <x:v>Primary public announcements; non-exhaustive accessible screen</x:v>
      </x:c>
      <x:c r="G635" s="44" t="str">
        <x:v>https://www.defense.gov/News/Contracts/</x:v>
      </x:c>
      <x:c r="H635" s="44" t="str">
        <x:v>The accessible current federal-award and regulatory screen did not surface a new, material, independently confirmed listed-equity catalyst with disclosed obligations and clear parent-level revenue relevance. No government-award thesis was opened.</x:v>
      </x:c>
      <x:c r="I635" s="44" t="str">
        <x:v>No qualifying catalyst</x:v>
      </x:c>
      <x:c r="J635" s="44" t="n">
        <x:v>3</x:v>
      </x:c>
      <x:c r="K635" s="44" t="str">
        <x:v>Coverage was public and broad but not exhaustive; no proprietary award feed or complete same-day recipient-parent mapping was available.</x:v>
      </x:c>
    </x:row>
    <x:row r="636">
      <x:c r="A636" t="str">
        <x:v>EV-2026-636</x:v>
      </x:c>
      <x:c r="B636" t="str">
        <x:v>EEI-2026-001</x:v>
      </x:c>
      <x:c r="C636" s="21" t="d">
        <x:v>2026-10-27T13:32:55.000Z</x:v>
      </x:c>
      <x:c r="D636" t="str">
        <x:v>Paper portfolio and benchmark checkpoint</x:v>
      </x:c>
      <x:c r="E636" t="str">
        <x:v>Public market data / ledger calculations</x:v>
      </x:c>
      <x:c r="F636" t="str">
        <x:v>Timestamped public quotes and fixed historical units</x:v>
      </x:c>
      <x:c r="G636" s="44" t="str">
        <x:v>https://stockanalysis.com/etf/bno/history/</x:v>
      </x:c>
      <x:c r="H636" s="44" t="str">
        <x:v>At 9:32 a.m. ET regular-session checkpoint (15-minute-delayed public feed), fixed-unit values were BNO $1218.67, USO $1141.22 and XOP $1052.21, totaling $3412.09. The basket was up $412.09 (13.74%) on $3,000. SPY at $767.42 was -0.21% from its September 8 open, leaving a 13.95 percentage-point relative result. Decision: HOLD the three actual positions; do not add.</x:v>
      </x:c>
      <x:c r="I636" s="44" t="str">
        <x:v>Hold three actual positions</x:v>
      </x:c>
      <x:c r="J636" s="44" t="n">
        <x:v>4</x:v>
      </x:c>
      <x:c r="K636" s="44" t="str">
        <x:v>The basket is concentrated in one geopolitical energy thesis. Intraday marks can reverse before the close; direct crude funds retain curve and gap risk and XOP adds equity-specific risk.</x:v>
      </x:c>
    </x:row>
  </x:sheetData>
  <x:mergeCells>
    <x:mergeCell ref="A2:K2"/>
  </x:mergeCells>
  <x:pageMargins left="0.7" right="0.7" top="0.75" bottom="0.75" header="0.3" footer="0.3"/>
  <x:tableParts count="1">
    <x:tablePart xmlns:r="http://schemas.openxmlformats.org/officeDocument/2006/relationships" r:id="Rffbba269cc7b4f15"/>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2d3144779b6e4fac"/>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69.72</x:v>
      </x:c>
      <x:c r="K6" s="46" t="n">
        <x:f>I6*J6</x:f>
        <x:v>1218.6680650235974</x:v>
      </x:c>
      <x:c r="L6" s="46" t="n">
        <x:f>K6-H6</x:f>
        <x:v>218.66806502359736</x:v>
      </x:c>
      <x:c r="M6" s="48" t="n">
        <x:f>L6/H6</x:f>
        <x:v>0.21866806502359737</x:v>
      </x:c>
      <x:c r="N6" s="30"/>
      <x:c r="O6" s="32"/>
      <x:c r="P6" s="32" t="str">
        <x:f>IF(OR(I6="",O6=""),"",I6*O6)</x:f>
      </x:c>
      <x:c r="Q6" s="32" t="str">
        <x:f>IF(P6="","",P6-H6)</x:f>
      </x:c>
      <x:c r="R6" s="29" t="str">
        <x:v>9:32 a.m. ET regular-session checkpoint (15-minute-delayed public feed): $69.72; fixed-unit value $1218.67. HOLD. Do not add after the geopolitical breakout; direct crude retains futures-curve, gap and de-escalation risk.</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165.02</x:v>
      </x:c>
      <x:c r="K7" s="46" t="n">
        <x:f>I7*J7</x:f>
        <x:v>1141.2171507607193</x:v>
      </x:c>
      <x:c r="L7" s="46" t="n">
        <x:f>K7-H7</x:f>
        <x:v>141.21715076071928</x:v>
      </x:c>
      <x:c r="M7" s="48" t="n">
        <x:f>L7/H7</x:f>
        <x:v>0.14121715076071928</x:v>
      </x:c>
      <x:c r="N7" s="30"/>
      <x:c r="O7" s="32"/>
      <x:c r="P7" s="32" t="str">
        <x:f>IF(OR(I7="",O7=""),"",I7*O7)</x:f>
      </x:c>
      <x:c r="Q7" s="32" t="str">
        <x:f>IF(P7="","",P7-H7)</x:f>
      </x:c>
      <x:c r="R7" s="29" t="str">
        <x:v>9:32 a.m. ET regular-session checkpoint (15-minute-delayed public feed): $165.02; fixed-unit value $1141.22. HOLD. No add; physical-flow, diplomacy and futures-curve risks remain material.</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203.96</x:v>
      </x:c>
      <x:c r="K8" s="46" t="n">
        <x:f>I8*J8</x:f>
        <x:v>1052.2080066033843</x:v>
      </x:c>
      <x:c r="L8" s="46" t="n">
        <x:f>K8-H8</x:f>
        <x:v>52.20800660338432</x:v>
      </x:c>
      <x:c r="M8" s="48" t="n">
        <x:f>L8/H8</x:f>
        <x:v>0.05220800660338432</x:v>
      </x:c>
      <x:c r="N8" s="30"/>
      <x:c r="O8" s="32"/>
      <x:c r="P8" s="32" t="str">
        <x:f>IF(OR(I8="",O8=""),"",I8*O8)</x:f>
      </x:c>
      <x:c r="Q8" s="32" t="str">
        <x:f>IF(P8="","",P8-H8)</x:f>
      </x:c>
      <x:c r="R8" s="29" t="str">
        <x:v>9:32 a.m. ET regular-session checkpoint (15-minute-delayed public feed): $203.96; fixed-unit value $1052.21. HOLD. Producer equities remain the weakest expression and add company, cost and broad-equity risks.</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40c9b62f43ae45ad"/>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t="str">
        <x:v>RUN-2026-10-06-0819</x:v>
      </x:c>
      <x:c r="B49" s="28" t="d">
        <x:v>2026-10-06T12:19:43.000Z</x:v>
      </x:c>
      <x:c r="C49" s="27" t="str">
        <x:v>Easy E Invest daily scan</x:v>
      </x:c>
      <x:c r="D49" s="29" t="str">
        <x:v>Separate reviews: energy market; 2026 midterm thesis; Motley Fool watch; plus USAspending and federal awards, defense, nuclear power, rates, sanctions, shipping, supply chains, healthcare, consumer and broad corporate events</x:v>
      </x:c>
      <x:c r="E49" s="29" t="str">
        <x:v>Methodology and current ledger; Reuters; U.S. Department of Energy; Google, Constellation and Boeing primary records; SEC and issuer earnings records; USAspending and federal award searches; public Motley Fool editorials; observable market and shipping data</x:v>
      </x:c>
      <x:c r="F49" s="29" t="n">
        <x:v>17</x:v>
      </x:c>
      <x:c r="G49" s="29" t="n">
        <x:v>6</x:v>
      </x:c>
      <x:c r="H49" s="29" t="n">
        <x:v>0</x:v>
      </x:c>
      <x:c r="I49" s="29" t="str">
        <x:v>Yes</x:v>
      </x:c>
      <x:c r="J49" s="29" t="str">
        <x:v>Qualifying update. Opened EEI-2026-017 as Strong 4/5, edge 1/5 and WAIT after Google and Constellation confirmed a 20-year PPA supporting 890 MW of new nuclear uprates, a 15-year 2,700 MW supply agreement and more than $4.3 billion of investment; the stock gapped and returns remain undisclosed. EEI-2026-015 advanced from Developing 3/5 to Strong 4/5 after DOE officially announced a conditional loan commitment up to $4.2 billion and quantified 433 MW, while funding conditions and execution keep the Entry Window at WAIT. EEI-2026-003 confidence rose from 4/5 to 5/5 as national and Ohio evidence strengthened the case for a Democratic House and competitive Senate, but the stage remains Strong and WAIT because control, breadth and rates are unresolved. Opened EEI-2026-018 as Developing 3/5, edge 1/5 and WAIT after Boeing disclosed an approximately $14.7 billion undefinitized PAC-3 seeker action; obligations, definitization and profitable conversion are unproven. Energy remains two-sided: Gulf crude flows and lower prices strengthen normalization counterevidence for EEI-2026-009, while refined-product and logistics stress persists; EEI-2026-011 remains Actionable / WAIT with route-easing risk and extended tanker equities. New public Motley Fool suggestions were investigated and rejected as distinct theses; BMY, LULU and AVAV had no thesis-changing primary evidence. No horizon matured. No real trade was recommended or executed.</x:v>
      </x:c>
    </x:row>
    <x:row r="50">
      <x:c r="A50" s="27" t="str">
        <x:v>RUN-2026-10-07-0817</x:v>
      </x:c>
      <x:c r="B50" s="28" t="d">
        <x:v>2026-10-07T12:17:12.000Z</x:v>
      </x:c>
      <x:c r="C50" s="27" t="str">
        <x:v>Easy E Invest daily scan</x:v>
      </x:c>
      <x:c r="D50" s="29" t="str">
        <x:v>Separate reviews: energy market; 2026 midterm thesis; Motley Fool watch; plus USAspending and federal awards, defense, nuclear and grid power, rates, sanctions, shipping, supply chains, healthcare, consumer and semiconductors</x:v>
      </x:c>
      <x:c r="E50" s="29" t="str">
        <x:v>Methodology and current ledger; Reuters; Associated Press; Constellation and company primary records; SEC and issuer earnings materials; USAspending and federal award searches; public Motley Fool editorials; observable market data</x:v>
      </x:c>
      <x:c r="F50" s="29" t="n">
        <x:v>14</x:v>
      </x:c>
      <x:c r="G50" s="29" t="n">
        <x:v>8</x:v>
      </x:c>
      <x:c r="H50" s="29" t="n">
        <x:v>0</x:v>
      </x:c>
      <x:c r="I50" s="29" t="str">
        <x:v>Yes</x:v>
      </x:c>
      <x:c r="J50" s="29" t="str">
        <x:v>Qualifying update. EEI-2026-009 completed its scheduled formal review: the economic variable, direction and timing were correct as European diesel futures traded about $77 per barrel above Brent and rose 13%; the investment-expression result remains blank because no clean paper position was defined, and Entry Window discipline scored Yes. The thesis remains Actionable 5/5, edge 1/5 and WAIT because strategic releases, recovering crude exports and extreme headline risk limit entry quality. EEI-2026-017 confidence rose from 4/5 to 5/5 after CEG gained about 12.2% in the regular session, confirming market recognition; stage stays Strong, edge 1/5 and WAIT because the gap worsens headline-chasing risk and project returns remain undisclosed. EEI-2026-003 remains Strong 5/5 and WAIT: late Republican spending inefficiency and wider Democratic House targets support the control-shift case, but high term premium, yields and narrow leadership still block the breadth expression. EEI-2026-011 remains Actionable / WAIT after renewed Houthi attacks; no favorable tanker entry emerged. New Motley Fool ideas on ON Semiconductor and Micron/SanDisk were fully checked against primary results and rejected as new theses because long-dated management targets or extreme repricing left no demonstrated edge. BMY, LULU and AVAV had no thesis-changing primary evidence. The private Anduril Navy announcement lacked required USAspending award fields and a clean public-company mapping. No real trade was recommended or executed.</x:v>
      </x:c>
    </x:row>
    <x:row r="51">
      <x:c r="A51" s="27" t="str">
        <x:v>RUN-2026-10-08-0843</x:v>
      </x:c>
      <x:c r="B51" s="28" t="d">
        <x:v>2026-10-08T12:43:03.000Z</x:v>
      </x:c>
      <x:c r="C51" s="27" t="str">
        <x:v>Easy E Invest daily scan</x:v>
      </x:c>
      <x:c r="D51" s="29" t="str">
        <x:v>Separate reviews: energy market; 2026 midterm thesis; Motley Fool watch; plus USAspending and federal awards, defense, autonomous systems, grid power, rates, sanctions, shipping, supply chains, healthcare, consumer and fintech</x:v>
      </x:c>
      <x:c r="E51" s="29" t="str">
        <x:v>Methodology and current ledger; Reuters; Associated Press; Kpler and LSEG shipping data; SEC and issuer records; USAspending and Defense.gov screens; public Motley Fool editorials; observable market data</x:v>
      </x:c>
      <x:c r="F51" s="29" t="n">
        <x:v>16</x:v>
      </x:c>
      <x:c r="G51" s="29" t="n">
        <x:v>10</x:v>
      </x:c>
      <x:c r="H51" s="29" t="n">
        <x:v>0</x:v>
      </x:c>
      <x:c r="I51" s="29" t="str">
        <x:v>Yes</x:v>
      </x:c>
      <x:c r="J51" s="29" t="str">
        <x:v>Qualifying update. EEI-2026-011 completed its scheduled formal review: the economic variable, direction and timing were correct as VLCC rates exceeded $1.2 million per day and Hormuz traffic fell to the lowest since July; FRO and DHT rose about 6.5% and 5.6% from September 21 through October 7, and Entry Window discipline scored Yes. The thesis remains Actionable 5/5, edge 1/5 and WAIT because alternate-coast exports keep total Middle East flow near prewar levels, policy barrels and a large orderbook strengthen normalization risk, and tanker equities remain near highs. EEI-2026-003 remains Strong 5/5 and WAIT: House-shift evidence remains strong, but Brent above $104, a 5.34% 10-year yield and weaker equal-weight/small-cap indications block the breadth expression. LULU recorded a primary-source leadership restructuring but no operating confirmation; BMY and AVAV had no thesis-changing primary evidence. New free Motley Fool ideas on GEV, SOFI and CRCL were fully checked against primary records and rejected as new theses because the catalysts were already public, valuation or rate sensitivity was high, or monetization remained unproven. No qualifying USAspending award with complete fields and a clean public-company mapping was found. No real trade was recommended or executed.</x:v>
      </x:c>
    </x:row>
    <x:row r="52">
      <x:c r="A52" s="27" t="str">
        <x:v>RUN-2026-10-09-0823</x:v>
      </x:c>
      <x:c r="B52" s="28" t="d">
        <x:v>2026-10-09T12:23:14.000Z</x:v>
      </x:c>
      <x:c r="C52" s="27" t="str">
        <x:v>Easy E Invest daily scan</x:v>
      </x:c>
      <x:c r="D52" s="29" t="str">
        <x:v>Separate reviews: energy market; 2026 midterm thesis; Motley Fool watch; plus USAspending and federal awards, defense and autonomous systems, rates, sanctions, shipping, supply chains, semiconductors, cloud infrastructure, healthcare and consumer</x:v>
      </x:c>
      <x:c r="E52" s="29" t="str">
        <x:v>Methodology and current ledger; Reuters; USAspending.gov; SEC and issuer records; public Motley Fool editorials; observable market and shipping data</x:v>
      </x:c>
      <x:c r="F52" s="29" t="n">
        <x:v>15</x:v>
      </x:c>
      <x:c r="G52" s="29" t="n">
        <x:v>8</x:v>
      </x:c>
      <x:c r="H52" s="29" t="n">
        <x:v>0</x:v>
      </x:c>
      <x:c r="I52" s="29" t="str">
        <x:v>Yes</x:v>
      </x:c>
      <x:c r="J52" s="29" t="str">
        <x:v>Qualifying update. EEI-2026-011 remains Actionable 5/5, edge 1/5 and WAIT after record U.S.-Asia VLCC freight closed the crude arbitrage and redirected Asian sourcing, materially confirming that tanker scarcity is changing delivered economics and physical trade flows; the extreme rate level, tanker equities near highs, de-escalation headlines, alternate routes and the vessel orderbook keep the Entry Window unattractive. EEI-2026-003 remains Strong 5/5 and WAIT: expanding Democratic House targets support a control shift, but Senate math is difficult, yields remain high and equity relief is technology-led rather than broad. AVAV's primary Navy prototype selection strengthens autonomous-systems demand but disclosed no obligation, workshare or revenue, so EEI-2026-007 remains Strong 4/5, edge 2/5 and WAIT. New free Motley Fool suggestions on AMD, PLTR, Everpure and AI hardware/software baskets were checked against primary records and rejected as new theses because catalysts were old or heavily priced, cash conversion or dilution was adverse, or no distinct new event existed. A Palantir Navy order observed in USAspending was a routine existing-order modification/data refresh rather than a new award and was immaterial relative to company scale. BMY and LULU had no thesis-changing primary evidence. No new thesis was opened, no Entry Window changed, no additional horizon matured, and no real trade was recommended or executed.</x:v>
      </x:c>
    </x:row>
    <x:row r="53">
      <x:c r="A53" s="27" t="str">
        <x:v>RUN-2026-10-10-0815</x:v>
      </x:c>
      <x:c r="B53" s="28" t="d">
        <x:v>2026-10-10T12:15:49.000Z</x:v>
      </x:c>
      <x:c r="C53" s="27" t="str">
        <x:v>Easy E Invest daily scan</x:v>
      </x:c>
      <x:c r="D53" s="29" t="str">
        <x:v>Separate reviews: energy market; 2026 midterm thesis; Motley Fool watch; plus USAspending and federal awards, defense, rates, sanctions, shipping, supply chains, semiconductors, fintech, healthcare and consumer</x:v>
      </x:c>
      <x:c r="E53" s="29" t="str">
        <x:v>Methodology and current ledger; Department of War; RTX; Reuters; USAspending.gov; SEC and issuer records; public Motley Fool editorials; observable market data</x:v>
      </x:c>
      <x:c r="F53" s="29" t="n">
        <x:v>16</x:v>
      </x:c>
      <x:c r="G53" s="29" t="n">
        <x:v>11</x:v>
      </x:c>
      <x:c r="H53" s="29" t="n">
        <x:v>0</x:v>
      </x:c>
      <x:c r="I53" s="29" t="str">
        <x:v>Yes</x:v>
      </x:c>
      <x:c r="J53" s="29" t="str">
        <x:v>Qualifying update. Department of War contract HQ0851-27-C-E001 is a new noncompetitive multiyear undefinitized Raytheon action with a $4.432 billion base, $6.342 billion potential value and $454.215 million obligated at award for SM-3 Block IB all-up rounds. It materially broadens the existing RTX missile-production ramp across AMRAAM, SM-6 and SM-3, but EEI-2026-012 remains Strong 5/5, edge 1/5 and WAIT because only about 7.2% of the potential ceiling was initially obligated, the award is undefinitized, the direction was partly anticipated and RTX's market response was modest. The midterm thesis remains Strong 5/5 and WAIT after Democrats expanded their House target list and cost-of-living surveys worsened; Senate control and market breadth/rates confirmation remain unresolved. Energy had no stage or Entry Window change; the proposed Hormuz-bypass pipeline is a multi-year study-stage normalization modifier, not present relief. New free Motley Fool suggestions on SOFI, an optical-networking basket, PYPL and TSM were reviewed and rejected as new theses because they reused public facts, lacked a new primary catalyst or relied on unsupported acquisition opinion after significant repricing. BMY, LULU and AVAV had no thesis-changing primary evidence. No new thesis was opened, no Entry Window changed, no horizon matured, and no real trade was recommended or executed.</x:v>
      </x:c>
    </x:row>
    <x:row r="54">
      <x:c r="A54" s="27" t="str">
        <x:v>RUN-2026-10-11-0847</x:v>
      </x:c>
      <x:c r="B54" s="28" t="d">
        <x:v>2026-10-11T12:47:29.000Z</x:v>
      </x:c>
      <x:c r="C54" s="27" t="str">
        <x:v>Easy E Invest daily scan</x:v>
      </x:c>
      <x:c r="D54" s="29" t="str">
        <x:v>Separate reviews: energy market; 2026 midterm thesis; Motley Fool watch; plus USAspending and federal awards, defense, rates, inflation, tariffs, sanctions, shipping, supply chains, semiconductors, streaming, robotics, healthcare and consumer</x:v>
      </x:c>
      <x:c r="E54" s="29" t="str">
        <x:v>Methodology and current ledger; Department of War; USAspending.gov; Reuters; Associated Press; SEC and issuer records; public Motley Fool editorials; observable market data</x:v>
      </x:c>
      <x:c r="F54" s="29" t="n">
        <x:v>18</x:v>
      </x:c>
      <x:c r="G54" s="29" t="n">
        <x:v>9</x:v>
      </x:c>
      <x:c r="H54" s="29" t="n">
        <x:v>0</x:v>
      </x:c>
      <x:c r="I54" s="29" t="str">
        <x:v>No</x:v>
      </x:c>
      <x:c r="J54" s="29" t="str">
        <x:v>No notification threshold met. EEI-2026-011 remains Actionable 5/5, edge 1/5 and WAIT after U.S. blockade enforcement against a commercial cargo vessel and two-month-low Hormuz transits confirmed severe route risk; the incident was continuation evidence, Sunday supplied no market confirmation, and alternate routes, guarded transit, stocks and diplomacy still block a favorable entry. EEI-2026-009 remains Actionable 5/5, edge 1/5 and WAIT: Ukraine's conditional offer to stop refinery strikes adds normalization risk, but there is no reciprocal agreement and proposed diesel volumes remain small. EEI-2026-003 remains Strong 5/5, edge 1/5 and WAIT after AP documented tariff backlash and manufacturing pain in battleground states; district outcomes, Senate math, high rates and market breadth remain unresolved. New free Motley Fool suggestions on MRVL, NFLX, SYM and ASML were independently checked and rejected as new theses because catalysts were already public and priced, depended on future results or long-range management targets, or had concentration, execution and valuation risks. October 9 federal awards were screened: the largest GD item was a routine modification, while new awards were immaterial to public parents and lacked an unexpected market response. BMY, LULU and AVAV had no thesis-changing primary evidence. No thesis, stage, confidence, trading edge or Entry Window changed; no horizon matured; no real trade was recommended or executed.</x:v>
      </x:c>
    </x:row>
    <x:row r="55">
      <x:c r="A55" s="27" t="str">
        <x:v>RUN-2026-10-12-0832</x:v>
      </x:c>
      <x:c r="B55" s="28" t="d">
        <x:v>2026-10-12T12:32:57.000Z</x:v>
      </x:c>
      <x:c r="C55" s="27" t="str">
        <x:v>Easy E Invest daily scan</x:v>
      </x:c>
      <x:c r="D55" s="29" t="str">
        <x:v>Separate reviews: energy market; 2026 midterm thesis; Motley Fool watch; plus USAspending and federal awards, rates, inflation, sanctions, shipping, LNG, supply chains, semiconductors, AI infrastructure, healthcare and consumer</x:v>
      </x:c>
      <x:c r="E55" s="29" t="str">
        <x:v>Methodology and current ledger; Department of War; USAspending.gov; Reuters; Washington Post; Polymarket; SEC and issuer records; public Motley Fool editorials; observable market and maritime data</x:v>
      </x:c>
      <x:c r="F55" s="29" t="n">
        <x:v>20</x:v>
      </x:c>
      <x:c r="G55" s="29" t="n">
        <x:v>10</x:v>
      </x:c>
      <x:c r="H55" s="29" t="n">
        <x:v>0</x:v>
      </x:c>
      <x:c r="I55" s="29" t="str">
        <x:v>Yes</x:v>
      </x:c>
      <x:c r="J55" s="29" t="str">
        <x:v>Qualifying update. Energy physical evidence strengthened materially: two more tanker attacks and the Riyadh airport strike restored the crude risk premium, while tracked Qatar LNG exports for October fell toward about 0.6 million tonnes. EEI-2026-011 remains Actionable 5/5, edge 1/5 and WAIT because crude's renewed headline move is already extended and producer-equity confirmation remains weaker; EEI-2026-002 remains Strong 4/5, edge 2/5 and WAIT because the LNG constraint is clearer but the coal expression remains indirect. EEI-2026-009 remains Actionable 5/5, edge 1/5 and WAIT: the small Russian diesel arrangement lowered gasoil 2.3%, but limited volumes, impaired refining and a disputed ceasefire do not resolve scarcity. EEI-2026-003 remains Strong 5/5, edge 1/5 and WAIT after a Democratic Senate became a serious branch and prediction-market positioning favored a sweep; four-seat Senate math, polling risk, high rates and missing breadth confirmation still prevent promotion. New free Motley Fool items on TSM, BE/VRT, CLX and NVDA/MU were independently checked and rejected as new theses because catalysts were old or already priced, valuation and execution risk were high, or the factual trigger was not material to issuer demand. No new weekend or federal-holiday public-company award qualified. BMY, LULU and AVAV had no thesis-changing primary evidence. No new thesis was opened, no Entry Window changed, no horizon matured, and no real trade was recommended or executed.</x:v>
      </x:c>
    </x:row>
    <x:row r="56">
      <x:c r="A56" s="27" t="str">
        <x:v>RUN-2026-10-13-0758</x:v>
      </x:c>
      <x:c r="B56" s="28" t="d">
        <x:v>2026-10-13T11:58:45.000Z</x:v>
      </x:c>
      <x:c r="C56" s="27" t="str">
        <x:v>Easy E Invest daily scan</x:v>
      </x:c>
      <x:c r="D56" s="29" t="str">
        <x:v>Separate reviews: energy market; 2026 midterm thesis; Motley Fool watch; plus USAspending and federal awards, rates, inflation, sanctions, shipping, LNG, supply chains, semiconductors, AI infrastructure, healthcare and consumer</x:v>
      </x:c>
      <x:c r="E56" s="29" t="str">
        <x:v>Methodology and current ledger; DARPA; Department of War; USAspending.gov; OFAC; Reuters; Associated Press; Financial Times; FERC/PJM; SEC and issuer records; public Motley Fool editorials; observable market data</x:v>
      </x:c>
      <x:c r="F56" s="29" t="n">
        <x:v>24</x:v>
      </x:c>
      <x:c r="G56" s="29" t="n">
        <x:v>18</x:v>
      </x:c>
      <x:c r="H56" s="29" t="n">
        <x:v>1</x:v>
      </x:c>
      <x:c r="I56" s="29" t="str">
        <x:v>Yes</x:v>
      </x:c>
      <x:c r="J56" s="29" t="str">
        <x:v>Qualifying update. A new distinct IonQ thesis, EEI-2026-019, opened Developing at 3/5 confidence, 1/5 trading edge and Entry Window WAIT after DARPA and IonQ confirmed QBI Stage C and a conditional agreement worth up to $300 million through 2029. The ceiling is not funded revenue: initial obligation, award identifier and milestone schedule are undisclosed; multiple architectures remain; IonQ's valuation, operating loss and up-to-$1.3 billion all-stock Elisity acquisition limit edge. Motley Fool was trigger only. EEI-2026-005 BMY confidence rose from 3/5 to 4/5 after Phase 3 successes for admilparant 60 mg and RYZ101, but the 120 mg admilparant miss, incomplete datasets, legacy-drug erosion and a 2.6% share decline keep the thesis Developing and WAIT. Energy remains two-sided: OFAC's Russian diesel authorization and a 3.0-3.5 million tonne monthly target pushed crude down about 2%, while refinery damage, very high shipping/insurance costs, European gas near a wartime high and low storage preserve physical scarcity. EEI-2026-009 and EEI-2026-011 remain Actionable 5/5, edge 1/5 and WAIT; EEI-2026-002 remains Strong 4/5, edge 2/5 and WAIT. EEI-2026-003 remains Strong 5/5, edge 1/5 and WAIT: Democratic chamber-control and oversight evidence strengthened, but Senate math, cash advantages, high rates and weak AI-led breadth block the conditional expression. Other free Motley Fool ideas were independently screened and rejected or held for primary results. No additional qualifying public-company award was found; LULU and AVAV were unchanged. No Entry Window changed, no horizon matured, and no real trade was recommended or executed.</x:v>
      </x:c>
    </x:row>
    <x:row r="57">
      <x:c r="A57" s="27" t="str">
        <x:v>RUN-2026-10-14-0801</x:v>
      </x:c>
      <x:c r="B57" s="28" t="d">
        <x:v>2026-10-14T12:01:57.000Z</x:v>
      </x:c>
      <x:c r="C57" s="27" t="str">
        <x:v>Easy E Invest daily scan</x:v>
      </x:c>
      <x:c r="D57" s="29" t="str">
        <x:v>Separate reviews: energy market; 2026 midterm thesis; Motley Fool watch; plus USAspending and federal awards, rates, inflation, sanctions, shipping, LNG, supply chains, semiconductors, AI infrastructure, healthcare and consumer</x:v>
      </x:c>
      <x:c r="E57" s="29" t="str">
        <x:v>Methodology and current ledger; ASML; Department of War; RTX; USAspending.gov; Reuters; Associated Press; IEA; SEC and issuer records; public Motley Fool editorials; observable market data</x:v>
      </x:c>
      <x:c r="F57" s="29" t="n">
        <x:v>21</x:v>
      </x:c>
      <x:c r="G57" s="29" t="n">
        <x:v>15</x:v>
      </x:c>
      <x:c r="H57" s="29" t="n">
        <x:v>1</x:v>
      </x:c>
      <x:c r="I57" s="29" t="str">
        <x:v>Yes</x:v>
      </x:c>
      <x:c r="J57" s="29" t="str">
        <x:v>Qualifying update. New thesis EEI-2026-020 opened Strong at confidence 4/5, trading edge 1/5 and Entry Window WAIT after ASML's primary Q3 results confirmed the AI-lithography demand, margin and capacity mechanism raised by a public Motley Fool editorial. The trigger source was not used as confirmation. Fundamental evidence is strong, but a roughly 65%-70% YTD rerating, about 53.5x trailing and 30x forward earnings, export-control risk and a modest mixed market reaction leave little unpriced edge. Energy physical evidence strengthened through new attacks and persistent gasoil constraints, while exports and policy relief keep EEI-2026-009 and EEI-2026-011 Actionable 5/5, edge 1/5 and WAIT. House-control and policy evidence strengthened for EEI-2026-003, but Senate math, veto risk, high rates, narrow breadth and concentrated prediction-market positioning keep it Strong 5/5, edge 1/5 and WAIT. RTX announced a new $8B strategic-communications IDIQ with only $800K initially obligated and $729M of counter-UAS awards; the former was not promoted to a thesis and the latter confirms both demand and competition for AVAV, which remains Strong 4/5, edge 2/5 and WAIT. BMY and LULU were unchanged. No Entry Window changed, no horizon matured, and no real trade was recommended or executed.</x:v>
      </x:c>
    </x:row>
    <x:row r="58">
      <x:c r="A58" s="27" t="str">
        <x:v>RUN-2026-10-15-0824</x:v>
      </x:c>
      <x:c r="B58" s="28" t="d">
        <x:v>2026-10-15T12:24:12.000Z</x:v>
      </x:c>
      <x:c r="C58" s="27" t="str">
        <x:v>Easy E Invest daily scan — revised methodology</x:v>
      </x:c>
      <x:c r="D58" s="29" t="str">
        <x:v>At least two thirds of research effort allocated outside the existing watchlist. Broad public-data screen covered major equity sectors, broad and sector ETFs, long and intermediate Treasuries, credit stress, gold, oil/refining, earnings and guidance, price/relative-strength changes, government awards, FDA/regulatory activity, corporate actions and accessible insider disclosures. Deep comparisons: TLT/IEF, TSM, TTE, FMC and current paper positions. Existing energy, election and newsletter ideas were optional competitors, not mandatory sections.</x:v>
      </x:c>
      <x:c r="E58" s="29" t="str">
        <x:v>Revised Methodology v2.0; BLS PPI; U.S. Census retail sales; Federal Reserve H.15; Department of War awards; TSMC; Reuters; public market data. No proprietary-flow feed, paid research, live consolidated order book or executable bid/ask was available; coverage was broad but not exhaustive.</x:v>
      </x:c>
      <x:c r="F58" s="29" t="n">
        <x:v>29</x:v>
      </x:c>
      <x:c r="G58" s="29" t="n">
        <x:v>8</x:v>
      </x:c>
      <x:c r="H58" s="29" t="n">
        <x:v>0</x:v>
      </x:c>
      <x:c r="I58" s="29" t="str">
        <x:v>No</x:v>
      </x:c>
      <x:c r="J58" s="29" t="str">
        <x:v>Methodology synchronized to the October 14 directive. No new paper entry or pending order qualified. TLT was the strongest fresh candidate after AI-credit stress produced safe-haven demand, but it was explicitly rejected at today's entry after September PPI rose 1.3% month over month and retail sales rose 0.8%; the only TLT quote ($78.89 at 8:14 a.m. ET) predated those releases and lacked bid/ask evidence. TSMC, TotalEnergies and FMC were also rejected rather than forced into trades; dated comparison prices and review checkpoints were logged. The October 14 defense screen contained two large private/nonprofit awards and public-company modifications, not a new listed-equity catalyst. Actual paper positions remain only PT-2026-001 through PT-2026-003; no proposal or rejected candidate was counted as a position. Their last verified official-close value remains $3,220.34, up $220.34 (+7.34%) on $3,000 of recorded starting amounts. Legacy WAIT labels in older theses are historical research classifications, not live orders. No horizon was scored early, no frozen prediction changed, no material portfolio change occurred, and no email was warranted.</x:v>
      </x:c>
    </x:row>
    <x:row r="59">
      <x:c r="A59" s="27" t="str">
        <x:v>RUN-2026-10-16-0905</x:v>
      </x:c>
      <x:c r="B59" s="28" t="d">
        <x:v>2026-10-16T13:05:19.000Z</x:v>
      </x:c>
      <x:c r="C59" s="27" t="str">
        <x:v>Easy E Invest daily scan — revised methodology</x:v>
      </x:c>
      <x:c r="D59" s="29" t="str">
        <x:v>More than two thirds of research effort was allocated outside the existing watchlist. Public-data coverage included all major equity sectors through earnings and market-mover screens; broad and sector ETFs; Treasuries and credit stress; oil, gold and energy; M&amp;A; SEC/insider filings; FDA/regulatory updates; import prices; federal awards; and observable price/volume and relative-strength changes. Deep comparisons: TRV, XOM, VRNS and TLT. Due legacy checkpoints for EEI-2026-002, EEI-2026-003 and EEI-2026-008 were resolved explicitly rather than renewed as WAIT.</x:v>
      </x:c>
      <x:c r="E59" s="29" t="str">
        <x:v>Travelers SEC filing; Varonis SEC filing; BLS import-price release; Department of War awards; ExxonMobil/Reuters; WSJ and public market data; StockAnalysis benchmark data. No proprietary-flow feed, paid research, complete insider-feed census, live consolidated order book or portfolio-capital rule was available; coverage was broad but not exhaustive.</x:v>
      </x:c>
      <x:c r="F59" s="29" t="n">
        <x:v>34</x:v>
      </x:c>
      <x:c r="G59" s="29" t="n">
        <x:v>10</x:v>
      </x:c>
      <x:c r="H59" s="29" t="n">
        <x:v>1</x:v>
      </x:c>
      <x:c r="I59" s="29" t="str">
        <x:v>Yes</x:v>
      </x:c>
      <x:c r="J59" s="29" t="str">
        <x:v>Opened EEI-2026-021 as Developing, confidence 4/5 and trading edge 3/5. Decision: PROPOSED pending paper order for $500 of TRV at a $365 limit expiring October 23, based on strong underwriting and investment-income results plus a 3.28% premarket decline. It is not live, not filled and not counted as a position because capital/sizing rules and executable bid/ask evidence are absent. XOM was rejected near its high despite a $4.5B refining-margin tailwind; VRNS was rejected because the roughly 2.1% gross merger spread did not compensate for timing and deal risk; TLT remained rejected after import prices rose 1.1% month over month. The October 15 federal screen contained two private-company awards and one immaterial Lockheed modification. Expired WAIT checkpoints for EEI-2026-002, EEI-2026-003 and EEI-2026-008 were converted to explicit current-entry rejections with dated rechecks. Actual paper positions remain PT-2026-001 through PT-2026-003 only. At October 15 closes they were worth $3,227.21, up $227.21 (+7.57%), versus about +0.35% for SPY from the September 8 open. No real trade was recommended or executed; a concise notification is warranted for the new proposed order.</x:v>
      </x:c>
    </x:row>
    <x:row r="60">
      <x:c r="A60" s="27" t="str">
        <x:v>RUN-2026-10-17-0806</x:v>
      </x:c>
      <x:c r="B60" s="28" t="d">
        <x:v>2026-10-17T12:06:36.000Z</x:v>
      </x:c>
      <x:c r="C60" s="27" t="str">
        <x:v>Easy E Invest daily scan — executable-alert discipline</x:v>
      </x:c>
      <x:c r="D60" s="29" t="str">
        <x:v>More than two thirds of research effort was allocated outside the existing watchlist. Weekend public-data coverage included Friday earnings and guidance across all major equity sectors; sector and broad ETFs; Treasuries, high-yield credit and gold; commodities and energy; mergers and SEC corporate actions; insider and financing disclosures; the October 16 Department of War contract release; policy and regulatory developments; and public Motley Fool idea pages. Deep comparisons: TRV execution status, AA, JBHT and the cross-asset technology-to-defensive rotation. Existing theses competed for attention rather than receiving mandatory sections.</x:v>
      </x:c>
      <x:c r="E60" s="29" t="str">
        <x:v>Methodology v2.1; Travelers investor relations; Alcoa and J.B. Hunt primary results; Department of War; Associated Press; SEC; Treasury; public market data; public Motley Fool pages. Markets were closed, so no Saturday quote was executable; no proprietary-flow feed, paid research, consolidated order book or complete insider-feed census was available. Coverage was broad but not exhaustive.</x:v>
      </x:c>
      <x:c r="F60" s="29" t="n">
        <x:v>31</x:v>
      </x:c>
      <x:c r="G60" s="29" t="n">
        <x:v>6</x:v>
      </x:c>
      <x:c r="H60" s="29" t="n">
        <x:v>0</x:v>
      </x:c>
      <x:c r="I60" s="29" t="str">
        <x:v>Yes</x:v>
      </x:c>
      <x:c r="J60" s="29" t="str">
        <x:v>No new paper entry qualified. The proposed TRV $365 order was explicitly withdrawn and changed to REJECT after the user chose manual market orders and TRV closed at $389.54, 6.72% above the proposed price. A stale entry will not be converted into a chase; future ACTIONABLE NOW alerts require a fresh regular-session quote and acceptable current-price risk/reward. AA and JBHT were rejected after primary earnings review because sequential/margin and balance-sheet risks outweighed the Friday prices, and Saturday quotes are not executable. The October 16 federal screen was led by a $5.4B private-company IDIQ with only $3,000 obligated; no public-equity thesis qualified. Actual paper positions remain BNO, USO and XOP only. Their October 16 close value was $3,326.86, up $326.86 (+10.90%), versus about -0.76% for SPY from the September 8 open. This material portfolio change and TRV decision change warrant one concise email. No real trade was recommended or executed.</x:v>
      </x:c>
    </x:row>
    <x:row r="61">
      <x:c r="A61" s="27" t="str">
        <x:v>RUN-2026-10-18-0810</x:v>
      </x:c>
      <x:c r="B61" s="28" t="d">
        <x:v>2026-10-18T12:10:53.000Z</x:v>
      </x:c>
      <x:c r="C61" s="27" t="str">
        <x:v>Easy E Invest daily scan — weekend discovery and event-risk review</x:v>
      </x:c>
      <x:c r="D61" s="29" t="str">
        <x:v>More than two thirds of research effort was allocated outside the existing watchlist. Weekend public-data coverage included all major equity sectors through sector ETFs and representative companies; broad equity ETFs; Treasury rates, high-yield credit and gold; oil and natural gas; upcoming earnings and guidance events; filings and corporate actions; regulatory, sanctions, policy and government-contract channels; and a public Motley Fool idea page. Deep comparisons focused on the week-ahead earnings event basket, the technology-to-energy/defensive rotation, energy-driven inflation and rates/credit conditions.</x:v>
      </x:c>
      <x:c r="E61" s="29" t="str">
        <x:v>Associated Press; Federal Reserve H.15; Reuters; U.S. Treasury; public market data; and a public Motley Fool page. Markets were closed and Friday quotes were not executable. No proprietary-flow feed, consolidated order book, paid research or complete real-time insider census was available. Coverage was broad but not exhaustive.</x:v>
      </x:c>
      <x:c r="F61" s="29" t="n">
        <x:v>32</x:v>
      </x:c>
      <x:c r="G61" s="29" t="n">
        <x:v>4</x:v>
      </x:c>
      <x:c r="H61" s="29" t="n">
        <x:v>0</x:v>
      </x:c>
      <x:c r="I61" s="29" t="str">
        <x:v>No</x:v>
      </x:c>
      <x:c r="J61" s="29" t="str">
        <x:v>No new paper entry or priced pending order qualified, and no thesis classification or Entry Window changed. The coming earnings queue was retained as an event watch because pre-results binary risk and the closed market prevented an actionable current-price decision. The cross-asset rotation and energy-inflation evidence were incremental rather than new signals. The Motley Fool page was a generic trigger source without a fresh independently confirmed catalyst. Actual paper positions remain BNO, USO and XOP only; October 16 marks and the prior benchmark comparison remain unchanged. No email was sent and no real trade was recommended or executed.</x:v>
      </x:c>
    </x:row>
    <x:row r="62">
      <x:c r="A62" s="27" t="str">
        <x:v>RUN-2026-10-19-0846</x:v>
      </x:c>
      <x:c r="B62" s="28" t="d">
        <x:v>2026-10-19T12:46:22.000Z</x:v>
      </x:c>
      <x:c r="C62" s="27" t="str">
        <x:v>Easy E Invest daily scan — pre-open discovery and decision review</x:v>
      </x:c>
      <x:c r="D62" s="29" t="str">
        <x:v>More than two thirds of research effort was allocated outside the existing watchlist. Public-data coverage included all major equity sectors through sector ETFs and earnings/mover screens; broad equity ETFs; Treasury rates, high-yield credit and gold; crude, refined products and natural gas; fresh earnings and guidance; corporate actions and SEC insider filings; regulatory and government-award channels; and newly published public Motley Fool ideas. Deep comparisons focused on Cleveland-Cliffs, Fifth Third, UnitedHealth and GameStop, with existing energy positions reviewed only as competitors for attention.</x:v>
      </x:c>
      <x:c r="E62" s="29" t="str">
        <x:v>Cleveland-Cliffs and Fifth Third primary results; UnitedHealth and SEC filings; Reuters; USAspending.gov; SEC Form 4; public ETF and market data; and a free Motley Fool editorial. The scan occurred before the regular session, so premarket indications were not treated as executable quotes. No proprietary-flow feed, consolidated order book, paid research, complete real-time insider census or portfolio-capital rule was available. Coverage was broad but not exhaustive.</x:v>
      </x:c>
      <x:c r="F62" s="29" t="n">
        <x:v>37</x:v>
      </x:c>
      <x:c r="G62" s="29" t="n">
        <x:v>8</x:v>
      </x:c>
      <x:c r="H62" s="29" t="n">
        <x:v>0</x:v>
      </x:c>
      <x:c r="I62" s="29" t="str">
        <x:v>No</x:v>
      </x:c>
      <x:c r="J62" s="29" t="str">
        <x:v>No new paper entry or priced pending order qualified. Cleveland-Cliffs delivered the strongest fresh operating catalyst, but high leverage, low cash and a 13.8% premarket gap made a headline chase unattractive before regular-session price discovery. Fifth Third's adjusted EPS beat, deposit growth and stable credit were offset by modest surprise, acquisition integration costs and rising nonperforming assets. A new Motley Fool UnitedHealth article was treated as a trigger only; primary results confirmed the turnaround, but the catalyst was six days old and already repriced. Government-award and insider screens produced routine or immaterial awards and no independently confirmed public-equity catalyst. Existing energy evidence was incremental and did not change any classification. The due Travelers checkpoint explicitly retained REJECT, confirmed no position exists and moved the next review to October 26 rather than reviving a stale order. Actual paper positions remain BNO, USO and XOP only; their last verified October 16 close value remains $3,326.86, up $326.86 (+10.90%) on $3,000, versus about -0.76% for SPY from the September 8 open. No email was sent and no real trade was recommended or executed.</x:v>
      </x:c>
    </x:row>
    <x:row r="63">
      <x:c r="A63" s="27" t="str">
        <x:v>RUN-2026-10-20-1706</x:v>
      </x:c>
      <x:c r="B63" s="28" t="d">
        <x:v>2026-10-20T21:06:27.000Z</x:v>
      </x:c>
      <x:c r="C63" s="27" t="str">
        <x:v>Easy E Invest daily scan — audit repair</x:v>
      </x:c>
      <x:c r="D63" s="29" t="str">
        <x:v>Audit repair from contemporaneously saved October 20 evidence and official-close paper-position marks. The original Scan Runs row was missing, so broader discovery counts and candidate-review detail are left blank rather than invented.</x:v>
      </x:c>
      <x:c r="E63" s="29" t="str">
        <x:v>StockAnalysis official-close data and Reuters energy reporting retained in Evidence Log EV-2026-555 through EV-2026-559.</x:v>
      </x:c>
      <x:c r="F63" s="29"/>
      <x:c r="G63" s="29"/>
      <x:c r="H63" s="29" t="n">
        <x:v>0</x:v>
      </x:c>
      <x:c r="I63" s="29" t="str">
        <x:v>No</x:v>
      </x:c>
      <x:c r="J63" s="29" t="str">
        <x:v>Recovered record: no new thesis, paper entry or portfolio transaction was present in the authoritative workbook. BNO, USO and XOP closed at $66.87, $160.61 and $200.05; the three fixed $1,000 paper positions were worth $3,311.61, up $311.61 (+10.39%) in total. The row documents only verifiable retained state.</x:v>
      </x:c>
    </x:row>
    <x:row r="64">
      <x:c r="A64" s="27" t="str">
        <x:v>RUN-2026-10-21-0940</x:v>
      </x:c>
      <x:c r="B64" s="28" t="d">
        <x:v>2026-10-21T13:46:46.000Z</x:v>
      </x:c>
      <x:c r="C64" s="27" t="str">
        <x:v>Easy E Invest daily scan — broad discovery and live-price decision</x:v>
      </x:c>
      <x:c r="D64" s="29" t="str">
        <x:v>More than two thirds of research effort was allocated outside the existing watchlist. Public-data coverage included all major equity sectors through sector ETFs and earnings/mover screens; broad ETFs; Treasury and high-yield instruments; gold, silver, crude and energy equities; earnings revisions; valuation dislocations; corporate actions; government awards and policy; and public Motley Fool editorials. Deep comparisons focused on AT&amp;T, Super Micro, Elevance, Netflix, Abbott and L3Harris.</x:v>
      </x:c>
      <x:c r="E64" s="29" t="str">
        <x:v>AT&amp;T and Super Micro primary records; Reuters; L3Harris issuer materials; U.S. Department of War contract records; public ETF and timestamped market data; and free Motley Fool editorials. No proprietary-flow feed, consolidated order book, paid research, complete real-time insider census or portfolio-capital rule was available; coverage was broad but not exhaustive.</x:v>
      </x:c>
      <x:c r="F64" s="29" t="n">
        <x:v>38</x:v>
      </x:c>
      <x:c r="G64" s="29" t="n">
        <x:v>10</x:v>
      </x:c>
      <x:c r="H64" s="29" t="n">
        <x:v>0</x:v>
      </x:c>
      <x:c r="I64" s="29" t="str">
        <x:v>Yes</x:v>
      </x:c>
      <x:c r="J64" s="29" t="str">
        <x:v>Opened EEI-2026-022 Strong at confidence 4/5 and edge 3/5. Proposed a $300 exploratory paper entry in T at $22.01, with a $23.50 no-chase ceiling, daily-close invalidation below $21.50 and November 21 review. This is not a fill or position because capital and sizing rules are unavailable. SMCI, ELV, NFLX, ABT and LHX were rejected with explicit reasons. Actual positions remain BNO, USO and XOP only; at 9:31 a.m. ET (15-minute-delayed public feed) their verified value was $3289.53, up $289.53 (9.65%) on $3,000, versus SPY 0.22% from the September 8 open, a 9.43 percentage-point relative return. Day change versus October 20 close was -0.67%. No real trade was recommended or executed.</x:v>
      </x:c>
    </x:row>
    <x:row r="65">
      <x:c r="A65" s="27" t="str">
        <x:v>RUN-2026-10-22-0843</x:v>
      </x:c>
      <x:c r="B65" s="28" t="d">
        <x:v>2026-10-22T12:43:14.000Z</x:v>
      </x:c>
      <x:c r="C65" s="27" t="str">
        <x:v>Easy E Invest daily scan — premarket discovery and finite-decision review</x:v>
      </x:c>
      <x:c r="D65" s="29" t="str">
        <x:v>More than two thirds of research effort was allocated outside the existing watchlist. Public-data coverage included all major equity sectors through earnings, guidance and mover screens; broad and sector ETFs; Treasury duration and high-yield credit; crude, natural gas and precious metals; valuation dislocations; corporate actions; SEC and insider channels; FDA and other regulatory decisions; federal awards and policy; supply and inventory data; and public Motley Fool editorials. Deep comparisons focused on IBM, Meta, P&amp;G, Nokia, GSK and the existing AT&amp;T proposal.</x:v>
      </x:c>
      <x:c r="E65" s="29" t="str">
        <x:v>IBM, Meta, P&amp;G and FDA primary records; Reuters; EIA; USAspending and Department of Defense search results; timestamped public premarket data; and free Motley Fool editorials. The scan ended before the U.S. regular session, so premarket indications were not treated as executable quotes or portfolio marks. No proprietary-flow feed, consolidated order book, paid research, complete real-time insider census or portfolio-capital rule was available; coverage was broad but not exhaustive.</x:v>
      </x:c>
      <x:c r="F65" s="29" t="n">
        <x:v>41</x:v>
      </x:c>
      <x:c r="G65" s="29" t="n">
        <x:v>10</x:v>
      </x:c>
      <x:c r="H65" s="29" t="n">
        <x:v>0</x:v>
      </x:c>
      <x:c r="I65" s="29" t="str">
        <x:v>No</x:v>
      </x:c>
      <x:c r="J65" s="29" t="str">
        <x:v>No new paper entry or qualifying user alert was created. AT&amp;T's economic thesis remained supported, but the October 21 ACTIONABLE NOW proposal was never filled and was converted to a finite premarket watch expiring at the October 22 close: only a fresh regular-session price at or below $22.25, above the $21.50 daily-close invalidation and without new guidance deterioration could restore an actionable proposal. IBM, Meta, P&amp;G, Nokia and GSK were rejected with explicit valuation, cash-flow, balance-sheet, materiality or already-priced reasons. Government-award and Motley Fool screens produced no independently confirmed public-equity catalyst. Actual paper positions remain BNO, USO and XOP only at their October 21 official-close value of $3,304.04, up $304.04 (+10.13%) on $3,000; no current regular-session benchmark or portfolio mark was available before the scan ended. No email was sent and no real trade was recommended or executed.</x:v>
      </x:c>
    </x:row>
    <x:row r="66">
      <x:c r="A66" s="27" t="str">
        <x:v>RUN-2026-10-23-0819</x:v>
      </x:c>
      <x:c r="B66" s="28" t="d">
        <x:v>2026-10-23T12:19:06.000Z</x:v>
      </x:c>
      <x:c r="C66" s="27" t="str">
        <x:v>Easy E Invest daily scan — premarket discovery and competitive-threat review</x:v>
      </x:c>
      <x:c r="D66" s="29" t="str">
        <x:v>More than two thirds of research effort was allocated outside the existing watchlist. Public-data coverage included all major equity sectors through earnings, guidance and mover screens; broad and sector ETFs; Treasury duration and high-yield credit; crude and gold; valuation dislocations; corporate actions; regulatory and government-award channels; supply and inventory changes; and newly published public Motley Fool ideas. Deep comparisons focused on Booz Allen, SLB, American Express, the October 22 federal-award slate and the existing AT&amp;T proposal.</x:v>
      </x:c>
      <x:c r="E66" s="29" t="str">
        <x:v>Booz Allen and SLB primary results; Reuters; Associated Press; Department of War announcement data and USAspending-linked award records; timestamped public premarket data; and free Motley Fool editorials. The scan ended before the U.S. regular session, so premarket indications were not treated as executable quotes or fills. No proprietary-flow feed, consolidated order book, paid research, complete real-time insider census or portfolio-capital rule was available; coverage was broad but not exhaustive.</x:v>
      </x:c>
      <x:c r="F66" s="29" t="n">
        <x:v>43</x:v>
      </x:c>
      <x:c r="G66" s="29" t="n">
        <x:v>7</x:v>
      </x:c>
      <x:c r="H66" s="29" t="n">
        <x:v>0</x:v>
      </x:c>
      <x:c r="I66" s="29" t="str">
        <x:v>No</x:v>
      </x:c>
      <x:c r="J66" s="29" t="str">
        <x:v>No new paper entry or qualifying email was created. AT&amp;T was downgraded from Strong to Developing, confidence 3/5 and trading edge 2/5, and the expired watch became REJECT 2026-10-23 after reporting that SpaceX is seeking access to at least 80,000 U.S. sites for a possible fourth nationwide carrier. The prior $300 proposal was never filled. Booz Allen, SLB and American Express were deeply reviewed but no current paper action was taken: positive earnings evidence was offset by revenue and free-cash-flow contraction, margin and debt pressure, or insufficient valuation dislocation, and the scan lacked an executable regular-session quote. Federal awards were either zero-obligation vehicles, routine modifications, private-company awards or immaterial to public parents. Motley Fool ideas were retained only as triggers and did not clear independent-confirmation and materiality tests. Actual paper positions remain BNO, USO and XOP only, valued at the October 22 official close at $3,344.00, up $344.00 (+11.47%) on $3,000; the one-day change was +$39.96 (+1.21%), not a material portfolio event. No email was sent and no real trade was recommended or executed.</x:v>
      </x:c>
    </x:row>
    <x:row r="67">
      <x:c r="A67" s="27" t="str">
        <x:v>RUN-2026-10-24-0817</x:v>
      </x:c>
      <x:c r="B67" s="28" t="d">
        <x:v>2026-10-24T12:17:49.000Z</x:v>
      </x:c>
      <x:c r="C67" s="27" t="str">
        <x:v>Easy E Invest daily scan — weekend discovery and material portfolio review</x:v>
      </x:c>
      <x:c r="D67" s="29" t="str">
        <x:v>More than two thirds of research effort was allocated outside the existing watchlist. Weekend public-data coverage included all major equity sectors through sector ETFs, earnings and mover screens; broad ETFs; Treasury duration and high-yield credit; gold, silver, crude and natural gas; valuation dislocations; corporate actions and accessible insider channels; federal awards and policy; supply and inventory developments; and newly published public Motley Fool ideas. Deep comparisons focused on Crown Castle, Robert Half, Broadcom, Adobe, PepsiCo, the October 23 federal-award slate and the existing energy paper portfolio.</x:v>
      </x:c>
      <x:c r="E67" s="29" t="str">
        <x:v>Crown Castle and Robert Half primary results; SEC and issuer records for Broadcom, Adobe and PepsiCo; Reuters; Department of War/AwardTape; official-close public market data; and free Motley Fool editorials. U.S. cash markets were closed, so Friday closes were comparison prices rather than executable Saturday quotes. No proprietary-flow feed, consolidated order book, paid research, complete real-time insider census or portfolio-capital rule was available; coverage was broad but not exhaustive.</x:v>
      </x:c>
      <x:c r="F67" s="29" t="n">
        <x:v>45</x:v>
      </x:c>
      <x:c r="G67" s="29" t="n">
        <x:v>7</x:v>
      </x:c>
      <x:c r="H67" s="29" t="n">
        <x:v>0</x:v>
      </x:c>
      <x:c r="I67" s="29" t="str">
        <x:v>Yes</x:v>
      </x:c>
      <x:c r="J67" s="29" t="str">
        <x:v>No new paper entry or priced pending order qualified. Crown Castle and Robert Half were explicitly rejected at current weekend reference prices after 9.1% and roughly 23% one-day gaps; the former still has declining reported site-rental revenue and EBITDA and an unconfirmed SpaceX catalyst, while the latter has only modest top-line recovery and nine-month cash generation below dividends paid. Public Motley Fool ideas in Broadcom, Adobe and PepsiCo were treated only as triggers; their factual claims were checked against primary records, but the cited catalysts were weeks old and did not justify stale weekend action. The October 23 federal screen was dominated by modifications, ceilings, private recipients or immaterial public-parent awards. Actual paper positions remain BNO, USO and XOP only. At the October 23 official close they were worth $3,453.77, up $453.77 (+15.13%) on $3,000 and up $109.77 (+3.28%) in one day, versus SPY down 1.18% from the September 8 open; the 16.31-point relative lead is concentrated in one geopolitical energy thesis. Hold existing paper positions and do not add after the oil gap. The material portfolio move warrants one concise notification. No real trade was recommended or executed.</x:v>
      </x:c>
    </x:row>
    <x:row r="68">
      <x:c r="A68" s="27" t="str">
        <x:v>RUN-2026-10-25-0843</x:v>
      </x:c>
      <x:c r="B68" s="28" t="d">
        <x:v>2026-10-25T12:43:55.000Z</x:v>
      </x:c>
      <x:c r="C68" s="27" t="str">
        <x:v>Easy E Invest daily scan — weekend cross-asset discovery and decision review</x:v>
      </x:c>
      <x:c r="D68" s="29" t="str">
        <x:v>More than two thirds of research effort was allocated outside the existing watchlist. Public-data coverage included all major equity sectors through sector ETFs and earnings/mover screens; broad ETFs; Treasury duration and high-yield credit; gold, silver, crude and natural gas; earnings and guidance surprises; price and relative-strength dislocations; valuation with identifiable catalysts; corporate actions and public insider filings; regulatory, federal-award and policy channels; physical supply and inventory developments; and newly published free Motley Fool ideas. Deep comparisons focused on Bloom Energy, Comfort Systems, Hasbro, Roper Technologies, Applied Digital, Spotify and Microsoft, plus the existing energy paper exposure after renewed Middle East escalation.</x:v>
      </x:c>
      <x:c r="E68" s="29" t="str">
        <x:v>Primary issuer results for BE, FIX, HAS, ROP, APLD, SPOT and MSFT; Reuters regional-market reporting; public insider filings; government and regulatory releases; official-close public market data; and free Motley Fool editorials as triggers only. U.S. cash markets were closed, so October 23 closes were references rather than executable Sunday quotes. No proprietary-flow feed, consolidated order book, paid research, complete real-time insider census or portfolio-capital rule was available; coverage was broad but not exhaustive.</x:v>
      </x:c>
      <x:c r="F68" s="29" t="n">
        <x:v>47</x:v>
      </x:c>
      <x:c r="G68" s="29" t="n">
        <x:v>7</x:v>
      </x:c>
      <x:c r="H68" s="29" t="n">
        <x:v>0</x:v>
      </x:c>
      <x:c r="I68" s="29" t="str">
        <x:v>No</x:v>
      </x:c>
      <x:c r="J68" s="29" t="str">
        <x:v>No new paper entry or priced pending order qualified. Bloom Energy, Comfort Systems, Hasbro, Roper Technologies and Applied Digital were explicitly rejected at weekend reference prices after considering catalyst materiality, valuation, cash flow, balance sheet, dilution, concentration, already-priced risk and the lack of a contemporaneous executable quote. Free Motley Fool items on Spotify and Microsoft were treated only as idea triggers; Spotify had already repriced sharply after earnings and Microsoft remained above the writer's own preferred price ahead of October 28 results. Sunday regional-market losses after renewed Saudi-Houthi escalation support the existing oil-risk variable but do not prove a new physical supply disruption. Actual paper positions remain BNO, USO and XOP only; no new market mark was available, so their last verified October 23 value remains $3,453.77, up $453.77 (+15.13%) on $3,000. Decision: hold the three existing positions and do not add while U.S. markets are closed; reassess with a fresh regular-session quote and gap-aware reward-to-invalidation test. No notification threshold was met and no email was sent. No real trade was recommended or executed.</x:v>
      </x:c>
    </x:row>
    <x:row r="69">
      <x:c r="A69" s="27" t="str">
        <x:v>RUN-2026-10-26-0833</x:v>
      </x:c>
      <x:c r="B69" s="28" t="d">
        <x:v>2026-10-26T12:33:04.000Z</x:v>
      </x:c>
      <x:c r="C69" s="27" t="str">
        <x:v>Easy E Invest daily scan — broad discovery and premarket priced decision</x:v>
      </x:c>
      <x:c r="D69" s="29" t="str">
        <x:v>More than two thirds of research effort was allocated outside the existing watchlist. Public-data coverage included all major equity sectors through all 11 sector ETFs, broad-cap ETFs, Treasury duration and high-yield credit, gold, silver, crude and natural gas; earnings and guidance surprises; price and relative-strength changes; valuation dislocations; mergers and corporate actions; public insider and SEC channels; policy, regulation and federal awards; supply and inventory developments; and free Motley Fool editorials. Deep comparisons focused on Verizon, EQT/Range, Brazil/EWZ, Iovance, Fluor's Navy modification, 3M and Amazon, plus due Travelers and AT&amp;T reviews and the existing paper portfolio.</x:v>
      </x:c>
      <x:c r="E69" s="29" t="str">
        <x:v>Primary issuer records for Verizon, EQT/Range and Iovance; Brazil's election authority; Department of War and linked award records; Reuters; a timestamped VZ premarket quote plus prior-session official-close reference prices; and free Motley Fool editorials as triggers only. No proprietary-flow feed, consolidated order book, paid research, complete real-time insider census or portfolio-capital and sizing rule was available; coverage was broad but not exhaustive.</x:v>
      </x:c>
      <x:c r="F69" s="29" t="n">
        <x:v>52</x:v>
      </x:c>
      <x:c r="G69" s="29" t="n">
        <x:v>9</x:v>
      </x:c>
      <x:c r="H69" s="29" t="n">
        <x:v>1</x:v>
      </x:c>
      <x:c r="I69" s="29" t="str">
        <x:v>Yes</x:v>
      </x:c>
      <x:c r="J69" s="29" t="str">
        <x:v>Opened EEI-2026-023 Strong at confidence 4/5 and trading edge 3/5. Proposed a $300 VZ research-test paper entry at or below $45.25 through the October 26 close after a 7:47:20 a.m. ET premarket quote of $44.80. This is not a fill or position because portfolio capital and sizing rules are unavailable. EQT/Range, Brazil/EWZ, Iovance, the October 23 federal-award slate and new free Motley Fool ideas were rejected with explicit materiality, valuation, already-priced, data-quality or event-risk reasons. Due Travelers and AT&amp;T proposals remain rejected and unfilled. Actual paper positions remain BNO, USO and XOP only; at the last official close their verified value was $3453.77, up $453.77 (15.13%) on $3,000, versus SPY -1.18% from the September 8 open, a 16.31 percentage-point relative result. No real trade was recommended or executed.</x:v>
      </x:c>
    </x:row>
    <x:row r="70">
      <x:c r="A70" s="27" t="str">
        <x:v>RUN-2026-10-27-1332</x:v>
      </x:c>
      <x:c r="B70" s="28" t="d">
        <x:v>2026-10-27T13:32:55.000Z</x:v>
      </x:c>
      <x:c r="C70" s="27" t="str">
        <x:v>Easy E Invest daily scan — broad discovery and regular-session decision</x:v>
      </x:c>
      <x:c r="D70" s="29" t="str">
        <x:v>More than two thirds of research effort was allocated outside the existing watchlist. Public-data coverage included all major equity sectors through all 11 sector ETFs, broad-cap ETFs, Treasury duration and high-yield credit, gold, silver, crude and natural gas; earnings and guidance surprises; price and relative-strength changes; valuation dislocations; corporate actions and public insider reports; policy, regulation and accessible federal awards; supply and inventory developments; and new free Motley Fool editorials. Deep comparisons focused on SoFi, Celestica, JetBlue, Coca-Cola, Whirlpool and the reported Instacart-DoorDash talks, plus due Boeing and Verizon reviews and the existing paper portfolio.</x:v>
      </x:c>
      <x:c r="E70" s="29" t="str">
        <x:v>Primary issuer results for SoFi, Celestica, JetBlue and Coca-Cola; Boeing results and independent reporting; public agency award channels; Reuters and other high-quality market reporting; timestamped regular-session quotes for decisions and portfolio marks; and free Motley Fool editorials as triggers only. No proprietary-flow feed, consolidated order book, paid research, complete real-time insider census, exhaustive same-day award mapping or portfolio-capital and sizing rule was available; coverage was broad but not exhaustive.</x:v>
      </x:c>
      <x:c r="F70" s="29" t="n">
        <x:v>49</x:v>
      </x:c>
      <x:c r="G70" s="29" t="n">
        <x:v>9</x:v>
      </x:c>
      <x:c r="H70" s="29" t="n">
        <x:v>2</x:v>
      </x:c>
      <x:c r="I70" s="29" t="str">
        <x:v>No</x:v>
      </x:c>
      <x:c r="J70" s="29" t="str">
        <x:v>Opened EEI-2026-024 Strong at confidence 4/5 and trading edge 3/5 after SoFi's record Q3 and 2027 outlook. At 9:32 a.m. ET regular-session checkpoint (15-minute-delayed public feed), SOFI was $15.86, above the $15.25 ceiling, so immediate entry was rejected. Celestica, JetBlue, Coca-Cola and the remaining fresh screens were rejected for cash conversion, leverage, valuation, event or already-priced risk. The Boeing due review converted legacy WAIT to REJECT. Verizon's expired October 26 proposal was rejected and remains unfilled. Actual positions remain BNO, USO and XOP only; at 9:32 a.m. ET regular-session checkpoint (15-minute-delayed public feed) their marked value was $3412.09, up $412.09 (13.74%) on $3,000, versus SPY -0.21% from the September 8 open. No real trade was recommended or executed.</x:v>
      </x:c>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707dab67640649d7"/>
  </x:tableParts>
</x:worksheet>
</file>