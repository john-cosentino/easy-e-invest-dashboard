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434a1c497da45bd" /></Relationships>
</file>

<file path=xl/workbook.xml><?xml version="1.0" encoding="utf-8"?>
<x:workbook xmlns:x="http://schemas.openxmlformats.org/spreadsheetml/2006/main">
  <x:sheets>
    <x:sheet xmlns:r="http://schemas.openxmlformats.org/officeDocument/2006/relationships" name="Summary" sheetId="1" r:id="Rbb76923fdbc84fba"/>
    <x:sheet xmlns:r="http://schemas.openxmlformats.org/officeDocument/2006/relationships" name="Thesis Ledger" sheetId="2" r:id="Rf3e2e8a1e25f4a7d"/>
    <x:sheet xmlns:r="http://schemas.openxmlformats.org/officeDocument/2006/relationships" name="Evidence Log" sheetId="3" r:id="Rfe34dcb15b56477d"/>
    <x:sheet xmlns:r="http://schemas.openxmlformats.org/officeDocument/2006/relationships" name="Source Registry" sheetId="4" r:id="R5f4c7cf40d6842ab"/>
    <x:sheet xmlns:r="http://schemas.openxmlformats.org/officeDocument/2006/relationships" name="Paper Trades" sheetId="5" r:id="R56ca501ce7d84e12"/>
    <x:sheet xmlns:r="http://schemas.openxmlformats.org/officeDocument/2006/relationships" name="Scan Runs" sheetId="6" r:id="Rc3c14e7c6d7241a7"/>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0d434645b841f1" /><Relationship Type="http://schemas.openxmlformats.org/officeDocument/2006/relationships/theme" Target="/xl/theme/theme1.xml" Id="Raeea3100d0ee4a05" /><Relationship Type="http://schemas.openxmlformats.org/officeDocument/2006/relationships/sharedStrings" Target="/xl/sharedStrings.xml" Id="Re2c9773245ba46f0" /><Relationship Type="http://schemas.openxmlformats.org/officeDocument/2006/relationships/worksheet" Target="/xl/worksheets/sheet1.xml" Id="Rbb76923fdbc84fba" /><Relationship Type="http://schemas.openxmlformats.org/officeDocument/2006/relationships/worksheet" Target="/xl/worksheets/sheet2.xml" Id="Rf3e2e8a1e25f4a7d" /><Relationship Type="http://schemas.openxmlformats.org/officeDocument/2006/relationships/worksheet" Target="/xl/worksheets/sheet3.xml" Id="Rfe34dcb15b56477d" /><Relationship Type="http://schemas.openxmlformats.org/officeDocument/2006/relationships/worksheet" Target="/xl/worksheets/sheet4.xml" Id="R5f4c7cf40d6842ab" /><Relationship Type="http://schemas.openxmlformats.org/officeDocument/2006/relationships/worksheet" Target="/xl/worksheets/sheet5.xml" Id="R56ca501ce7d84e12" /><Relationship Type="http://schemas.openxmlformats.org/officeDocument/2006/relationships/worksheet" Target="/xl/worksheets/sheet6.xml" Id="Rc3c14e7c6d7241a7"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c0ba9fca914e63" /></Relationships>
</file>

<file path=xl/worksheets/_rels/sheet3.xml.rels>&#65279;<?xml version="1.0" encoding="utf-8"?><Relationships xmlns="http://schemas.openxmlformats.org/package/2006/relationships"><Relationship Type="http://schemas.openxmlformats.org/officeDocument/2006/relationships/table" Target="/xl/tables/table2.xml" Id="R46fae7703097442f" /></Relationships>
</file>

<file path=xl/worksheets/_rels/sheet4.xml.rels>&#65279;<?xml version="1.0" encoding="utf-8"?><Relationships xmlns="http://schemas.openxmlformats.org/package/2006/relationships"><Relationship Type="http://schemas.openxmlformats.org/officeDocument/2006/relationships/table" Target="/xl/tables/table3.xml" Id="R24d978dacf394169" /></Relationships>
</file>

<file path=xl/worksheets/_rels/sheet5.xml.rels>&#65279;<?xml version="1.0" encoding="utf-8"?><Relationships xmlns="http://schemas.openxmlformats.org/package/2006/relationships"><Relationship Type="http://schemas.openxmlformats.org/officeDocument/2006/relationships/table" Target="/xl/tables/table4.xml" Id="Ra7c5b70c91254663" /></Relationships>
</file>

<file path=xl/worksheets/_rels/sheet6.xml.rels>&#65279;<?xml version="1.0" encoding="utf-8"?><Relationships xmlns="http://schemas.openxmlformats.org/package/2006/relationships"><Relationship Type="http://schemas.openxmlformats.org/officeDocument/2006/relationships/table" Target="/xl/tables/table5.xml" Id="R2a0d0ac446c44782"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Cook Political Report shifted 15 House races toward Democrats on September 25 and now says Republicans are on track to lose the House majority; it separately rates Senate control a true toss-up. This independently reinforces the Reuters/Ipsos national signal and competitive-state polling without treating a forecast as an election result.</x:v>
      </x:c>
      <x:c r="O8" s="29" t="str">
        <x:v>Expected changes in fiscal, regulatory and sector policy could alter risk appetite and relative performance.</x:v>
      </x:c>
      <x:c r="P8" s="29" t="str">
        <x:v>Cook's nonpartisan district ratings provide a second independent line of evidence: 15 House ratings moved Democratic-ward and its analysts now expect a House flip, while the Senate remains unresolved. Reuters/Ipsos still showed a 43%-35% Democratic generic-ballot lead, and prior state polling kept several Senate contests competitive.</x:v>
      </x:c>
      <x:c r="Q8" s="29" t="str">
        <x:v>Race ratings and polling are not votes; turnout, candidate quality, district geography and late events can still reverse control. Cook calls the Senate a toss-up rather than a Democratic lean. Market confirmation is incomplete: equal-weight and small-cap indexes lagged SPY on September 25, XBI fell, and elevated oil, yields and inflation risk can suppress the expected breadth rotation.</x:v>
      </x:c>
      <x:c r="R8" s="29"/>
      <x:c r="S8" s="29" t="str">
        <x:v>September 25 close: SPY +0.53%, RSP +0.40%, IWM +0.11%, XLI +0.94%, XLB +0.22%, XBI -0.67%, XLF +0.52% and CPER -0.02%. Industrials led, but the equal-weight and small-cap lag and biotech weakness do not yet confirm a broad post-gridlock rotation.</x:v>
      </x:c>
      <x:c r="T8" s="29" t="str">
        <x:v>Conditional only: XLI is the clearest relative-strength expression; monitor RSP versus SPY and IWM for breadth confirmation. Do not chase election headlines. WAIT until the political evidence remains intact and market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Promoted to Strong, confidence 4/5 on 2026-09-26 after Cook's 15 House rating shifts and explicit House-majority call independently confirmed the national and state polling signal. Trading edge remains 1/5 and Entry Window remains WAIT because the Senate is unresolved and breadth confirmation is incomplete.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dcc0ba9fca914e63"/>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46fae7703097442f"/>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4d978dacf394169"/>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59.65</x:v>
      </x:c>
      <x:c r="K6" s="46" t="n">
        <x:f>I6*J6</x:f>
        <x:v>1042.6498863834995</x:v>
      </x:c>
      <x:c r="L6" s="46" t="n">
        <x:f>K6-H6</x:f>
        <x:v>42.649886383499506</x:v>
      </x:c>
      <x:c r="M6" s="48" t="n">
        <x:f>L6/H6</x:f>
        <x:v>0.04264988638349951</x:v>
      </x:c>
      <x:c r="N6" s="30"/>
      <x:c r="O6" s="32"/>
      <x:c r="P6" s="32" t="str">
        <x:f>IF(OR(I6="",O6=""),"",I6*O6)</x:f>
      </x:c>
      <x:c r="Q6" s="32" t="str">
        <x:f>IF(P6="","",P6-H6)</x:f>
      </x:c>
      <x:c r="R6" s="29" t="str">
        <x:v>09/25/26 close: $59.65; position value $1,042.65; +$42.65 (+4.26%). BNO fell sharply for the session but remains the strongest position and the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148.39</x:v>
      </x:c>
      <x:c r="K7" s="46" t="n">
        <x:f>I7*J7</x:f>
        <x:v>1026.210235131397</x:v>
      </x:c>
      <x:c r="L7" s="46" t="n">
        <x:f>K7-H7</x:f>
        <x:v>26.210235131396985</x:v>
      </x:c>
      <x:c r="M7" s="48" t="n">
        <x:f>L7/H7</x:f>
        <x:v>0.026210235131396985</x:v>
      </x:c>
      <x:c r="N7" s="30"/>
      <x:c r="O7" s="32"/>
      <x:c r="P7" s="32" t="str">
        <x:f>IF(OR(I7="",O7=""),"",I7*O7)</x:f>
      </x:c>
      <x:c r="Q7" s="32" t="str">
        <x:f>IF(P7="","",P7-H7)</x:f>
      </x:c>
      <x:c r="R7" s="29" t="str">
        <x:v>09/25/26 close: $148.39; position value $1,026.21; +$26.21 (+2.62%). USO remains profitable, but today's decline nearly erased the extended-hold cushion. Direct crude exposure still outperforms XOP.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181.5</x:v>
      </x:c>
      <x:c r="K8" s="46" t="n">
        <x:f>I8*J8</x:f>
        <x:v>936.3392488650433</x:v>
      </x:c>
      <x:c r="L8" s="46" t="n">
        <x:f>K8-H8</x:f>
        <x:v>-63.66075113495674</x:v>
      </x:c>
      <x:c r="M8" s="48" t="n">
        <x:f>L8/H8</x:f>
        <x:v>-0.06366075113495674</x:v>
      </x:c>
      <x:c r="N8" s="30"/>
      <x:c r="O8" s="32"/>
      <x:c r="P8" s="32" t="str">
        <x:f>IF(OR(I8="",O8=""),"",I8*O8)</x:f>
      </x:c>
      <x:c r="Q8" s="32" t="str">
        <x:f>IF(P8="","",P8-H8)</x:f>
      </x:c>
      <x:c r="R8" s="29" t="str">
        <x:v>09/25/26 close: $181.50; position value $936.34; -$63.66 (-6.37%). XOP remains the weakest expression and materially trails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7c5b70c91254663"/>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2a0d0ac446c44782"/>
  </x:tableParts>
</x:worksheet>
</file>