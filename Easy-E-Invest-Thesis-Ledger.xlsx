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8c12fe8a8f48e0" /></Relationships>
</file>

<file path=xl/workbook.xml><?xml version="1.0" encoding="utf-8"?>
<x:workbook xmlns:x="http://schemas.openxmlformats.org/spreadsheetml/2006/main">
  <x:sheets>
    <x:sheet xmlns:r="http://schemas.openxmlformats.org/officeDocument/2006/relationships" name="Summary" sheetId="1" r:id="R1f753a59cf9d41bd"/>
    <x:sheet xmlns:r="http://schemas.openxmlformats.org/officeDocument/2006/relationships" name="Thesis Ledger" sheetId="2" r:id="R69bc6597de5d4d37"/>
    <x:sheet xmlns:r="http://schemas.openxmlformats.org/officeDocument/2006/relationships" name="Evidence Log" sheetId="3" r:id="Rfaa6f59400e540ea"/>
    <x:sheet xmlns:r="http://schemas.openxmlformats.org/officeDocument/2006/relationships" name="Source Registry" sheetId="4" r:id="R0c18e769678a41be"/>
    <x:sheet xmlns:r="http://schemas.openxmlformats.org/officeDocument/2006/relationships" name="Paper Trades" sheetId="5" r:id="R629fb9eb578f441f"/>
    <x:sheet xmlns:r="http://schemas.openxmlformats.org/officeDocument/2006/relationships" name="Scan Runs" sheetId="6" r:id="R3c72bf381b8a4e8a"/>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9bf8620b57c4a39" /><Relationship Type="http://schemas.openxmlformats.org/officeDocument/2006/relationships/theme" Target="/xl/theme/theme1.xml" Id="R1444f92c7d6a462f" /><Relationship Type="http://schemas.openxmlformats.org/officeDocument/2006/relationships/sharedStrings" Target="/xl/sharedStrings.xml" Id="R9d9b1f92d46d4744" /><Relationship Type="http://schemas.openxmlformats.org/officeDocument/2006/relationships/worksheet" Target="/xl/worksheets/sheet1.xml" Id="R1f753a59cf9d41bd" /><Relationship Type="http://schemas.openxmlformats.org/officeDocument/2006/relationships/worksheet" Target="/xl/worksheets/sheet2.xml" Id="R69bc6597de5d4d37" /><Relationship Type="http://schemas.openxmlformats.org/officeDocument/2006/relationships/worksheet" Target="/xl/worksheets/sheet3.xml" Id="Rfaa6f59400e540ea" /><Relationship Type="http://schemas.openxmlformats.org/officeDocument/2006/relationships/worksheet" Target="/xl/worksheets/sheet4.xml" Id="R0c18e769678a41be" /><Relationship Type="http://schemas.openxmlformats.org/officeDocument/2006/relationships/worksheet" Target="/xl/worksheets/sheet5.xml" Id="R629fb9eb578f441f" /><Relationship Type="http://schemas.openxmlformats.org/officeDocument/2006/relationships/worksheet" Target="/xl/worksheets/sheet6.xml" Id="R3c72bf381b8a4e8a"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d305d0e9114d2f" /></Relationships>
</file>

<file path=xl/worksheets/_rels/sheet3.xml.rels>&#65279;<?xml version="1.0" encoding="utf-8"?><Relationships xmlns="http://schemas.openxmlformats.org/package/2006/relationships"><Relationship Type="http://schemas.openxmlformats.org/officeDocument/2006/relationships/table" Target="/xl/tables/table2.xml" Id="Rf788cfdc864842f0" /></Relationships>
</file>

<file path=xl/worksheets/_rels/sheet4.xml.rels>&#65279;<?xml version="1.0" encoding="utf-8"?><Relationships xmlns="http://schemas.openxmlformats.org/package/2006/relationships"><Relationship Type="http://schemas.openxmlformats.org/officeDocument/2006/relationships/table" Target="/xl/tables/table3.xml" Id="R4f2ad614d2f34488" /></Relationships>
</file>

<file path=xl/worksheets/_rels/sheet5.xml.rels>&#65279;<?xml version="1.0" encoding="utf-8"?><Relationships xmlns="http://schemas.openxmlformats.org/package/2006/relationships"><Relationship Type="http://schemas.openxmlformats.org/officeDocument/2006/relationships/table" Target="/xl/tables/table4.xml" Id="R7b253bb34bd647cb" /></Relationships>
</file>

<file path=xl/worksheets/_rels/sheet6.xml.rels>&#65279;<?xml version="1.0" encoding="utf-8"?><Relationships xmlns="http://schemas.openxmlformats.org/package/2006/relationships"><Relationship Type="http://schemas.openxmlformats.org/officeDocument/2006/relationships/table" Target="/xl/tables/table5.xml" Id="R0c41abf5361a4cd6"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20</x:v>
      </x:c>
      <x:c r="C6" s="1"/>
      <x:c r="D6" s="1"/>
      <x:c r="E6" s="1"/>
      <x:c r="F6" s="1"/>
      <x:c r="G6" s="1"/>
      <x:c r="H6" s="1"/>
      <x:c r="I6" s="1"/>
      <x:c r="J6" s="1"/>
    </x:row>
    <x:row r="7">
      <x:c r="A7" s="1" t="str">
        <x:v>Open theses</x:v>
      </x:c>
      <x:c r="B7" s="40" t="n">
        <x:f>COUNTIFS('Thesis Ledger'!A6:A200,"&lt;&gt;",'Thesis Ledger'!F6:F200,"&lt;&gt;Closed",'Thesis Ledger'!F6:F200,"&lt;&gt;Invalidated")</x:f>
        <x:v>18</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23d305d0e9114d2f"/>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sheetData>
  <x:mergeCells>
    <x:mergeCell ref="A2:K2"/>
  </x:mergeCells>
  <x:pageMargins left="0.7" right="0.7" top="0.75" bottom="0.75" header="0.3" footer="0.3"/>
  <x:tableParts count="1">
    <x:tablePart xmlns:r="http://schemas.openxmlformats.org/officeDocument/2006/relationships" r:id="Rf788cfdc864842f0"/>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4f2ad614d2f34488"/>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65.09</x:v>
      </x:c>
      <x:c r="K6" s="46" t="n">
        <x:f>I6*J6</x:f>
        <x:v>1137.738157664744</x:v>
      </x:c>
      <x:c r="L6" s="46" t="n">
        <x:f>K6-H6</x:f>
        <x:v>137.738157664744</x:v>
      </x:c>
      <x:c r="M6" s="48" t="n">
        <x:f>L6/H6</x:f>
        <x:v>0.13773815766474398</x:v>
      </x:c>
      <x:c r="N6" s="30"/>
      <x:c r="O6" s="32"/>
      <x:c r="P6" s="32" t="str">
        <x:f>IF(OR(I6="",O6=""),"",I6*O6)</x:f>
      </x:c>
      <x:c r="Q6" s="32" t="str">
        <x:f>IF(P6="","",P6-H6)</x:f>
      </x:c>
      <x:c r="R6" s="29" t="str">
        <x:v>10/14/26 close: $65.09; position value $1,137.74; +$137.74 (+13.77%). BNO was essentially flat as Brent settled at $106.06; attacks on shipping and Saudi infrastructure supported the risk premium, while recovering Gulf exports remained a normalization counterweight.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153.56</x:v>
      </x:c>
      <x:c r="K7" s="46" t="n">
        <x:f>I7*J7</x:f>
        <x:v>1061.9640387275242</x:v>
      </x:c>
      <x:c r="L7" s="46" t="n">
        <x:f>K7-H7</x:f>
        <x:v>61.96403872752421</x:v>
      </x:c>
      <x:c r="M7" s="48" t="n">
        <x:f>L7/H7</x:f>
        <x:v>0.061964038727524214</x:v>
      </x:c>
      <x:c r="N7" s="30"/>
      <x:c r="O7" s="32"/>
      <x:c r="P7" s="32" t="str">
        <x:f>IF(OR(I7="",O7=""),"",I7*O7)</x:f>
      </x:c>
      <x:c r="Q7" s="32" t="str">
        <x:f>IF(P7="","",P7-H7)</x:f>
      </x:c>
      <x:c r="R7" s="29" t="str">
        <x:v>10/14/26 close: $153.56; position value $1,061.96; +$61.96 (+6.20%). USO rose 0.31% as WTI settled at $95.09. The direct WTI expression remains profitable but continues to trail BNO.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197.84</x:v>
      </x:c>
      <x:c r="K8" s="46" t="n">
        <x:f>I8*J8</x:f>
        <x:v>1020.6355757325629</x:v>
      </x:c>
      <x:c r="L8" s="46" t="n">
        <x:f>K8-H8</x:f>
        <x:v>20.63557573256287</x:v>
      </x:c>
      <x:c r="M8" s="48" t="n">
        <x:f>L8/H8</x:f>
        <x:v>0.02063557573256287</x:v>
      </x:c>
      <x:c r="N8" s="30"/>
      <x:c r="O8" s="32"/>
      <x:c r="P8" s="32" t="str">
        <x:f>IF(OR(I8="",O8=""),"",I8*O8)</x:f>
      </x:c>
      <x:c r="Q8" s="32" t="str">
        <x:f>IF(P8="","",P8-H8)</x:f>
      </x:c>
      <x:c r="R8" s="29" t="str">
        <x:v>10/14/26 close: $197.84; position value $1,020.64; +$20.64 (+2.06%). XOP fell 0.99% and remains the weakest expression, materially lagging both direct crude funds despite ending above entry.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b253bb34bd647cb"/>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0c41abf5361a4cd6"/>
  </x:tableParts>
</x:worksheet>
</file>