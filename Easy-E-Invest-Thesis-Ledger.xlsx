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f3064ba0a68447b" /></Relationships>
</file>

<file path=xl/workbook.xml><?xml version="1.0" encoding="utf-8"?>
<x:workbook xmlns:x="http://schemas.openxmlformats.org/spreadsheetml/2006/main">
  <x:sheets>
    <x:sheet xmlns:r="http://schemas.openxmlformats.org/officeDocument/2006/relationships" name="Summary" sheetId="1" r:id="R0f9455d4d0ed48a3"/>
    <x:sheet xmlns:r="http://schemas.openxmlformats.org/officeDocument/2006/relationships" name="Thesis Ledger" sheetId="2" r:id="R68d85fbb401b4a99"/>
    <x:sheet xmlns:r="http://schemas.openxmlformats.org/officeDocument/2006/relationships" name="Evidence Log" sheetId="3" r:id="R812c16eaaffe496d"/>
    <x:sheet xmlns:r="http://schemas.openxmlformats.org/officeDocument/2006/relationships" name="Source Registry" sheetId="4" r:id="R8d2ca46fa6af457b"/>
    <x:sheet xmlns:r="http://schemas.openxmlformats.org/officeDocument/2006/relationships" name="Paper Trades" sheetId="5" r:id="Rcd344a6eaf9c4e5d"/>
    <x:sheet xmlns:r="http://schemas.openxmlformats.org/officeDocument/2006/relationships" name="Scan Runs" sheetId="6" r:id="R445b00b2baad4e73"/>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c885c74cbc84173" /><Relationship Type="http://schemas.openxmlformats.org/officeDocument/2006/relationships/theme" Target="/xl/theme/theme1.xml" Id="R6d2c398c0f1247e5" /><Relationship Type="http://schemas.openxmlformats.org/officeDocument/2006/relationships/sharedStrings" Target="/xl/sharedStrings.xml" Id="Rccd1c583ffb44aab" /><Relationship Type="http://schemas.openxmlformats.org/officeDocument/2006/relationships/worksheet" Target="/xl/worksheets/sheet1.xml" Id="R0f9455d4d0ed48a3" /><Relationship Type="http://schemas.openxmlformats.org/officeDocument/2006/relationships/worksheet" Target="/xl/worksheets/sheet2.xml" Id="R68d85fbb401b4a99" /><Relationship Type="http://schemas.openxmlformats.org/officeDocument/2006/relationships/worksheet" Target="/xl/worksheets/sheet3.xml" Id="R812c16eaaffe496d" /><Relationship Type="http://schemas.openxmlformats.org/officeDocument/2006/relationships/worksheet" Target="/xl/worksheets/sheet4.xml" Id="R8d2ca46fa6af457b" /><Relationship Type="http://schemas.openxmlformats.org/officeDocument/2006/relationships/worksheet" Target="/xl/worksheets/sheet5.xml" Id="Rcd344a6eaf9c4e5d" /><Relationship Type="http://schemas.openxmlformats.org/officeDocument/2006/relationships/worksheet" Target="/xl/worksheets/sheet6.xml" Id="R445b00b2baad4e73"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db77fdcaee74cc6" /></Relationships>
</file>

<file path=xl/worksheets/_rels/sheet3.xml.rels>&#65279;<?xml version="1.0" encoding="utf-8"?><Relationships xmlns="http://schemas.openxmlformats.org/package/2006/relationships"><Relationship Type="http://schemas.openxmlformats.org/officeDocument/2006/relationships/table" Target="/xl/tables/table2.xml" Id="Rc38f07c0417e4f33" /></Relationships>
</file>

<file path=xl/worksheets/_rels/sheet4.xml.rels>&#65279;<?xml version="1.0" encoding="utf-8"?><Relationships xmlns="http://schemas.openxmlformats.org/package/2006/relationships"><Relationship Type="http://schemas.openxmlformats.org/officeDocument/2006/relationships/table" Target="/xl/tables/table3.xml" Id="Re15d6ba6f8e34b5b" /></Relationships>
</file>

<file path=xl/worksheets/_rels/sheet5.xml.rels>&#65279;<?xml version="1.0" encoding="utf-8"?><Relationships xmlns="http://schemas.openxmlformats.org/package/2006/relationships"><Relationship Type="http://schemas.openxmlformats.org/officeDocument/2006/relationships/table" Target="/xl/tables/table4.xml" Id="Rcf502ada80fc4674" /></Relationships>
</file>

<file path=xl/worksheets/_rels/sheet6.xml.rels>&#65279;<?xml version="1.0" encoding="utf-8"?><Relationships xmlns="http://schemas.openxmlformats.org/package/2006/relationships"><Relationship Type="http://schemas.openxmlformats.org/officeDocument/2006/relationships/table" Target="/xl/tables/table5.xml" Id="Rc0ebf02f71384c76"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18</x:v>
      </x:c>
      <x:c r="C6" s="1"/>
      <x:c r="D6" s="1"/>
      <x:c r="E6" s="1"/>
      <x:c r="F6" s="1"/>
      <x:c r="G6" s="1"/>
      <x:c r="H6" s="1"/>
      <x:c r="I6" s="1"/>
      <x:c r="J6" s="1"/>
    </x:row>
    <x:row r="7">
      <x:c r="A7" s="1" t="str">
        <x:v>Open theses</x:v>
      </x:c>
      <x:c r="B7" s="40" t="n">
        <x:f>COUNTIFS('Thesis Ledger'!A6:A200,"&lt;&gt;",'Thesis Ledger'!F6:F200,"&lt;&gt;Closed",'Thesis Ledger'!F6:F200,"&lt;&gt;Invalidated")</x:f>
        <x:v>16</x:v>
      </x:c>
      <x:c r="C7" s="1"/>
      <x:c r="D7" s="1"/>
      <x:c r="E7" s="1"/>
      <x:c r="F7" s="1"/>
      <x:c r="G7" s="1"/>
      <x:c r="H7" s="1"/>
      <x:c r="I7" s="1"/>
      <x:c r="J7" s="1"/>
    </x:row>
    <x:row r="8">
      <x:c r="A8" s="1" t="str">
        <x:v>Evaluated theses</x:v>
      </x:c>
      <x:c r="B8" s="40" t="n">
        <x:f>COUNT('Thesis Ledger'!AE6:AE200)</x:f>
        <x:v>4</x:v>
      </x:c>
      <x:c r="C8" s="1"/>
      <x:c r="D8" s="1"/>
      <x:c r="E8" s="1"/>
      <x:c r="F8" s="1"/>
      <x:c r="G8" s="1"/>
      <x:c r="H8" s="1"/>
      <x:c r="I8" s="1"/>
      <x:c r="J8" s="1"/>
    </x:row>
    <x:row r="9">
      <x:c r="A9" s="1" t="str">
        <x:v>Average prediction score</x:v>
      </x:c>
      <x:c r="B9" s="55" t="n">
        <x:f>IFERROR(AVERAGE('Thesis Ledger'!AE6:AE200),"")</x:f>
        <x:v>0.9</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46310</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46310</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WAIT</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x:v>
      </x:c>
      <x:c r="T8" s="29" t="str">
        <x:v>Conditional only: RSP versus SPY remains the central breadth test. The widened Senate path improves the political case, but the investable case remains WAIT until rates and oil stabilize and equal-weight, small-cap and cyclical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6db77fdcaee74cc6"/>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c38f07c0417e4f33"/>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e15d6ba6f8e34b5b"/>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61.9</x:v>
      </x:c>
      <x:c r="K6" s="46" t="n">
        <x:f>I6*J6</x:f>
        <x:v>1081.9786750568082</x:v>
      </x:c>
      <x:c r="L6" s="46" t="n">
        <x:f>K6-H6</x:f>
        <x:v>81.97867505680824</x:v>
      </x:c>
      <x:c r="M6" s="48" t="n">
        <x:f>L6/H6</x:f>
        <x:v>0.08197867505680824</x:v>
      </x:c>
      <x:c r="N6" s="30"/>
      <x:c r="O6" s="32"/>
      <x:c r="P6" s="32" t="str">
        <x:f>IF(OR(I6="",O6=""),"",I6*O6)</x:f>
      </x:c>
      <x:c r="Q6" s="32" t="str">
        <x:f>IF(P6="","",P6-H6)</x:f>
      </x:c>
      <x:c r="R6" s="29" t="str">
        <x:v>10/07/26 close: $61.90; position value $1,081.98; +$81.98 (+8.20%). BNO slipped 0.05%. Brent settled at $100.20 as an accelerated IEA stock release offset a surprise U.S. inventory draw, regional attacks and Gulf-storm risk.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143.91</x:v>
      </x:c>
      <x:c r="K7" s="46" t="n">
        <x:f>I7*J7</x:f>
        <x:v>995.2282157676349</x:v>
      </x:c>
      <x:c r="L7" s="46" t="n">
        <x:f>K7-H7</x:f>
        <x:v>-4.771784232365121</x:v>
      </x:c>
      <x:c r="M7" s="48" t="n">
        <x:f>L7/H7</x:f>
        <x:v>-0.004771784232365121</x:v>
      </x:c>
      <x:c r="N7" s="30"/>
      <x:c r="O7" s="32"/>
      <x:c r="P7" s="32" t="str">
        <x:f>IF(OR(I7="",O7=""),"",I7*O7)</x:f>
      </x:c>
      <x:c r="Q7" s="32" t="str">
        <x:f>IF(P7="","",P7-H7)</x:f>
      </x:c>
      <x:c r="R7" s="29" t="str">
        <x:v>10/07/26 close: $143.91; position value $995.23; -$4.77 (-0.48%). USO fell 0.69% and moved back below entry as WTI settled at $88.28. Supply normalization and faster emergency-stock delivery weaken the extended-hold scarcity case, while conflict and weather preserve residual risk.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188.24</x:v>
      </x:c>
      <x:c r="K8" s="46" t="n">
        <x:f>I8*J8</x:f>
        <x:v>971.1101939744119</x:v>
      </x:c>
      <x:c r="L8" s="46" t="n">
        <x:f>K8-H8</x:f>
        <x:v>-28.889806025588086</x:v>
      </x:c>
      <x:c r="M8" s="48" t="n">
        <x:f>L8/H8</x:f>
        <x:v>-0.028889806025588088</x:v>
      </x:c>
      <x:c r="N8" s="30"/>
      <x:c r="O8" s="32"/>
      <x:c r="P8" s="32" t="str">
        <x:f>IF(OR(I8="",O8=""),"",I8*O8)</x:f>
      </x:c>
      <x:c r="Q8" s="32" t="str">
        <x:f>IF(P8="","",P8-H8)</x:f>
      </x:c>
      <x:c r="R8" s="29" t="str">
        <x:v>10/07/26 close: $188.24; position value $971.11; -$28.89 (-2.89%). XOP fell 0.12% and remains the weakest cumulative expression. The producer-equity proxy continues to trail direct Brent exposure.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cf502ada80fc4674"/>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c0ebf02f71384c76"/>
  </x:tableParts>
</x:worksheet>
</file>