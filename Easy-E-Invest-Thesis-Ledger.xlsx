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cc80310c6fc4616" /></Relationships>
</file>

<file path=xl/workbook.xml><?xml version="1.0" encoding="utf-8"?>
<x:workbook xmlns:x="http://schemas.openxmlformats.org/spreadsheetml/2006/main">
  <x:sheets>
    <x:sheet xmlns:r="http://schemas.openxmlformats.org/officeDocument/2006/relationships" name="Summary" sheetId="1" r:id="Rff1dbe5b12fc44a7"/>
    <x:sheet xmlns:r="http://schemas.openxmlformats.org/officeDocument/2006/relationships" name="Thesis Ledger" sheetId="2" r:id="Rf654e4d1653e471c"/>
    <x:sheet xmlns:r="http://schemas.openxmlformats.org/officeDocument/2006/relationships" name="Evidence Log" sheetId="3" r:id="R7c5a8217cb2f4676"/>
    <x:sheet xmlns:r="http://schemas.openxmlformats.org/officeDocument/2006/relationships" name="Source Registry" sheetId="4" r:id="Re66473441a1842c0"/>
    <x:sheet xmlns:r="http://schemas.openxmlformats.org/officeDocument/2006/relationships" name="Paper Trades" sheetId="5" r:id="Rfc88d7bbfdbc4ced"/>
    <x:sheet xmlns:r="http://schemas.openxmlformats.org/officeDocument/2006/relationships" name="Scan Runs" sheetId="6" r:id="R88a01a82c05a4dfa"/>
  </x:sheets>
</x:workbook>
</file>

<file path=xl/sharedStrings.xml><?xml version="1.0" encoding="utf-8"?>
<x:sst xmlns:x="http://schemas.openxmlformats.org/spreadsheetml/2006/main"/>
</file>

<file path=xl/styles.xml><?xml version="1.0" encoding="utf-8"?>
<x:styleSheet xmlns:x="http://schemas.openxmlformats.org/spreadsheetml/2006/main">
  <x:numFmts count="12">
    <x:numFmt numFmtId="200" formatCode="0.0%"/>
    <x:numFmt numFmtId="201" formatCode="mm/dd/yy"/>
    <x:numFmt numFmtId="202" formatCode="mm/dd/yy hh:mm"/>
    <x:numFmt numFmtId="203" formatCode="$#,##0.00"/>
    <x:numFmt numFmtId="204" formatCode="&quot;$&quot;#,##0.00"/>
    <x:numFmt numFmtId="205" formatCode="0.0000"/>
    <x:numFmt numFmtId="206" formatCode="0.00%"/>
    <x:numFmt numFmtId="207" formatCode="mm/dd/yy h:mm AM/PM"/>
    <x:numFmt numFmtId="208" formatCode="mm/dd/yy h:mm"/>
    <x:numFmt numFmtId="209" formatCode="yyyy-mm-dd hh:mm"/>
    <x:numFmt numFmtId="210" formatCode="mm/dd/yyyy hh:mm"/>
    <x:numFmt numFmtId="211" formatCode="0%"/>
  </x:numFmts>
  <x:fonts count="6">
    <x:font>
      <x:sz val="11"/>
      <x:name val="Carlito"/>
    </x:font>
    <x:font>
      <x:sz val="10"/>
      <x:color rgb="FF1F2937"/>
      <x:name val="Arial"/>
    </x:font>
    <x:font>
      <x:b/>
      <x:sz val="15"/>
      <x:color rgb="FF14213D"/>
      <x:name val="Arial"/>
    </x:font>
    <x:font>
      <x:b/>
      <x:sz val="10"/>
      <x:color rgb="FFFFFFFF"/>
      <x:name val="Arial"/>
    </x:font>
    <x:font>
      <x:i/>
      <x:sz val="10"/>
      <x:color rgb="FF374151"/>
      <x:name val="Arial"/>
    </x:font>
    <x:font>
      <x:b/>
      <x:sz val="11"/>
      <x:color rgb="FF14213D"/>
      <x:name val="Arial"/>
    </x:font>
  </x:fonts>
  <x:fills count="5">
    <x:fill>
      <x:patternFill patternType="none"/>
    </x:fill>
    <x:fill>
      <x:patternFill patternType="gray125"/>
    </x:fill>
    <x:fill>
      <x:patternFill patternType="solid">
        <x:fgColor rgb="FF1F4E78"/>
      </x:patternFill>
    </x:fill>
    <x:fill>
      <x:patternFill patternType="solid">
        <x:fgColor rgb="FFFFF8E7"/>
      </x:patternFill>
    </x:fill>
    <x:fill>
      <x:patternFill patternType="solid">
        <x:fgColor rgb="FFDCEAF7"/>
      </x:patternFill>
    </x:fill>
  </x:fills>
  <x:borders count="8">
    <x:border/>
    <x:border>
      <x:bottom style="medium">
        <x:color rgb="FF27C2D1"/>
      </x:bottom>
    </x:border>
    <x:border>
      <x:right style="thin">
        <x:color rgb="FFFFFFFF"/>
      </x:right>
      <x:bottom style="thin">
        <x:color rgb="FFFFFFFF"/>
      </x:bottom>
    </x:border>
    <x:border>
      <x:left style="thin">
        <x:color rgb="FFFFFFFF"/>
      </x:left>
      <x:bottom style="thin">
        <x:color rgb="FFFFFFFF"/>
      </x:bottom>
    </x:border>
    <x:border>
      <x:left style="thin">
        <x:color rgb="FFFFFFFF"/>
      </x:left>
      <x:right style="thin">
        <x:color rgb="FFFFFFFF"/>
      </x:right>
      <x:bottom style="thin">
        <x:color rgb="FFFFFFFF"/>
      </x:bottom>
    </x:border>
    <x:border>
      <x:right style="thin">
        <x:color rgb="FFFFFFFF"/>
      </x:right>
    </x:border>
    <x:border>
      <x:bottom style="thin">
        <x:color rgb="FFC9CED6"/>
      </x:bottom>
    </x:border>
    <x:border>
      <x:right style="thin">
        <x:color rgb="FFFFFFFF"/>
      </x:right>
      <x:bottom style="thin">
        <x:color rgb="FFC9CED6"/>
      </x:bottom>
    </x:border>
  </x:borders>
  <x:cellStyleXfs count="1">
    <x:xf numFmtId="0" fontId="0" fillId="0" borderId="0"/>
  </x:cellStyleXfs>
  <x:cellXfs count="57">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0"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200" fontId="1" fillId="0" borderId="0" xfId="0" applyNumberFormat="1" applyFont="1" applyFill="1" applyBorder="1"/>
    <x:xf numFmtId="0" fontId="3" fillId="2" borderId="4" xfId="0" applyNumberFormat="1" applyFont="1" applyFill="1" applyBorder="1" applyAlignment="1">
      <x:alignment horizontal="center" vertical="center" wrapText="1"/>
    </x:xf>
    <x:xf numFmtId="201" fontId="1" fillId="0" borderId="0" xfId="0" applyNumberFormat="1" applyFont="1" applyFill="1" applyBorder="1"/>
    <x:xf numFmtId="0" fontId="1"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center" wrapText="1"/>
    </x:xf>
    <x:xf numFmtId="201" fontId="0" fillId="0" borderId="0" xfId="0" applyNumberFormat="1" applyFont="1" applyFill="1" applyBorder="1"/>
    <x:xf numFmtId="200" fontId="0" fillId="0" borderId="0" xfId="0" applyNumberFormat="1" applyFont="1" applyFill="1" applyBorder="1"/>
    <x:xf numFmtId="202" fontId="1" fillId="0" borderId="0" xfId="0" applyNumberFormat="1" applyFont="1" applyFill="1" applyBorder="1"/>
    <x:xf numFmtId="202" fontId="0" fillId="0" borderId="0" xfId="0" applyNumberFormat="1" applyFont="1" applyFill="1" applyBorder="1"/>
    <x:xf numFmtId="203" fontId="1" fillId="0" borderId="0" xfId="0" applyNumberFormat="1" applyFont="1" applyFill="1" applyBorder="1"/>
    <x:xf numFmtId="203" fontId="0" fillId="0" borderId="0" xfId="0" applyNumberFormat="1" applyFont="1" applyFill="1" applyBorder="1"/>
    <x:xf numFmtId="0" fontId="3" fillId="2" borderId="2" xfId="0" applyNumberFormat="1" applyFont="1" applyFill="1" applyBorder="1" applyAlignment="1">
      <x:alignment horizontal="center" vertical="top" wrapText="1"/>
    </x:xf>
    <x:xf numFmtId="0" fontId="3" fillId="2" borderId="4" xfId="0" applyNumberFormat="1" applyFont="1" applyFill="1" applyBorder="1" applyAlignment="1">
      <x:alignment horizontal="center" vertical="top" wrapText="1"/>
    </x:xf>
    <x:xf numFmtId="0" fontId="3" fillId="2" borderId="3" xfId="0" applyNumberFormat="1" applyFont="1" applyFill="1" applyBorder="1" applyAlignment="1">
      <x:alignment horizontal="center" vertical="top" wrapText="1"/>
    </x:xf>
    <x:xf numFmtId="0" fontId="1" fillId="0" borderId="0" xfId="0" applyNumberFormat="1" applyFont="1" applyFill="1" applyBorder="1" applyAlignment="1">
      <x:alignment vertical="top"/>
    </x:xf>
    <x:xf numFmtId="202"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x:xf>
    <x:xf numFmtId="200" fontId="1" fillId="0" borderId="0" xfId="0" applyNumberFormat="1" applyFont="1" applyFill="1" applyBorder="1" applyAlignment="1">
      <x:alignment vertical="top"/>
    </x:xf>
    <x:xf numFmtId="203" fontId="1" fillId="0" borderId="0" xfId="0" applyNumberFormat="1" applyFont="1" applyFill="1" applyBorder="1" applyAlignment="1">
      <x:alignment vertical="top"/>
    </x:xf>
    <x:xf numFmtId="0" fontId="1" fillId="0" borderId="5" xfId="0" applyNumberFormat="1" applyFont="1" applyFill="1" applyBorder="1"/>
    <x:xf numFmtId="200" fontId="1" fillId="0" borderId="5" xfId="0" applyNumberFormat="1" applyFont="1" applyFill="1" applyBorder="1"/>
    <x:xf numFmtId="0" fontId="1" fillId="0" borderId="6" xfId="0" applyNumberFormat="1" applyFont="1" applyFill="1" applyBorder="1"/>
    <x:xf numFmtId="0" fontId="1" fillId="0" borderId="7" xfId="0" applyNumberFormat="1" applyFont="1" applyFill="1" applyBorder="1"/>
    <x:xf numFmtId="0" fontId="1" fillId="4" borderId="5" xfId="0" applyNumberFormat="1" applyFont="1" applyFill="1" applyBorder="1"/>
    <x:xf numFmtId="200" fontId="1" fillId="4" borderId="5" xfId="0" applyNumberFormat="1" applyFont="1" applyFill="1" applyBorder="1"/>
    <x:xf numFmtId="0" fontId="1" fillId="4" borderId="7" xfId="0" applyNumberFormat="1" applyFont="1" applyFill="1" applyBorder="1"/>
    <x:xf numFmtId="0" fontId="5" fillId="4" borderId="5" xfId="0" applyNumberFormat="1" applyFont="1" applyFill="1" applyBorder="1"/>
    <x:xf numFmtId="200" fontId="5" fillId="4" borderId="5" xfId="0" applyNumberFormat="1" applyFont="1" applyFill="1" applyBorder="1"/>
    <x:xf numFmtId="0" fontId="5" fillId="4" borderId="7" xfId="0" applyNumberFormat="1" applyFont="1" applyFill="1" applyBorder="1"/>
    <x:xf numFmtId="201" fontId="1"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4" fontId="1" fillId="0" borderId="0" xfId="0" applyNumberFormat="1" applyFont="1" applyFill="1" applyBorder="1" applyAlignment="1">
      <x:alignment vertical="top"/>
    </x:xf>
    <x:xf numFmtId="205" fontId="1" fillId="0" borderId="0" xfId="0" applyNumberFormat="1" applyFont="1" applyFill="1" applyBorder="1" applyAlignment="1">
      <x:alignment vertical="top"/>
    </x:xf>
    <x:xf numFmtId="206" fontId="1" fillId="0" borderId="0" xfId="0" applyNumberFormat="1" applyFont="1" applyFill="1" applyBorder="1" applyAlignment="1">
      <x:alignment vertical="top"/>
    </x:xf>
    <x:xf numFmtId="207" fontId="1" fillId="0" borderId="0" xfId="0" applyNumberFormat="1" applyFont="1" applyFill="1" applyBorder="1" applyAlignment="1">
      <x:alignment vertical="top"/>
    </x:xf>
    <x:xf numFmtId="207" fontId="1" fillId="0" borderId="0" xfId="0" applyNumberFormat="1" applyFont="1" applyFill="1" applyBorder="1" applyAlignment="1">
      <x:alignment vertical="top" wrapText="1"/>
    </x:xf>
    <x:xf numFmtId="208" fontId="1" fillId="0" borderId="0" xfId="0" applyNumberFormat="1" applyFont="1" applyFill="1" applyBorder="1" applyAlignment="1">
      <x:alignment vertical="top"/>
    </x:xf>
    <x:xf numFmtId="209" fontId="1" fillId="0" borderId="0" xfId="0" applyNumberFormat="1" applyFont="1" applyFill="1" applyBorder="1" applyAlignment="1">
      <x:alignment vertical="top"/>
    </x:xf>
    <x:xf numFmtId="210" fontId="0" fillId="0" borderId="0" xfId="0" applyNumberFormat="1" applyFont="1" applyFill="1" applyBorder="1"/>
    <x:xf numFmtId="210" fontId="1" fillId="0" borderId="0" xfId="0" applyNumberFormat="1" applyFont="1" applyFill="1" applyBorder="1" applyAlignment="1">
      <x:alignment vertical="top"/>
    </x:xf>
    <x:xf numFmtId="211" fontId="5" fillId="4" borderId="5" xfId="0" applyNumberFormat="1" applyFont="1" applyFill="1" applyBorder="1"/>
    <x:xf numFmtId="209" fontId="0" fillId="0" borderId="0" xfId="0" applyNumberFormat="1" applyFont="1" applyFill="1" applyBorder="1"/>
  </x:cellXfs>
  <x:cellStyles count="1">
    <x:cellStyle name="Normal" xfId="0"/>
  </x:cellStyles>
  <x:dxfs count="4">
    <x:dxf>
      <x:font>
        <x:b/>
        <x:color rgb="FF7A4B00"/>
      </x:font>
      <x:fill>
        <x:patternFill>
          <x:bgColor rgb="FFFFF0C2"/>
        </x:patternFill>
      </x:fill>
    </x:dxf>
    <x:dxf>
      <x:font>
        <x:b/>
        <x:color rgb="FF1F4E78"/>
      </x:font>
      <x:fill>
        <x:patternFill>
          <x:bgColor rgb="FFDCEAF7"/>
        </x:patternFill>
      </x:fill>
    </x:dxf>
    <x:dxf>
      <x:font>
        <x:b/>
        <x:color rgb="FF235D34"/>
      </x:font>
      <x:fill>
        <x:patternFill>
          <x:bgColor rgb="FFDDEEDD"/>
        </x:patternFill>
      </x:fill>
    </x:dxf>
    <x:dxf>
      <x:font>
        <x:b/>
        <x:color rgb="FF9C1C1C"/>
      </x:font>
      <x:fill>
        <x:patternFill>
          <x:bgColor rgb="FFFCE0E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c2465af55a14a71" /><Relationship Type="http://schemas.openxmlformats.org/officeDocument/2006/relationships/theme" Target="/xl/theme/theme1.xml" Id="R71fbb66259924a10" /><Relationship Type="http://schemas.openxmlformats.org/officeDocument/2006/relationships/sharedStrings" Target="/xl/sharedStrings.xml" Id="Re8838d107b2d40e6" /><Relationship Type="http://schemas.openxmlformats.org/officeDocument/2006/relationships/worksheet" Target="/xl/worksheets/sheet1.xml" Id="Rff1dbe5b12fc44a7" /><Relationship Type="http://schemas.openxmlformats.org/officeDocument/2006/relationships/worksheet" Target="/xl/worksheets/sheet2.xml" Id="Rf654e4d1653e471c" /><Relationship Type="http://schemas.openxmlformats.org/officeDocument/2006/relationships/worksheet" Target="/xl/worksheets/sheet3.xml" Id="R7c5a8217cb2f4676" /><Relationship Type="http://schemas.openxmlformats.org/officeDocument/2006/relationships/worksheet" Target="/xl/worksheets/sheet4.xml" Id="Re66473441a1842c0" /><Relationship Type="http://schemas.openxmlformats.org/officeDocument/2006/relationships/worksheet" Target="/xl/worksheets/sheet5.xml" Id="Rfc88d7bbfdbc4ced" /><Relationship Type="http://schemas.openxmlformats.org/officeDocument/2006/relationships/worksheet" Target="/xl/worksheets/sheet6.xml" Id="R88a01a82c05a4dfa" /></Relationships>
</file>

<file path=xl/tables/table1.xml><?xml version="1.0" encoding="utf-8"?>
<x:table xmlns:x="http://schemas.openxmlformats.org/spreadsheetml/2006/main" id="1" name="ThesisLedgerTable" displayName="ThesisLedgerTable" ref="A5:AE50" headerRowCount="1" totalsRowCount="0" totalsRowShown="0">
  <x:tableColumns count="31">
    <x:tableColumn id="1" name="Thesis ID"/>
    <x:tableColumn id="2" name="Thesis Name"/>
    <x:tableColumn id="3" name="Sector"/>
    <x:tableColumn id="4" name="Trigger Date"/>
    <x:tableColumn id="5" name="First Detected"/>
    <x:tableColumn id="6" name="Status"/>
    <x:tableColumn id="7" name="Trigger Class"/>
    <x:tableColumn id="8" name="Economic Variable"/>
    <x:tableColumn id="9" name="Predicted Direction"/>
    <x:tableColumn id="10" name="Time Horizon"/>
    <x:tableColumn id="11" name="Confidence 1 to 5"/>
    <x:tableColumn id="12" name="Trading Edge 1 to 5"/>
    <x:tableColumn id="13" name="Entry Window"/>
    <x:tableColumn id="14" name="Trigger Summary"/>
    <x:tableColumn id="15" name="Causal Mechanism"/>
    <x:tableColumn id="16" name="Supporting Evidence"/>
    <x:tableColumn id="17" name="Contradictory Evidence"/>
    <x:tableColumn id="18" name="Expert Enhancer"/>
    <x:tableColumn id="19" name="Market Confirmation"/>
    <x:tableColumn id="20" name="Candidate Expressions"/>
    <x:tableColumn id="21" name="Invalidation"/>
    <x:tableColumn id="22" name="Initial Prediction Frozen"/>
    <x:tableColumn id="23" name="Next Evaluation"/>
    <x:tableColumn id="24" name="Evaluation Date"/>
    <x:tableColumn id="25" name="Variable Correct"/>
    <x:tableColumn id="26" name="Direction Correct"/>
    <x:tableColumn id="27" name="Timing Correct"/>
    <x:tableColumn id="28" name="Expression Correct"/>
    <x:tableColumn id="29" name="Entry Discipline Correct"/>
    <x:tableColumn id="30" name="Outcome Notes"/>
    <x:tableColumn id="31" name="Prediction Score"/>
  </x:tableColumns>
  <x:tableStyleInfo name="TableStyleMedium2" showFirstColumn="0" showLastColumn="0" showRowStripes="1" showColumnStripes="0"/>
</x:table>
</file>

<file path=xl/tables/table2.xml><?xml version="1.0" encoding="utf-8"?>
<x:table xmlns:x="http://schemas.openxmlformats.org/spreadsheetml/2006/main" id="2" name="EvidenceLogTable" displayName="EvidenceLogTable" ref="A5:K104" headerRowCount="1" totalsRowCount="0" totalsRowShown="0">
  <x:tableColumns count="11">
    <x:tableColumn id="1" name="Observation ID"/>
    <x:tableColumn id="2" name="Thesis ID"/>
    <x:tableColumn id="3" name="Observed At"/>
    <x:tableColumn id="4" name="Evidence Type"/>
    <x:tableColumn id="5" name="Source"/>
    <x:tableColumn id="6" name="Source Class"/>
    <x:tableColumn id="7" name="URL"/>
    <x:tableColumn id="8" name="Factual Claim"/>
    <x:tableColumn id="9" name="Effect"/>
    <x:tableColumn id="10" name="Reliability 1 to 5"/>
    <x:tableColumn id="11" name="Notes"/>
  </x:tableColumns>
  <x:tableStyleInfo name="TableStyleMedium2" showFirstColumn="0" showLastColumn="0" showRowStripes="1" showColumnStripes="0"/>
</x:table>
</file>

<file path=xl/tables/table3.xml><?xml version="1.0" encoding="utf-8"?>
<x:table xmlns:x="http://schemas.openxmlformats.org/spreadsheetml/2006/main" id="3" name="SourceRegistryTable" displayName="SourceRegistryTable" ref="A5:M50" headerRowCount="1" totalsRowCount="0" totalsRowShown="0">
  <x:tableColumns count="13">
    <x:tableColumn id="1" name="Source"/>
    <x:tableColumn id="2" name="Source Class"/>
    <x:tableColumn id="3" name="Domain"/>
    <x:tableColumn id="4" name="Approved Status"/>
    <x:tableColumn id="5" name="Reliability 1 to 5"/>
    <x:tableColumn id="6" name="Timeliness 1 to 5"/>
    <x:tableColumn id="7" name="Directness 1 to 5"/>
    <x:tableColumn id="8" name="Corroboration Required"/>
    <x:tableColumn id="9" name="Correct Calls"/>
    <x:tableColumn id="10" name="Incorrect Calls"/>
    <x:tableColumn id="11" name="Evaluated Calls"/>
    <x:tableColumn id="12" name="Hit Rate"/>
    <x:tableColumn id="13" name="Notes"/>
  </x:tableColumns>
  <x:tableStyleInfo name="TableStyleMedium2" showFirstColumn="0" showLastColumn="0" showRowStripes="1" showColumnStripes="0"/>
</x:table>
</file>

<file path=xl/tables/table4.xml><?xml version="1.0" encoding="utf-8"?>
<x:table xmlns:x="http://schemas.openxmlformats.org/spreadsheetml/2006/main" id="4" name="PaperTradesTable" displayName="PaperTradesTable" ref="A5:R50" headerRowCount="1" totalsRowCount="0" totalsRowShown="0">
  <x:tableColumns count="18">
    <x:tableColumn id="1" name="Trade ID"/>
    <x:tableColumn id="2" name="Thesis ID"/>
    <x:tableColumn id="3" name="Instrument"/>
    <x:tableColumn id="4" name="Exposure Type"/>
    <x:tableColumn id="5" name="Entry Window"/>
    <x:tableColumn id="6" name="Paper Entry Date"/>
    <x:tableColumn id="7" name="Entry Price"/>
    <x:tableColumn id="8" name="Starting Amount"/>
    <x:tableColumn id="9" name="Units"/>
    <x:tableColumn id="10" name="Current Price"/>
    <x:tableColumn id="11" name="Current Value"/>
    <x:tableColumn id="12" name="Dollar P and L"/>
    <x:tableColumn id="13" name="Return"/>
    <x:tableColumn id="14" name="Exit Date"/>
    <x:tableColumn id="15" name="Exit Price"/>
    <x:tableColumn id="16" name="Realized Value"/>
    <x:tableColumn id="17" name="Realized P and L"/>
    <x:tableColumn id="18" name="Notes"/>
  </x:tableColumns>
  <x:tableStyleInfo name="TableStyleMedium2" showFirstColumn="0" showLastColumn="0" showRowStripes="1" showColumnStripes="0"/>
</x:table>
</file>

<file path=xl/tables/table5.xml><?xml version="1.0" encoding="utf-8"?>
<x:table xmlns:x="http://schemas.openxmlformats.org/spreadsheetml/2006/main" id="5" name="ScanRunsTable" displayName="ScanRunsTable" ref="A5:J101" headerRowCount="1" totalsRowCount="0" totalsRowShown="0">
  <x:tableColumns count="10">
    <x:tableColumn id="1" name="Run ID"/>
    <x:tableColumn id="2" name="Run At"/>
    <x:tableColumn id="3" name="Task"/>
    <x:tableColumn id="4" name="Scope"/>
    <x:tableColumn id="5" name="Sources Checked"/>
    <x:tableColumn id="6" name="New Triggers"/>
    <x:tableColumn id="7" name="Theses Updated"/>
    <x:tableColumn id="8" name="Evaluations Completed"/>
    <x:tableColumn id="9" name="Alert Sent"/>
    <x:tableColumn id="10"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54f85e8df1749ee" /></Relationships>
</file>

<file path=xl/worksheets/_rels/sheet3.xml.rels>&#65279;<?xml version="1.0" encoding="utf-8"?><Relationships xmlns="http://schemas.openxmlformats.org/package/2006/relationships"><Relationship Type="http://schemas.openxmlformats.org/officeDocument/2006/relationships/table" Target="/xl/tables/table2.xml" Id="R200d116ba22b4700" /></Relationships>
</file>

<file path=xl/worksheets/_rels/sheet4.xml.rels>&#65279;<?xml version="1.0" encoding="utf-8"?><Relationships xmlns="http://schemas.openxmlformats.org/package/2006/relationships"><Relationship Type="http://schemas.openxmlformats.org/officeDocument/2006/relationships/table" Target="/xl/tables/table3.xml" Id="Re3d095974a85415b" /></Relationships>
</file>

<file path=xl/worksheets/_rels/sheet5.xml.rels>&#65279;<?xml version="1.0" encoding="utf-8"?><Relationships xmlns="http://schemas.openxmlformats.org/package/2006/relationships"><Relationship Type="http://schemas.openxmlformats.org/officeDocument/2006/relationships/table" Target="/xl/tables/table4.xml" Id="R6822fbe2818c427e" /></Relationships>
</file>

<file path=xl/worksheets/_rels/sheet6.xml.rels>&#65279;<?xml version="1.0" encoding="utf-8"?><Relationships xmlns="http://schemas.openxmlformats.org/package/2006/relationships"><Relationship Type="http://schemas.openxmlformats.org/officeDocument/2006/relationships/table" Target="/xl/tables/table5.xml" Id="R2d416651e0a14cf1" /></Relationships>
</file>

<file path=xl/worksheets/sheet1.xml><?xml version="1.0" encoding="utf-8"?>
<x:worksheet xmlns:x="http://schemas.openxmlformats.org/spreadsheetml/2006/main">
  <x:sheetPr>
    <x:tabColor rgb="FF14213D"/>
  </x:sheetPr>
  <x:sheetViews>
    <x:sheetView showGridLines="0" workbookViewId="0">
      <x:pane ySplit="3" topLeftCell="A4" activePane="bottomLeft" state="frozen"/>
    </x:sheetView>
  </x:sheetViews>
  <x:sheetFormatPr defaultRowHeight="15"/>
  <x:cols>
    <x:col min="1" max="1" width="20" hidden="0" customWidth="1"/>
    <x:col min="2" max="2" width="30" hidden="0" customWidth="1"/>
    <x:col min="3" max="3" width="22" hidden="0" customWidth="1"/>
    <x:col min="4" max="4" width="16" hidden="0" customWidth="1"/>
    <x:col min="5" max="5" width="14" hidden="0" customWidth="1"/>
    <x:col min="6" max="6" width="14" hidden="0" customWidth="1"/>
    <x:col min="7" max="7" width="14" hidden="0" customWidth="1"/>
    <x:col min="8" max="8" width="14" hidden="0" customWidth="1"/>
    <x:col min="9" max="9" width="38" hidden="0" customWidth="1"/>
    <x:col min="10" max="10" width="16" hidden="0" customWidth="1"/>
  </x:cols>
  <x:sheetData>
    <x:row r="1">
      <x:c r="A1" s="1"/>
      <x:c r="B1" s="1"/>
      <x:c r="C1" s="1"/>
      <x:c r="D1" s="1"/>
      <x:c r="E1" s="1"/>
      <x:c r="F1" s="1"/>
      <x:c r="G1" s="1"/>
      <x:c r="H1" s="1"/>
      <x:c r="I1" s="1"/>
      <x:c r="J1" s="1"/>
    </x:row>
    <x:row r="2">
      <x:c r="A2" s="2" t="str">
        <x:v>Easy E Invest Thesis Performance</x:v>
      </x:c>
      <x:c r="B2" s="1"/>
      <x:c r="C2" s="1"/>
      <x:c r="D2" s="1"/>
      <x:c r="E2" s="1"/>
      <x:c r="F2" s="1"/>
      <x:c r="G2" s="1"/>
      <x:c r="H2" s="1"/>
      <x:c r="I2" s="1"/>
      <x:c r="J2" s="1"/>
    </x:row>
    <x:row r="3">
      <x:c r="A3" s="3"/>
      <x:c r="B3" s="3"/>
      <x:c r="C3" s="3"/>
      <x:c r="D3" s="3"/>
      <x:c r="E3" s="3"/>
      <x:c r="F3" s="3"/>
      <x:c r="G3" s="3"/>
      <x:c r="H3" s="3"/>
      <x:c r="I3" s="3"/>
      <x:c r="J3" s="3"/>
    </x:row>
    <x:row r="4">
      <x:c r="A4" s="1"/>
      <x:c r="B4" s="1"/>
      <x:c r="C4" s="1"/>
      <x:c r="D4" s="1"/>
      <x:c r="E4" s="1"/>
      <x:c r="F4" s="1"/>
      <x:c r="G4" s="1"/>
      <x:c r="H4" s="1"/>
      <x:c r="I4" s="1"/>
      <x:c r="J4" s="1"/>
    </x:row>
    <x:row r="5">
      <x:c r="A5" s="9" t="str">
        <x:v>Metric</x:v>
      </x:c>
      <x:c r="B5" s="12" t="str">
        <x:v>Value</x:v>
      </x:c>
      <x:c r="C5" s="1"/>
      <x:c r="D5" s="1"/>
      <x:c r="E5" s="1"/>
      <x:c r="F5" s="1"/>
      <x:c r="G5" s="1"/>
      <x:c r="H5" s="1"/>
      <x:c r="I5" s="1"/>
      <x:c r="J5" s="1"/>
    </x:row>
    <x:row r="6">
      <x:c r="A6" s="1" t="str">
        <x:v>Total theses</x:v>
      </x:c>
      <x:c r="B6" s="40" t="n">
        <x:f>COUNTA('Thesis Ledger'!A6:A200)</x:f>
        <x:v>21</x:v>
      </x:c>
      <x:c r="C6" s="1"/>
      <x:c r="D6" s="1"/>
      <x:c r="E6" s="1"/>
      <x:c r="F6" s="1"/>
      <x:c r="G6" s="1"/>
      <x:c r="H6" s="1"/>
      <x:c r="I6" s="1"/>
      <x:c r="J6" s="1"/>
    </x:row>
    <x:row r="7">
      <x:c r="A7" s="1" t="str">
        <x:v>Open theses</x:v>
      </x:c>
      <x:c r="B7" s="40" t="n">
        <x:f>COUNTIFS('Thesis Ledger'!A6:A200,"&lt;&gt;",'Thesis Ledger'!F6:F200,"&lt;&gt;Closed",'Thesis Ledger'!F6:F200,"&lt;&gt;Invalidated")</x:f>
        <x:v>19</x:v>
      </x:c>
      <x:c r="C7" s="1"/>
      <x:c r="D7" s="1"/>
      <x:c r="E7" s="1"/>
      <x:c r="F7" s="1"/>
      <x:c r="G7" s="1"/>
      <x:c r="H7" s="1"/>
      <x:c r="I7" s="1"/>
      <x:c r="J7" s="1"/>
    </x:row>
    <x:row r="8">
      <x:c r="A8" s="1" t="str">
        <x:v>Evaluated theses</x:v>
      </x:c>
      <x:c r="B8" s="40" t="n">
        <x:f>COUNT('Thesis Ledger'!AE6:AE200)</x:f>
        <x:v>4</x:v>
      </x:c>
      <x:c r="C8" s="1"/>
      <x:c r="D8" s="1"/>
      <x:c r="E8" s="1"/>
      <x:c r="F8" s="1"/>
      <x:c r="G8" s="1"/>
      <x:c r="H8" s="1"/>
      <x:c r="I8" s="1"/>
      <x:c r="J8" s="1"/>
    </x:row>
    <x:row r="9">
      <x:c r="A9" s="1" t="str">
        <x:v>Average prediction score</x:v>
      </x:c>
      <x:c r="B9" s="55" t="n">
        <x:f>IFERROR(AVERAGE('Thesis Ledger'!AE6:AE200),"")</x:f>
        <x:v>0.9</x:v>
      </x:c>
      <x:c r="C9" s="1"/>
      <x:c r="D9" s="1"/>
      <x:c r="E9" s="1"/>
      <x:c r="F9" s="1"/>
      <x:c r="G9" s="1"/>
      <x:c r="H9" s="1"/>
      <x:c r="I9" s="1"/>
      <x:c r="J9" s="1"/>
    </x:row>
    <x:row r="10">
      <x:c r="A10" s="35" t="str">
        <x:v>Preferred entry theses</x:v>
      </x:c>
      <x:c r="B10" s="42" t="n">
        <x:f>COUNTIF('Thesis Ledger'!M6:M200,"PREFERRED")</x:f>
        <x:v>0</x:v>
      </x:c>
      <x:c r="C10" s="1"/>
      <x:c r="D10" s="1"/>
      <x:c r="E10" s="1"/>
      <x:c r="F10" s="1"/>
      <x:c r="G10" s="1"/>
      <x:c r="H10" s="1"/>
      <x:c r="I10" s="1"/>
      <x:c r="J10" s="1"/>
    </x:row>
    <x:row r="11">
      <x:c r="A11" s="1"/>
      <x:c r="B11" s="1"/>
      <x:c r="C11" s="1"/>
      <x:c r="D11" s="1"/>
      <x:c r="E11" s="1"/>
      <x:c r="F11" s="1"/>
      <x:c r="G11" s="1"/>
      <x:c r="H11" s="1"/>
      <x:c r="I11" s="1"/>
      <x:c r="J11" s="1"/>
    </x:row>
    <x:row r="12">
      <x:c r="A12" s="9" t="str">
        <x:v>Thesis ID</x:v>
      </x:c>
      <x:c r="B12" s="12" t="str">
        <x:v>Thesis</x:v>
      </x:c>
      <x:c r="C12" s="12" t="str">
        <x:v>Sector</x:v>
      </x:c>
      <x:c r="D12" s="12" t="str">
        <x:v>Stage</x:v>
      </x:c>
      <x:c r="E12" s="12" t="str">
        <x:v>Confidence</x:v>
      </x:c>
      <x:c r="F12" s="12" t="str">
        <x:v>Trading Edge</x:v>
      </x:c>
      <x:c r="G12" s="12" t="str">
        <x:v>Entry Window</x:v>
      </x:c>
      <x:c r="H12" s="12" t="str">
        <x:v>Trigger Date</x:v>
      </x:c>
      <x:c r="I12" s="12" t="str">
        <x:v>Economic Variable</x:v>
      </x:c>
      <x:c r="J12" s="10" t="str">
        <x:v>Next Evaluation</x:v>
      </x:c>
    </x:row>
    <x:row r="13">
      <x:c r="A13" s="1" t="str">
        <x:f>'Thesis Ledger'!A6</x:f>
        <x:v>EEI-2026-001</x:v>
      </x:c>
      <x:c r="B13" s="1" t="str">
        <x:f>'Thesis Ledger'!B6</x:f>
        <x:v>Hormuz crude supply risk</x:v>
      </x:c>
      <x:c r="C13" s="1" t="str">
        <x:f>'Thesis Ledger'!C6</x:f>
        <x:v>Energy</x:v>
      </x:c>
      <x:c r="D13" s="1" t="str">
        <x:f>'Thesis Ledger'!F6</x:f>
        <x:v>Closed</x:v>
      </x:c>
      <x:c r="E13" s="1" t="n">
        <x:f>'Thesis Ledger'!K6</x:f>
        <x:v>5</x:v>
      </x:c>
      <x:c r="F13" s="1" t="n">
        <x:f>'Thesis Ledger'!L6</x:f>
        <x:v>1</x:v>
      </x:c>
      <x:c r="G13" s="1" t="str">
        <x:f>'Thesis Ledger'!M6</x:f>
        <x:v>WAIT</x:v>
      </x:c>
      <x:c r="H13" s="13" t="n">
        <x:f>'Thesis Ledger'!D6</x:f>
        <x:v>46271</x:v>
      </x:c>
      <x:c r="I13" s="1" t="str">
        <x:f>'Thesis Ledger'!H6</x:f>
        <x:v>Global crude supply and risk premium</x:v>
      </x:c>
      <x:c r="J13" s="13" t="n">
        <x:f>'Thesis Ledger'!W6</x:f>
        <x:v>0</x:v>
      </x:c>
    </x:row>
    <x:row r="14">
      <x:c r="A14" s="1" t="str">
        <x:f>'Thesis Ledger'!A7</x:f>
        <x:v>EEI-2026-002</x:v>
      </x:c>
      <x:c r="B14" s="1" t="str">
        <x:f>'Thesis Ledger'!B7</x:f>
        <x:v>Gas disruption and coal substitution</x:v>
      </x:c>
      <x:c r="C14" s="1" t="str">
        <x:f>'Thesis Ledger'!C7</x:f>
        <x:v>Energy and materials</x:v>
      </x:c>
      <x:c r="D14" s="1" t="str">
        <x:f>'Thesis Ledger'!F7</x:f>
        <x:v>Strong</x:v>
      </x:c>
      <x:c r="E14" s="1" t="n">
        <x:f>'Thesis Ledger'!K7</x:f>
        <x:v>4</x:v>
      </x:c>
      <x:c r="F14" s="1" t="n">
        <x:f>'Thesis Ledger'!L7</x:f>
        <x:v>2</x:v>
      </x:c>
      <x:c r="G14" s="1" t="str">
        <x:f>'Thesis Ledger'!M7</x:f>
        <x:v>REJECT 2026-10-16</x:v>
      </x:c>
      <x:c r="H14" s="13" t="n">
        <x:f>'Thesis Ledger'!D7</x:f>
        <x:v>46275</x:v>
      </x:c>
      <x:c r="I14" s="1" t="str">
        <x:f>'Thesis Ledger'!H7</x:f>
        <x:v>Coal demand from fuel switching</x:v>
      </x:c>
      <x:c r="J14" s="13" t="n">
        <x:f>'Thesis Ledger'!W7</x:f>
        <x:v>46328</x:v>
      </x:c>
    </x:row>
    <x:row r="15">
      <x:c r="A15" s="1" t="str">
        <x:f>'Thesis Ledger'!A8</x:f>
        <x:v>EEI-2026-003</x:v>
      </x:c>
      <x:c r="B15" s="1" t="str">
        <x:f>'Thesis Ledger'!B8</x:f>
        <x:v>2026 midterm political shift</x:v>
      </x:c>
      <x:c r="C15" s="1" t="str">
        <x:f>'Thesis Ledger'!C8</x:f>
        <x:v>Multi-sector</x:v>
      </x:c>
      <x:c r="D15" s="1" t="str">
        <x:f>'Thesis Ledger'!F8</x:f>
        <x:v>Strong</x:v>
      </x:c>
      <x:c r="E15" s="1" t="n">
        <x:f>'Thesis Ledger'!K8</x:f>
        <x:v>5</x:v>
      </x:c>
      <x:c r="F15" s="1" t="n">
        <x:f>'Thesis Ledger'!L8</x:f>
        <x:v>1</x:v>
      </x:c>
      <x:c r="G15" s="1" t="str">
        <x:f>'Thesis Ledger'!M8</x:f>
        <x:v>REJECT 2026-10-16</x:v>
      </x:c>
      <x:c r="H15" s="13" t="n">
        <x:f>'Thesis Ledger'!D8</x:f>
        <x:v>46274</x:v>
      </x:c>
      <x:c r="I15" s="1" t="str">
        <x:f>'Thesis Ledger'!H8</x:f>
        <x:v>Market breadth, policy expectations and sector leadership</x:v>
      </x:c>
      <x:c r="J15" s="13" t="n">
        <x:f>'Thesis Ledger'!W8</x:f>
        <x:v>46330</x:v>
      </x:c>
    </x:row>
    <x:row r="16">
      <x:c r="A16" s="1" t="str">
        <x:f>'Thesis Ledger'!A9</x:f>
        <x:v>EEI-2026-004</x:v>
      </x:c>
      <x:c r="B16" s="1" t="str">
        <x:f>'Thesis Ledger'!B9</x:f>
        <x:v>Energy inflation and higher-for-longer rates</x:v>
      </x:c>
      <x:c r="C16" s="1" t="str">
        <x:f>'Thesis Ledger'!C9</x:f>
        <x:v>Macro and fixed income</x:v>
      </x:c>
      <x:c r="D16" s="1" t="str">
        <x:f>'Thesis Ledger'!F9</x:f>
        <x:v>Closed</x:v>
      </x:c>
      <x:c r="E16" s="1" t="n">
        <x:f>'Thesis Ledger'!K9</x:f>
        <x:v>4</x:v>
      </x:c>
      <x:c r="F16" s="1" t="n">
        <x:f>'Thesis Ledger'!L9</x:f>
        <x:v>1</x:v>
      </x:c>
      <x:c r="G16" s="1" t="str">
        <x:f>'Thesis Ledger'!M9</x:f>
        <x:v>WAIT</x:v>
      </x:c>
      <x:c r="H16" s="1" t="n">
        <x:f>'Thesis Ledger'!D9</x:f>
        <x:v>46276.51043981482</x:v>
      </x:c>
      <x:c r="I16" s="1" t="str">
        <x:f>'Thesis Ledger'!H9</x:f>
        <x:v>U.S. producer inflation, Fed policy expectations and long-term Treasury yields</x:v>
      </x:c>
      <x:c r="J16" s="1" t="n">
        <x:f>'Thesis Ledger'!W9</x:f>
        <x:v>0</x:v>
      </x:c>
    </x:row>
    <x:row r="17">
      <x:c r="A17" s="17" t="str">
        <x:v>Scores are calculated only from completed Yes or No evaluations. Blank fields remain unevaluated. Keep economic-thesis accuracy separate from trading performance and entry quality.</x:v>
      </x:c>
      <x:c r="B17" s="1"/>
      <x:c r="C17" s="1"/>
      <x:c r="D17" s="1"/>
      <x:c r="E17" s="1"/>
      <x:c r="F17" s="1"/>
      <x:c r="G17" s="1"/>
      <x:c r="H17" s="1"/>
      <x:c r="I17" s="1"/>
      <x:c r="J17" s="1"/>
    </x:row>
    <x:row r="18">
      <x:c r="A18" s="1"/>
      <x:c r="B18" s="1"/>
      <x:c r="C18" s="1"/>
      <x:c r="D18" s="1"/>
      <x:c r="E18" s="1"/>
      <x:c r="F18" s="1"/>
      <x:c r="G18" s="1"/>
      <x:c r="H18" s="1"/>
      <x:c r="I18" s="1"/>
      <x:c r="J18" s="1"/>
    </x:row>
    <x:row r="19">
      <x:c r="A19" s="1"/>
      <x:c r="B19" s="1"/>
      <x:c r="C19" s="1"/>
      <x:c r="D19" s="1"/>
      <x:c r="E19" s="1"/>
      <x:c r="F19" s="1"/>
      <x:c r="G19" s="1"/>
      <x:c r="H19" s="1"/>
      <x:c r="I19" s="1"/>
      <x:c r="J19" s="1"/>
    </x:row>
    <x:row r="20">
      <x:c r="A20" s="1"/>
      <x:c r="B20" s="1"/>
      <x:c r="C20" s="1"/>
      <x:c r="D20" s="1"/>
      <x:c r="E20" s="1"/>
      <x:c r="F20" s="1"/>
      <x:c r="G20" s="1"/>
      <x:c r="H20" s="1"/>
      <x:c r="I20" s="1"/>
      <x:c r="J20" s="1"/>
    </x:row>
  </x:sheetData>
  <x:mergeCells>
    <x:mergeCell ref="A2:J2"/>
    <x:mergeCell ref="A17:J18"/>
  </x:mergeCells>
  <x:pageMargins left="0.7" right="0.7" top="0.75" bottom="0.75" header="0.3" footer="0.3"/>
</x:worksheet>
</file>

<file path=xl/worksheets/sheet2.xml><?xml version="1.0" encoding="utf-8"?>
<x:worksheet xmlns:x="http://schemas.openxmlformats.org/spreadsheetml/2006/main">
  <x:sheetPr>
    <x:tabColor rgb="FF1F4E78"/>
  </x:sheetPr>
  <x:sheetViews>
    <x:sheetView showGridLines="0" workbookViewId="0">
      <x:pane ySplit="5" topLeftCell="A6" activePane="bottomLeft" state="frozen"/>
    </x:sheetView>
  </x:sheetViews>
  <x:sheetFormatPr defaultRowHeight="15"/>
  <x:cols>
    <x:col min="1" max="1" width="15" hidden="0" customWidth="1"/>
    <x:col min="2" max="2" width="28" hidden="0" customWidth="1"/>
    <x:col min="3" max="3" width="15" hidden="0" customWidth="1"/>
    <x:col min="4" max="4" width="15" hidden="0" customWidth="1"/>
    <x:col min="5" max="5" width="15" hidden="0" customWidth="1"/>
    <x:col min="6" max="6" width="15" hidden="0" customWidth="1"/>
    <x:col min="7" max="7" width="15" hidden="0" customWidth="1"/>
    <x:col min="8" max="8" width="28" hidden="0" customWidth="1"/>
    <x:col min="9" max="9" width="15" hidden="0" customWidth="1"/>
    <x:col min="10" max="10" width="15" hidden="0" customWidth="1"/>
    <x:col min="11" max="11" width="15" hidden="0" customWidth="1"/>
    <x:col min="12" max="12" width="15" hidden="0" customWidth="1"/>
    <x:col min="13" max="13" width="15" hidden="0" customWidth="1"/>
    <x:col min="14" max="14" width="28" hidden="0" customWidth="1"/>
    <x:col min="15" max="15" width="28" hidden="0" customWidth="1"/>
    <x:col min="16" max="16" width="28" hidden="0" customWidth="1"/>
    <x:col min="17" max="17" width="28" hidden="0" customWidth="1"/>
    <x:col min="18" max="18" width="28" hidden="0" customWidth="1"/>
    <x:col min="19" max="19" width="28" hidden="0" customWidth="1"/>
    <x:col min="20" max="20" width="28" hidden="0" customWidth="1"/>
    <x:col min="21" max="21" width="28" hidden="0" customWidth="1"/>
    <x:col min="22" max="22" width="15" hidden="0" customWidth="1"/>
    <x:col min="23" max="23" width="15" hidden="0" customWidth="1"/>
    <x:col min="24" max="24" width="15" hidden="0" customWidth="1"/>
    <x:col min="25" max="25" width="15" hidden="0" customWidth="1"/>
    <x:col min="26" max="26" width="15" hidden="0" customWidth="1"/>
    <x:col min="27" max="27" width="15" hidden="0" customWidth="1"/>
    <x:col min="28" max="28" width="15" hidden="0" customWidth="1"/>
    <x:col min="29" max="29" width="15" hidden="0" customWidth="1"/>
    <x:col min="30" max="30" width="28" hidden="0" customWidth="1"/>
    <x:col min="31" max="31" width="15"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c r="AA1" s="1"/>
      <x:c r="AB1" s="1"/>
      <x:c r="AC1" s="1"/>
      <x:c r="AD1" s="1"/>
      <x:c r="AE1" s="1"/>
    </x:row>
    <x:row r="2">
      <x:c r="A2" s="2" t="str">
        <x:v>Thesis Ledger</x:v>
      </x:c>
      <x:c r="B2" s="1"/>
      <x:c r="C2" s="1"/>
      <x:c r="D2" s="1"/>
      <x:c r="E2" s="1"/>
      <x:c r="F2" s="1"/>
      <x:c r="G2" s="1"/>
      <x:c r="H2" s="1"/>
      <x:c r="I2" s="1"/>
      <x:c r="J2" s="1"/>
      <x:c r="K2" s="1"/>
      <x:c r="L2" s="1"/>
      <x:c r="M2" s="1"/>
      <x:c r="N2" s="1"/>
      <x:c r="O2" s="1"/>
      <x:c r="P2" s="1"/>
      <x:c r="Q2" s="1"/>
      <x:c r="R2" s="1"/>
      <x:c r="S2" s="1"/>
      <x:c r="T2" s="1"/>
      <x:c r="U2" s="1"/>
      <x:c r="V2" s="1"/>
      <x:c r="W2" s="1"/>
      <x:c r="X2" s="1"/>
      <x:c r="Y2" s="1"/>
      <x:c r="Z2" s="1"/>
      <x:c r="AA2" s="1"/>
      <x:c r="AB2" s="1"/>
      <x:c r="AC2" s="1"/>
      <x:c r="AD2" s="1"/>
      <x:c r="AE2" s="1"/>
    </x:row>
    <x:row r="3">
      <x:c r="A3" s="3"/>
      <x:c r="B3" s="3"/>
      <x:c r="C3" s="3"/>
      <x:c r="D3" s="3"/>
      <x:c r="E3" s="3"/>
      <x:c r="F3" s="3"/>
      <x:c r="G3" s="3"/>
      <x:c r="H3" s="3"/>
      <x:c r="I3" s="3"/>
      <x:c r="J3" s="3"/>
      <x:c r="K3" s="3"/>
      <x:c r="L3" s="3"/>
      <x:c r="M3" s="3"/>
      <x:c r="N3" s="3"/>
      <x:c r="O3" s="3"/>
      <x:c r="P3" s="3"/>
      <x:c r="Q3" s="3"/>
      <x:c r="R3" s="3"/>
      <x:c r="S3" s="3"/>
      <x:c r="T3" s="3"/>
      <x:c r="U3" s="3"/>
      <x:c r="V3" s="3"/>
      <x:c r="W3" s="3"/>
      <x:c r="X3" s="3"/>
      <x:c r="Y3" s="3"/>
      <x:c r="Z3" s="3"/>
      <x:c r="AA3" s="3"/>
      <x:c r="AB3" s="3"/>
      <x:c r="AC3" s="3"/>
      <x:c r="AD3" s="3"/>
      <x:c r="AE3" s="3"/>
    </x:row>
    <x:row r="4">
      <x:c r="A4" s="1"/>
      <x:c r="B4" s="1"/>
      <x:c r="C4" s="1"/>
      <x:c r="D4" s="1"/>
      <x:c r="E4" s="1"/>
      <x:c r="F4" s="1"/>
      <x:c r="G4" s="1"/>
      <x:c r="H4" s="1"/>
      <x:c r="I4" s="1"/>
      <x:c r="J4" s="1"/>
      <x:c r="K4" s="1"/>
      <x:c r="L4" s="1"/>
      <x:c r="M4" s="1"/>
      <x:c r="N4" s="1"/>
      <x:c r="O4" s="1"/>
      <x:c r="P4" s="1"/>
      <x:c r="Q4" s="1"/>
      <x:c r="R4" s="1"/>
      <x:c r="S4" s="1"/>
      <x:c r="T4" s="1"/>
      <x:c r="U4" s="1"/>
      <x:c r="V4" s="1"/>
      <x:c r="W4" s="1"/>
      <x:c r="X4" s="1"/>
      <x:c r="Y4" s="1"/>
      <x:c r="Z4" s="1"/>
      <x:c r="AA4" s="1"/>
      <x:c r="AB4" s="1"/>
      <x:c r="AC4" s="1"/>
      <x:c r="AD4" s="1"/>
      <x:c r="AE4" s="1"/>
    </x:row>
    <x:row r="5">
      <x:c r="A5" s="24" t="str">
        <x:v>Thesis ID</x:v>
      </x:c>
      <x:c r="B5" s="25" t="str">
        <x:v>Thesis Name</x:v>
      </x:c>
      <x:c r="C5" s="25" t="str">
        <x:v>Sector</x:v>
      </x:c>
      <x:c r="D5" s="25" t="str">
        <x:v>Trigger Date</x:v>
      </x:c>
      <x:c r="E5" s="25" t="str">
        <x:v>First Detected</x:v>
      </x:c>
      <x:c r="F5" s="25" t="str">
        <x:v>Status</x:v>
      </x:c>
      <x:c r="G5" s="25" t="str">
        <x:v>Trigger Class</x:v>
      </x:c>
      <x:c r="H5" s="25" t="str">
        <x:v>Economic Variable</x:v>
      </x:c>
      <x:c r="I5" s="25" t="str">
        <x:v>Predicted Direction</x:v>
      </x:c>
      <x:c r="J5" s="25" t="str">
        <x:v>Time Horizon</x:v>
      </x:c>
      <x:c r="K5" s="25" t="str">
        <x:v>Confidence 1 to 5</x:v>
      </x:c>
      <x:c r="L5" s="25" t="str">
        <x:v>Trading Edge 1 to 5</x:v>
      </x:c>
      <x:c r="M5" s="25" t="str">
        <x:v>Entry Window</x:v>
      </x:c>
      <x:c r="N5" s="25" t="str">
        <x:v>Trigger Summary</x:v>
      </x:c>
      <x:c r="O5" s="25" t="str">
        <x:v>Causal Mechanism</x:v>
      </x:c>
      <x:c r="P5" s="25" t="str">
        <x:v>Supporting Evidence</x:v>
      </x:c>
      <x:c r="Q5" s="25" t="str">
        <x:v>Contradictory Evidence</x:v>
      </x:c>
      <x:c r="R5" s="25" t="str">
        <x:v>Expert Enhancer</x:v>
      </x:c>
      <x:c r="S5" s="25" t="str">
        <x:v>Market Confirmation</x:v>
      </x:c>
      <x:c r="T5" s="25" t="str">
        <x:v>Candidate Expressions</x:v>
      </x:c>
      <x:c r="U5" s="25" t="str">
        <x:v>Invalidation</x:v>
      </x:c>
      <x:c r="V5" s="25" t="str">
        <x:v>Initial Prediction Frozen</x:v>
      </x:c>
      <x:c r="W5" s="25" t="str">
        <x:v>Next Evaluation</x:v>
      </x:c>
      <x:c r="X5" s="25" t="str">
        <x:v>Evaluation Date</x:v>
      </x:c>
      <x:c r="Y5" s="25" t="str">
        <x:v>Variable Correct</x:v>
      </x:c>
      <x:c r="Z5" s="25" t="str">
        <x:v>Direction Correct</x:v>
      </x:c>
      <x:c r="AA5" s="25" t="str">
        <x:v>Timing Correct</x:v>
      </x:c>
      <x:c r="AB5" s="25" t="str">
        <x:v>Expression Correct</x:v>
      </x:c>
      <x:c r="AC5" s="25" t="str">
        <x:v>Entry Discipline Correct</x:v>
      </x:c>
      <x:c r="AD5" s="25" t="str">
        <x:v>Outcome Notes</x:v>
      </x:c>
      <x:c r="AE5" s="26" t="str">
        <x:v>Prediction Score</x:v>
      </x:c>
    </x:row>
    <x:row r="6">
      <x:c r="A6" s="27" t="str">
        <x:v>EEI-2026-001</x:v>
      </x:c>
      <x:c r="B6" s="27" t="str">
        <x:v>Hormuz crude supply risk</x:v>
      </x:c>
      <x:c r="C6" s="27" t="str">
        <x:v>Energy</x:v>
      </x:c>
      <x:c r="D6" s="30" t="n">
        <x:v>46271</x:v>
      </x:c>
      <x:c r="E6" s="30" t="n">
        <x:v>46271.5</x:v>
      </x:c>
      <x:c r="F6" s="27" t="str">
        <x:v>Closed</x:v>
      </x:c>
      <x:c r="G6" s="27" t="str">
        <x:v>Geopolitical</x:v>
      </x:c>
      <x:c r="H6" s="27" t="str">
        <x:v>Global crude supply and risk premium</x:v>
      </x:c>
      <x:c r="I6" s="27" t="str">
        <x:v>Up</x:v>
      </x:c>
      <x:c r="J6" s="27" t="str">
        <x:v>Days to weeks</x:v>
      </x:c>
      <x:c r="K6" s="27" t="n">
        <x:v>5</x:v>
      </x:c>
      <x:c r="L6" s="27" t="n">
        <x:v>1</x:v>
      </x:c>
      <x:c r="M6" s="27" t="str">
        <x:v>WAIT</x:v>
      </x:c>
      <x:c r="N6" s="29" t="str">
        <x:v>Crude supplied the missing liquid-market confirmation on September 14: Brent rose above $108 and WTI above $102 after the weekend pipeline and shipping attacks, while physical crude premiums and replacement-barrel costs surged.</x:v>
      </x:c>
      <x:c r="O6" s="29" t="str">
        <x:v>Constrained Hormuz flows plus the East-West pipeline outage reduce effective exports and force refiners to bid for alternative barrels, raising freight, insurance and crude risk premiums.</x:v>
      </x:c>
      <x:c r="P6" s="29" t="str">
        <x:v>Hormuz traffic fell to only three commercial transits on September 16, versus 12 the prior day and a 10-day average of 17, confirming that the physical chokepoint disruption remains severe.</x:v>
      </x:c>
      <x:c r="Q6" s="29" t="str">
        <x:v>China pressed Iran to restrain Houthi attacks, Saudi Arabia sought partial East-West pipeline restoration, and crude retreated on September 18. These developments show how diplomacy, restored bypass capacity or normalized Hormuz traffic can compress the premium quickly, although only four commodity vessels crossed Hormuz Thursday versus a 10-day average near 16.</x:v>
      </x:c>
      <x:c r="R6" s="29" t="str">
        <x:v>Mr Global remains an enhancer only; no new independently logged enhancer changed the thesis.</x:v>
      </x:c>
      <x:c r="S6" s="29" t="str">
        <x:v>Final September 18 confirmation was mixed but positive overall: BNO gained 5.84% and USO 6.41% from the September 8 open, while XOP lost 1.65%. The equal-weight paper portfolio gained 3.53%. Brent settled at $104.87 and WTI at $100.30; direct crude exposure confirmed the thesis while producer equities did not.</x:v>
      </x:c>
      <x:c r="T6" s="29" t="str">
        <x:v>Conditional only after a non-headline retracement or orderly consolidation with continued physical confirmation: BNO or USO for direct crude exposure; XOP/XLE only if producer breadth confirms. Futures retain leverage, roll and gap risk.</x:v>
      </x:c>
      <x:c r="U6" s="29" t="str">
        <x:v>Verified restoration of Saudi bypass capacity and normal Hormuz traffic, durable de-escalation, or a demand shock that offsets the supply loss.</x:v>
      </x:c>
      <x:c r="V6" s="43" t="n">
        <x:v>46271</x:v>
      </x:c>
      <x:c r="W6" s="43"/>
      <x:c r="X6" s="43" t="n">
        <x:v>46283</x:v>
      </x:c>
      <x:c r="Y6" s="29" t="str">
        <x:v>Yes</x:v>
      </x:c>
      <x:c r="Z6" s="29" t="str">
        <x:v>Yes</x:v>
      </x:c>
      <x:c r="AA6" s="29" t="str">
        <x:v>Yes</x:v>
      </x:c>
      <x:c r="AB6" s="29" t="str">
        <x:v>Yes</x:v>
      </x:c>
      <x:c r="AC6" s="29" t="str">
        <x:v>Yes</x:v>
      </x:c>
      <x:c r="AD6" s="29" t="str">
        <x:v>Closed at the scheduled September 18 evaluation. Economic variable: Yes — effective crude availability tightened and the supply-risk premium rose materially. Direction: Yes — Brent, WTI and the direct crude funds finished above the September 8 paper-entry baseline. Timing: Yes — confirmation occurred inside the days-to-weeks horizon. Investment expression: Yes — BNO gained 5.84% and USO 6.41%; XOP lost 1.65%, so the direct expressions worked while the producer-equity proxy did not. The three-position paper portfolio finished at $3,106.03, up $106.03 (+3.53%). Entry discipline: Yes — WAIT correctly flagged limited remaining edge and avoided turning a deliberately late paper test into a real-money headline chase; the portfolio surrendered more than half its peak paper gain as repair and diplomatic developments emerged. No real trade was made.</x:v>
      </x:c>
      <x:c r="AE6" s="31" t="n">
        <x:f>IF(COUNTA(Y6:AC6)=0,"",COUNTIF(Y6:AC6,"Yes")/COUNTA(Y6:AC6))</x:f>
        <x:v>1</x:v>
      </x:c>
    </x:row>
    <x:row r="7">
      <x:c r="A7" s="27" t="str">
        <x:v>EEI-2026-002</x:v>
      </x:c>
      <x:c r="B7" s="27" t="str">
        <x:v>Gas disruption and coal substitution</x:v>
      </x:c>
      <x:c r="C7" s="27" t="str">
        <x:v>Energy and materials</x:v>
      </x:c>
      <x:c r="D7" s="30" t="n">
        <x:v>46275</x:v>
      </x:c>
      <x:c r="E7" s="30" t="n">
        <x:v>46275.5</x:v>
      </x:c>
      <x:c r="F7" s="27" t="str">
        <x:v>Strong</x:v>
      </x:c>
      <x:c r="G7" s="27" t="str">
        <x:v>Supply chain</x:v>
      </x:c>
      <x:c r="H7" s="27" t="str">
        <x:v>Coal demand from fuel switching</x:v>
      </x:c>
      <x:c r="I7" s="27" t="str">
        <x:v>Up</x:v>
      </x:c>
      <x:c r="J7" s="27" t="str">
        <x:v>Weeks to months</x:v>
      </x:c>
      <x:c r="K7" s="27" t="n">
        <x:v>4</x:v>
      </x:c>
      <x:c r="L7" s="27" t="n">
        <x:v>2</x:v>
      </x:c>
      <x:c r="M7" s="27" t="str">
        <x:v>REJECT 2026-10-16</x:v>
      </x:c>
      <x:c r="N7" s="29" t="str">
        <x:v>Gas and LNG disruption is now producing longer-lived supply risk and observable coal-demand pressure. QatarEnergy said 17% of Qatar's LNG capacity is disabled, repairs to two trains may take three years, and later North Field expansion trains could be delayed.</x:v>
      </x:c>
      <x:c r="O7" s="29" t="str">
        <x:v>Constrained LNG availability and higher gas prices improve coal's relative economics where switching capacity exists. Heat-driven power demand and low coal stocks can add a second demand channel.</x:v>
      </x:c>
      <x:c r="P7" s="29" t="str">
        <x:v>QatarEnergy's chief executive said two damaged LNG trains may require three years of repairs and later expansion phases depend on restored Hormuz logistics. Separate Indian government data showed coal imports at a 15-month high and 74 power plants with critically low stocks as electricity demand surged. September 30: QatarEnergy extended force majeure for Edison deliveries into early December and for some Asian clients into November, showing that visible vessel transits have not restored contracted LNG supply. October 12: Reuters analysis using Kpler data said Qatar's October LNG exports were on track for only about 0.6 million tonnes as ship attacks intensified. U.S. LNG exports rose about 14% in 2026 to 123 million tonnes, but the global replacement gap remained large. This strengthens the physical LNG constraint and fuel-switching mechanism. October 13: European benchmark gas reached a wartime high near EUR86.79/MWh while storage was below 74%, versus roughly 90% seasonally, strengthening the gas-availability and substitution mechanism.</x:v>
      </x:c>
      <x:c r="Q7" s="29" t="str">
        <x:v>QatarEnergy said normal gas operations could resume within weeks if Hormuz reopens. Alternative LNG supply reduced the net global loss, India's low coal stocks may reflect temporary logistics, renewable generation is rising, and limited switching capacity restricts the mechanism. September 29 contradiction: visible Qatar-linked LNG tanker transits resumed after none were observed in August, showing partial logistical normalization. Force majeure and damaged-train constraints remain, so this does not yet invalidate the multi-year supply mechanism. September 30 contradiction: more Qatar-linked LNG tankers have resumed visible Hormuz transits, indicating partial route normalization even while force majeure remains in place. October 2 contradiction: September LNG shipments through Hormuz increased to 19-21 cargoes, and S&amp;P Global said sustained activity could restore October flows to about 25% of pre-war levels. Dark transits, naval-escort costs and winter escalation risk keep normalization incomplete. October 8: U.S. and Russian officials were reported to be exploring possible Nord Stream-related business structures, a potential long-run gas normalization channel. Existing U.S. and EU sanctions, German and Polish opposition and security concerns make implementation highly uncertain, so this is a modifier rather than current supply relief. October 12: higher U.S. LNG exports, resumed guarded transits and any durable Hormuz normalization could improve availability. The 0.6-million-tonne Qatar estimate is a current-month tracking estimate, not a final customs total, and the coal expression still lacks clean price or equity confirmation. No clean coal-price or producer-equity confirmation emerged, and potential Russian fuel relief remains a competing normalization channel.</x:v>
      </x:c>
      <x:c r="R7" s="29"/>
      <x:c r="S7" s="29" t="str">
        <x:v>The physical mechanism is stronger, but the investable mapping is not confirmed. LNG spot prices and coal demand indicators support fuel switching, while COAL fell about 3% in early September 21 pricing and public coal exposures remain grade-, geography- and policy-sensitive. September 29: resumed visible LNG transits weaken the scarcity signal at the margin, while no clean coal-price or public-equity confirmation justifies an entry. September 30: route evidence is mixed. Visible Qatar-linked transits increased, but force majeure remains extended into November or December for some customers. The supply mechanism remains Strong, while the investable mapping and entry remain unconfirmed. October 2: higher LNG transit counts strengthen the normalization countercase, but flows remain far below pre-war levels and do not yet supply a clean coal or public-equity entry signal. October 12: physical LNG evidence strengthened, but there is no new coal-price or public-equity confirmation and the U.S. cash market had not supplied a fresh regular-session signal by scan time. Status remains Strong 4/5, trading edge 2/5 and WAIT. October 13: gas-market confirmation strengthened, but the indirect coal expression remains unconfirmed. EEI-2026-002 stays Strong 4/5, edge 2/5 and WAIT.</x:v>
      </x:c>
      <x:c r="T7" s="29" t="str">
        <x:v>REJECT current coal-equity entry. The LNG constraint is supported, but the coal mapping remains indirect and lacks price/equity confirmation. Reassess after final October Qatar export and coal-burn data; no live order.</x:v>
      </x:c>
      <x:c r="U7" s="29" t="str">
        <x:v>Hormuz reopens and Qatari LNG operations normalize, alternative LNG supply fully offsets lost volumes, coal imports and burn fail to rise, or renewable output and demand destruction absorb the shock.</x:v>
      </x:c>
      <x:c r="V7" s="43" t="n">
        <x:v>46275</x:v>
      </x:c>
      <x:c r="W7" s="43" t="n">
        <x:v>46328</x:v>
      </x:c>
      <x:c r="X7" s="43"/>
      <x:c r="Y7" s="29"/>
      <x:c r="Z7" s="29"/>
      <x:c r="AA7" s="29"/>
      <x:c r="AB7" s="29"/>
      <x:c r="AC7" s="29"/>
      <x:c r="AD7" s="29" t="str">
        <x:v>Open. Promoted from Developing to Strong on September 21 after QatarEnergy disclosed a multi-year repair burden and possible LNG expansion delays, while Indian government data showed stronger coal demand and critically low plant stocks. October 1 checkpoint: partial route normalization and continued customer force majeure remain offsetting evidence; stage stays Strong at 4/5 confidence, 2/5 trading edge and WAIT. The outcome horizon has not matured, so all five formal outcome fields remain blank. Next review October 15. Initial Prediction Frozen was not changed. October 2 checkpoint: LNG logistics improved to their best month since the war began, but only toward a possible 25% of pre-war volume. EEI-2026-002 remains Strong at 4/5 confidence, 2/5 trading edge and WAIT; no outcome field was scored early. October 8: exploratory Nord Stream talks add a distant normalization scenario but do not change current LNG damage, force majeure or coal-switching evidence. EEI-2026-002 remains Strong 4/5, edge 2/5 and WAIT. Initial Prediction Frozen was not changed. October 12: EEI-2026-002 remains Strong at 4/5 confidence, 2/5 trading edge and WAIT. Qatar's sharply constrained tracked exports reinforce the economic variable, while alternative supply and partial transit normalization still limit the investable mapping. Initial Prediction Frozen was not changed. October 13: higher European gas and low storage support the economic variable, but do not activate the coal expression. Stage, confidence, edge and Entry Window are unchanged. Initial Prediction Frozen was not changed. October 16 decision review: REJECT current entry rather than renew WAIT. Physical LNG evidence remains strong, but no clean coal expression or market confirmation exists. Next evidence checkpoint November 2; no outcome field scored early.</x:v>
      </x:c>
      <x:c r="AE7" s="31" t="str">
        <x:f>IF(COUNTA(Y7:AC7)=0,"",COUNTIF(Y7:AC7,"Yes")/COUNTA(Y7:AC7))</x:f>
      </x:c>
    </x:row>
    <x:row r="8">
      <x:c r="A8" s="27" t="str">
        <x:v>EEI-2026-003</x:v>
      </x:c>
      <x:c r="B8" s="27" t="str">
        <x:v>2026 midterm political shift</x:v>
      </x:c>
      <x:c r="C8" s="27" t="str">
        <x:v>Multi-sector</x:v>
      </x:c>
      <x:c r="D8" s="30" t="n">
        <x:v>46274</x:v>
      </x:c>
      <x:c r="E8" s="30" t="n">
        <x:v>46274.5</x:v>
      </x:c>
      <x:c r="F8" s="27" t="str">
        <x:v>Strong</x:v>
      </x:c>
      <x:c r="G8" s="27" t="str">
        <x:v>Political and policy</x:v>
      </x:c>
      <x:c r="H8" s="27" t="str">
        <x:v>Market breadth, policy expectations and sector leadership</x:v>
      </x:c>
      <x:c r="I8" s="27" t="str">
        <x:v>Mixed to up</x:v>
      </x:c>
      <x:c r="J8" s="27" t="str">
        <x:v>Weeks to months</x:v>
      </x:c>
      <x:c r="K8" s="27" t="n">
        <x:v>5</x:v>
      </x:c>
      <x:c r="L8" s="27" t="n">
        <x:v>1</x:v>
      </x:c>
      <x:c r="M8" s="27" t="str">
        <x:v>REJECT 2026-10-16</x:v>
      </x:c>
      <x:c r="N8" s="29" t="str">
        <x:v>Reuters reported on October 1 that Democrats are competitive in ten states Trump won by double digits in 2024, while Republican leaders increasingly fear losing Senate control. The broader map materially strengthens the political-shift signal but remains polling and campaign behavior rather than an election result.</x:v>
      </x:c>
      <x:c r="O8" s="29" t="str">
        <x:v>Expected changes in fiscal, regulatory and sector policy could alter risk appetite and relative performance.</x:v>
      </x:c>
      <x:c r="P8" s="29" t="str">
        <x:v>Cook's House ratings, Reuters/Ipsos national evidence and October 1 Reuters reporting now show the possible Senate path broadening into normally Republican states. Separate Reuters reporting found a $4.9 million super-PAC defense of Florida despite its safe-Republican rating, while Republican leaders told Reuters they expect to lose at least two Senate seats and increasingly fear losing the chamber. October 6: Reuters/Ipsos found Democrats leading 44%-37% among registered voters, 37%-21% among independents and 52%-26% among Hispanic voters; Trump approval was 32%, and Reuters said analysts expect a Democratic House while the Senate remains contested. Ohio early voting began with one Senate and two House races rated toss-ups. October 7: AP reported that Republicans' roughly $1 billion cash advantage has produced limited polling movement, outside groups are paying much higher late-cycle advertising rates, Democrats are expanding House targets into Arkansas and Tennessee, and Republican Senate resources are being pulled back in North Carolina. October 8: AP reported Democrats remain favored to make substantial House gains while Republicans are targeting a narrower group of vulnerable Democratic districts in New Hampshire, New York, Ohio, Nevada and New Mexico. October 9: Reuters reported that Democrats are expanding House targets into districts Trump carried by more than 20 points, while roughly three dozen House races remain competitive. The evidence continues to favor a possible House-control shift. October 10: Reuters reported that Democrats added 14 Republican-held districts to their target list, expanding it to 66 seats, while some Republican-aligned groups began defensive spending in newly targeted districts. A Reuters/Ipsos poll found 78% of adults blamed White House policies for higher costs, and the University of Michigan consumer-sentiment index fell to 46.3, with current conditions at a record-low 44.7. October 11: AP documented tariff-linked layoffs and closures in competitive Michigan, Iowa, Kansas and Ohio districts, while an AP-NORC poll found only about three in ten adults approved of the administration's trade handling and more than 64% said tariffs had gone too far. This reinforces cost-of-living and manufacturing pressure on the governing party. October 12: a $22.3 million-volume prediction market priced a Democratic sweep at 62% and a Democratic House with Republican Senate at 29%. The Washington Post reported that recent polling has made a Democratic Senate a serious possibility after months in which Republicans mainly expected to lose the House. October 13: Reuters reported Democrats are positioned to win the House and have an edge in the Senate, with potential subpoena-led scrutiny of banks, crypto, AI and housing if control shifts. AP reported that Republican concern has made Alaska competitive enough for a presidential campaign visit, adding a difficult-state Senate data point. October 14: Republican super PAC cancellations in four House races and Democratic expansion toward roughly a dozen additional targets strengthen the House-control branch. The Democratic agenda is now clearer: health subsidies, Medicaid reversals, tariff challenges, war-powers votes and oversight would be early priorities if the House flips.</x:v>
      </x:c>
      <x:c r="Q8" s="29" t="str">
        <x:v>Polls and spending are not votes; Democrats must defend two Trump-carried seats and flip four Republican seats, including at least two deep-red states. Republicans still hold large funding advantages in several battlegrounds. The 10-year Treasury yield reached 5.34% before easing near 5.28%, and broad/cyclical premarket participation remained weak. October 2 market contradiction: the 10-year Treasury yield reached 5.34%, its highest in 24 years, while Reuters described equities as highly dependent on AI spending. Political-control evidence remains strong, but rates and concentration still block an investable breadth signal. October 6 contradiction: the Senate still begins 53-47 Republican, Democrats need a net four seats, 28% of independents remain undecided, the 10-year Treasury yield was near 5.28%, and Nasdaq leadership remained concentrated in AI beneficiaries. October 7 contradiction: Republicans still hold a substantial funding advantage, polling and spending are not votes, and Senate control remains structurally difficult for Democrats. The 10-year term premium reached a 12-year high near 96 basis points while long yields stayed near 24-year highs. October 8 contradiction: competitive district-level Republican opportunities and unresolved Senate control limit certainty. Brent moved above $104, the 10-year Treasury yield held near 5.34%, and oil-driven inflation risk intensified. October 9: Senate control remains structurally harder: Democrats must defend Michigan and New Hampshire and flip four seats from a difficult set including Alaska, Maine, North Carolina, Ohio, Iowa and Texas. Pimco warned the 10-year Treasury yield could approach 6%; it was about 5.29%, a material risk to breadth and rate-sensitive expressions. October 10: many newly targeted districts remain rated safely Republican, analysts want to see actual Democratic spending, Republicans retain a funding advantage, and Senate control is still structurally harder. Consumer weakness is uneven because wealthy households and equity gains continue supporting aggregate spending. October 11: tariffs were not the sole cause of every layoff, some affected voters still planned to support Republicans, and anecdotal worker reactions do not resolve district turnout or the structurally difficult Senate map. October 12: Democrats still need four net Senate seats, including at least two states Trump won by double digits in 2024. Prediction-market prices are not polls or votes and may be affected by participant mix, liquidity and regulatory controversy. The Senate map remains structurally hard, Republicans retain a large cash advantage, and only about 40-50 House races are genuinely competitive. Polls and campaign travel are not votes. Hawkish Fed commentary and elevated inflation/rate risk remain adverse to breadth. The Senate remains difficult, the agenda would still face Senate math and presidential vetoes, and prediction-market positioning is unusually concentrated: roughly 70% of congressional-market volume came from the top 1% of wallets. Betting odds therefore receive limited evidentiary weight.</x:v>
      </x:c>
      <x:c r="R8" s="29"/>
      <x:c r="S8" s="29" t="str">
        <x:v>October 1 near 8:05 a.m. ET: SPY was about -0.20%, RSP -0.69%, IWM -0.37%, XLI -1.27%, XLF -1.16%, XLV -1.34%, XLB -0.82% and CPER -0.43%; XBI was the lone tracked positive at about +0.55%. The 10-year yield remained near 5.28% after touching 5.34%. Political confirmation strengthened, but the broad-market mechanism did not. October 2: the S&amp;P 500 was up 12% in 2026 and less than 2% below its August record, yet 5.34% Treasury yields and AI-capex concentration weaken the equal-weight and cyclical confirmation needed for entry. October 2 close: the Russell 2000 gained 0.9% and advancing issues led 1.67-to-1 on the NYSE and 1.34-to-1 on Nasdaq, modestly improving breadth. The Nasdaq still led at 1.19%, and the 10-year yield finished near 5.26%, so the improvement is insufficient for an investable breadth signal. October 6: election-control evidence strengthened, but the Nasdaq was at a record while equal-weight/cyclical confirmation remained insufficient and long yields stayed above 5%. Entry Window remains WAIT. October 7: the S&amp;P 500 and Nasdaq were at records on AI-led earnings expectations, but the Russell 2000 fell 0.6% on October 6 and the 10-year yield remained above 5%. Political evidence strengthened modestly; the required equal-weight, small-cap and cyclical breadth confirmation did not. October 8 premarket: SPY indications were about -0.2%, RSP -0.8% and IWM -1.3%. Equal-weight and small-cap participation weakened again as oil and yields rose, so the political signal still lacks the market-breadth confirmation required for entry. October 9: equity futures improved as oil retreated, but leadership remained technology-heavy rather than a demonstrated equal-weight or small-cap breadth regime. The conditional market expression remains inactive. October 10: the political-control signal strengthened incrementally, but no new equal-weight, small-cap, cyclical, rate or inflation confirmation activated the conditional market expression. Entry Window remains WAIT. October 11: the weekend political evidence supports the House-control trigger but supplied no new cash-market breadth, small-cap, cyclical, rate or inflation confirmation. Entry Window remains WAIT. October 12: political positioning strengthened, but U.S. regular-session confirmation was unavailable at scan time. The latest completed market data still showed high long yields and concentrated leadership; no durable equal-weight, small-cap or cyclical regime shift is established. Entry Window remains WAIT. October 13 premarket: S&amp;P 500 futures were about 0.1% lower, Nasdaq futures about 0.6% lower and AI/chip leadership weakened sharply in Asia. Political-control evidence strengthened, but equal-weight, small-cap and cyclical confirmation remains absent. October 14: political-control evidence strengthened, but breadth remains narrow, the 10-year yield was near 5.21% and CPI risk remains unresolved. EEI-2026-003 stays Strong 5/5, edge 1/5 and WAIT.</x:v>
      </x:c>
      <x:c r="T8" s="29" t="str">
        <x:v>REJECT current breadth trade. The election signal is strong, but chamber control is unresolved and inflation, rates and breadth do not support a clean expression. Reassess after the November 3 election; no live order.</x:v>
      </x:c>
      <x:c r="U8" s="29" t="str">
        <x:v>Political-control uncertainty remains unresolved, or breadth fails to broaden; earnings revisions weaken; oil and inflation stay elevated; Treasury yields hold above 5%; or the candidate sectors fail to outperform SPY as the election approaches.</x:v>
      </x:c>
      <x:c r="V8" s="43" t="n">
        <x:v>46274</x:v>
      </x:c>
      <x:c r="W8" s="43" t="n">
        <x:v>46330</x:v>
      </x:c>
      <x:c r="X8" s="43"/>
      <x:c r="Y8" s="29"/>
      <x:c r="Z8" s="29"/>
      <x:c r="AA8" s="29"/>
      <x:c r="AB8" s="29"/>
      <x:c r="AC8" s="29"/>
      <x:c r="AD8" s="29" t="str">
        <x:v>Strong at confidence 4/5 and trading edge 1/5. October 1 Reuters reporting materially widened the possible Democratic Senate path and documented defensive Republican spending in Florida, but polling error, funding gaps and an adverse rates/breadth backdrop prevent promotion to Actionable. Entry Window remains WAIT and inactive because the thesis is not Actionable. Initial Prediction Frozen was not changed. October 2 checkpoint: Reuters tied possible full Democratic control to policy risk and a potential pre-election pullback, but the rate and breadth backdrop remains adverse. EEI-2026-003 stays Strong at 4/5 confidence, 1/5 trading edge and WAIT. October 3 checkpoint: Ohio remains one of eight competitive Senate races, and Friday small-cap and advance-decline breadth improved after soft payrolls. High yields and continued mega-cap leadership keep the thesis Strong at 4/5 confidence, 1/5 trading edge and WAIT. No outcome field was scored early. October 6: confidence increased from 4/5 to 5/5 as national and Ohio evidence strengthened the probability of a House shift and a competitive Senate. Stage remains Strong, trading edge 1/5 and Entry Window WAIT because control is unresolved and the required breadth/rates confirmation is absent. October 7: EEI-2026-003 remains Strong at 5/5 confidence, edge 1/5 and WAIT. Late Republican spending inefficiency supports the control-shift probability, but chamber outcomes, rates and breadth remain unresolved. Initial Prediction Frozen was not changed. October 8: EEI-2026-003 remains Strong at 5/5 confidence, edge 1/5 and WAIT. House-shift evidence remains strong, but chamber outcomes, high yields and weak equal-weight/small-cap breadth keep the conditional expression inactive. Initial Prediction Frozen was not changed. October 9: EEI-2026-003 remains Strong at 5/5 confidence, 1/5 trading edge and WAIT. House evidence is strong, but Senate difficulty, high yields and narrow leadership still prevent a chamber-control or breadth-based entry. Initial Prediction Frozen was not changed. October 10: EEI-2026-003 remains Strong at 5/5 confidence, 1/5 trading edge and WAIT. The House battlefield and cost-of-living evidence strengthened, but chamber outcomes and the required market-breadth/rates confirmation remain unresolved. Initial Prediction Frozen was not changed. October 11: EEI-2026-003 remains Strong at 5/5 confidence, 1/5 trading edge and WAIT. Tariff backlash adds district-level economic evidence, but chamber outcomes and the required market confirmation remain unresolved. Initial Prediction Frozen was not changed. October 12: EEI-2026-003 remains Strong at 5/5 confidence, 1/5 trading edge and WAIT. The Senate-control branch is now more credible and is a meaningful thesis update, but the election is unresolved and the required rates and breadth confirmation remains absent. Initial Prediction Frozen was not changed. October 13: policy implications are now more concrete for financials, crypto, AI and housing oversight, and Alaska adds incremental Senate evidence. EEI-2026-003 remains Strong 5/5, edge 1/5 and WAIT because the election is unresolved and rates/breadth do not confirm the conditional market expression. Initial Prediction Frozen was not changed. October 14: House-control evidence and the conditional policy map strengthened, but the Senate, veto, rates and breadth modifiers prevent an Entry Window change. Stage, confidence, edge and WAIT are unchanged. Initial Prediction Frozen was not changed. October 16 decision review: REJECT a pre-election breadth entry rather than renew WAIT. Hot import prices and unresolved chamber control keep the trade setup adverse. Next review November 4; frozen prediction unchanged.</x:v>
      </x:c>
      <x:c r="AE8" s="31" t="str">
        <x:f>IF(COUNTA(Y8:AC8)=0,"",COUNTIF(Y8:AC8,"Yes")/COUNTA(Y8:AC8))</x:f>
      </x:c>
    </x:row>
    <x:row r="9">
      <x:c r="A9" s="27" t="str">
        <x:v>EEI-2026-004</x:v>
      </x:c>
      <x:c r="B9" s="27" t="str">
        <x:v>Energy inflation and higher-for-longer rates</x:v>
      </x:c>
      <x:c r="C9" s="27" t="str">
        <x:v>Macro and fixed income</x:v>
      </x:c>
      <x:c r="D9" s="30" t="n">
        <x:v>46276.51043981482</x:v>
      </x:c>
      <x:c r="E9" s="30" t="n">
        <x:v>46276.51043981482</x:v>
      </x:c>
      <x:c r="F9" s="27" t="str">
        <x:v>Closed</x:v>
      </x:c>
      <x:c r="G9" s="27" t="str">
        <x:v>Economic data and market repricing</x:v>
      </x:c>
      <x:c r="H9" s="27" t="str">
        <x:v>U.S. producer inflation, Fed policy expectations and long-term Treasury yields</x:v>
      </x:c>
      <x:c r="I9" s="27" t="str">
        <x:v>Up</x:v>
      </x:c>
      <x:c r="J9" s="27" t="str">
        <x:v>Days to weeks</x:v>
      </x:c>
      <x:c r="K9" s="27" t="n">
        <x:v>4</x:v>
      </x:c>
      <x:c r="L9" s="27" t="n">
        <x:v>1</x:v>
      </x:c>
      <x:c r="M9" s="27" t="str">
        <x:v>WAIT</x:v>
      </x:c>
      <x:c r="N9" s="29" t="str">
        <x:v>Triple-digit crude and widened physical premiums reinforced the energy-inflation channel before the September 16 Federal Reserve decision.</x:v>
      </x:c>
      <x:c r="O9" s="29" t="str">
        <x:v>Higher fuel, freight and replacement-barrel costs can pass into producer prices and inflation expectations, keeping policy expectations and term yields elevated and pressuring long-duration bonds.</x:v>
      </x:c>
      <x:c r="P9" s="29" t="str">
        <x:v>The Federal Reserve raised the federal-funds target range 25 basis points to 3.75%-4.00% on September 16 in a unanimous 12-0 decision and said inflation remains elevated. Most policymakers projected at least one additional increase in 2026.</x:v>
      </x:c>
      <x:c r="Q9" s="29" t="str">
        <x:v>The hike was widely expected. Long-duration Treasury yields edged lower after the decision while equity futures rose, weakening TBF as the clean expression. A temporary supply shock, growth slowdown, repaired energy logistics or later policy reversal could limit the thesis.</x:v>
      </x:c>
      <x:c r="R9" s="29"/>
      <x:c r="S9" s="29" t="str">
        <x:v>Economic and policy confirmation strengthened, but market confirmation for the long-yield expression weakened: short yields rose while longer yields eased and equity futures advanced. The rate path was largely priced before the announcement.</x:v>
      </x:c>
      <x:c r="T9" s="29" t="str">
        <x:v>TBF only after a non-gap yield breakout holds or after a retracement that preserves the inflation thesis; SGOV or BIL remain defensive cash-like alternatives. TLT becomes relevant only if the thesis invalidates. Duration, policy-reversal and daily-pricing risks apply.</x:v>
      </x:c>
      <x:c r="U9" s="29" t="str">
        <x:v>Oil and physical premiums retreat and remain lower, the Fed signals it will look through the shock, hike expectations fall, and long yields fail to hold their breakout.</x:v>
      </x:c>
      <x:c r="V9" s="43" t="str">
        <x:v>2026-09-11: Energy-led producer inflation will keep Fed expectations and long Treasury yields biased upward over days to weeks, causing long-duration bonds to underperform short-duration Treasury exposure. Initial Entry Window: WAIT pending CPI and a non-chasing setup.</x:v>
      </x:c>
      <x:c r="W9" s="43"/>
      <x:c r="X9" s="43" t="n">
        <x:v>46283</x:v>
      </x:c>
      <x:c r="Y9" s="29" t="str">
        <x:v>Yes</x:v>
      </x:c>
      <x:c r="Z9" s="29" t="str">
        <x:v>No</x:v>
      </x:c>
      <x:c r="AA9" s="29" t="str">
        <x:v>Yes</x:v>
      </x:c>
      <x:c r="AB9" s="29" t="str">
        <x:v>No</x:v>
      </x:c>
      <x:c r="AC9" s="29" t="str">
        <x:v>Yes</x:v>
      </x:c>
      <x:c r="AD9" s="29" t="str">
        <x:v>Closed after the scheduled September 18 evaluation. Economic variable: Yes — energy inflation and tighter policy expectations were economically relevant, and the Federal Reserve raised its target range 25 basis points. Direction: No — the predicted rise in long-term Treasury yields did not hold; the 10-year yield fell back below 5%. Timing: Yes — the policy and bond-market responses occurred inside the days-to-weeks horizon. Investment expression: No — TBF fell while TLT rose, so the intended long-duration-underperformance expression failed. Entry discipline: Yes — WAIT prevented entry into the failed expression. No real trade was made.</x:v>
      </x:c>
      <x:c r="AE9" s="31" t="n">
        <x:f>IF(COUNTA(Y9:AC9)=0,"",COUNTIF(Y9:AC9,"Yes")/COUNTA(Y9:AC9))</x:f>
        <x:v>0.6</x:v>
      </x:c>
    </x:row>
    <x:row r="10">
      <x:c r="A10" s="27" t="str">
        <x:v>EEI-2026-005</x:v>
      </x:c>
      <x:c r="B10" s="27" t="str">
        <x:v>Bristol Myers growth-portfolio offset</x:v>
      </x:c>
      <x:c r="C10" s="27" t="str">
        <x:v>Healthcare</x:v>
      </x:c>
      <x:c r="D10" s="30" t="n">
        <x:v>46278</x:v>
      </x:c>
      <x:c r="E10" s="30" t="n">
        <x:v>46279.38055555556</x:v>
      </x:c>
      <x:c r="F10" s="27" t="str">
        <x:v>Developing</x:v>
      </x:c>
      <x:c r="G10" s="27" t="str">
        <x:v>Motley Fool idea trigger</x:v>
      </x:c>
      <x:c r="H10" s="27" t="str">
        <x:v>Growth-portfolio revenue and cash flow relative to legacy-drug erosion</x:v>
      </x:c>
      <x:c r="I10" s="27" t="str">
        <x:v>Up relative to legacy decline</x:v>
      </x:c>
      <x:c r="J10" s="27" t="str">
        <x:v>Quarters to years</x:v>
      </x:c>
      <x:c r="K10" s="27" t="n">
        <x:v>4</x:v>
      </x:c>
      <x:c r="L10" s="27" t="n">
        <x:v>3</x:v>
      </x:c>
      <x:c r="M10" s="27" t="str">
        <x:v>WAIT</x:v>
      </x:c>
      <x:c r="N10" s="29" t="str">
        <x:v>A September 13 free Motley Fool article highlighted BMY's yield and growth portfolio as a possible offset to the patent cliff. Motley Fool is recorded only as the trigger, not confirmation.</x:v>
      </x:c>
      <x:c r="O10" s="29" t="str">
        <x:v>If newer medicines keep growing fast enough, aggregate revenue and free cash flow can stabilize despite mature-product erosion, supporting debt reduction and dividend coverage.</x:v>
      </x:c>
      <x:c r="P10" s="29" t="str">
        <x:v>BMY's SEC-filed Q2 release reported total revenue of $13.0 billion, up 6%, Growth Portfolio revenue of $7.6 billion, up 15%, and raised 2026 guidance to $49-$50 billion revenue and $6.75-$7.00 non-GAAP EPS. On September 25, detailed Phase 3 EXCALIBER-RRMM results showed MRD-negative complete response of 41.1% with ZENBEXUS versus 20.7% for the comparator, overall response of 88.9% versus 76.1%, and complete response or better of 45.9% versus 24.9%. October 13: two additional pivotal Phase 3 readouts independently strengthen the growth-portfolio mechanism. Admilparant 60 mg twice daily met the ALOFT-IPF primary endpoint with favorable topline safety, and RYZ101 produced a statistically significant, clinically meaningful progression-free-survival improvement at the planned ACTION-1 interim analysis.</x:v>
      </x:c>
      <x:c r="Q10" s="29" t="str">
        <x:v>Legacy portfolio revenue still fell 4%; major exclusivity losses remain multi-year; long-term debt was about $42.1 billion at quarter-end; and one strong quarter does not prove the portfolio can offset the full patent cliff. ZENBEXUS progression-free-survival confirmation is still ongoing, while Grade 3/4 neutropenia was 84.3% versus 11.3% and Grade 3/4 infections were 39.2% versus 21.6%, limiting commercial certainty. October 8: a new free Motley Fool yield article explicitly acknowledged that Bristol Myers still has no clear replacement winner for upcoming patent losses. The opinion repeats the thesis risk and supplies no new operating, cash-flow, dividend-coverage or debt evidence. Admilparant's 120 mg dose missed statistical significance, full effect sizes and regulatory plans remain undisclosed, and the rare GEP-NET population limits near-term RYZ101 materiality. BMY fell 2.6% to $57.58 on high volume, showing that investors viewed the dose response and incomplete data as confounding. Legacy-drug erosion, cash-flow coverage and debt reduction still require the October 29 report.</x:v>
      </x:c>
      <x:c r="R10" s="29"/>
      <x:c r="S10" s="29" t="str">
        <x:v>BMY traded near $63.64 during the scan without a distinct new breakout tied to the article. Fundamental confirmation exists, but sustained post-earnings relative strength and another quarter of growth/FCF evidence are still needed. October 13: BMY's 2.6% decline despite two positive topline studies is adverse market confirmation; it improves valuation at the margin but does not establish an entry while full datasets, regulatory paths and portfolio-level offset remain unresolved.</x:v>
      </x:c>
      <x:c r="T10" s="29" t="str">
        <x:v>BMY shares are the direct conditional expression; a broad pharma ETF dilutes company-specific upside. WAIT for either another quarter confirming growth-portfolio/FCF durability or a non-chasing pullback that holds after guidance is digested. Dividend, pipeline, patent and leverage risks apply.</x:v>
      </x:c>
      <x:c r="U10" s="29" t="str">
        <x:v>Growth Portfolio growth falls below the pace needed to offset legacy erosion, guidance is cut, operating cash flow weakens, leverage rises, or dividend coverage deteriorates.</x:v>
      </x:c>
      <x:c r="V10" s="43" t="str">
        <x:v>2026-09-14: Newer-product growth will partially offset legacy erosion over coming quarters, but the size and durability of the offset remain unproven. Initial Entry Window: WAIT pending another quarter and cash-flow/debt confirmation.</x:v>
      </x:c>
      <x:c r="W10" s="43" t="n">
        <x:v>46325</x:v>
      </x:c>
      <x:c r="X10" s="43"/>
      <x:c r="Y10" s="29"/>
      <x:c r="Z10" s="29"/>
      <x:c r="AA10" s="29"/>
      <x:c r="AB10" s="29"/>
      <x:c r="AC10" s="29"/>
      <x:c r="AD10" s="29" t="str">
        <x:v>Open. September 27 review added detailed ZENBEXUS Phase 3 response-depth and safety evidence. The result supports the growth-portfolio mechanism but does not yet quantify patent-cliff offset, and confirmatory progression-free survival remains pending. Motley Fool remains trigger only. Stage stays Developing at 3/5 confidence and 3/5 trading edge; Entry Window stays WAIT pending another quarter of growth-portfolio, cash-flow and debt confirmation. Initial Prediction Frozen was not changed. October 8: the new Motley Fool article is trigger commentary only and does not confirm the growth-portfolio offset. BMY remains Developing 3/5, edge 3/5 and WAIT pending October 29 results. Initial Prediction Frozen was not changed. October 13: confidence increased from 3/5 to 4/5 because two independent Phase 3 successes broaden the confirmed growth pipeline. Stage remains Developing, trading edge 3/5 and Entry Window WAIT pending full data, October 29 growth-portfolio revenue, legacy erosion, cash flow and debt evidence. Initial Prediction Frozen was not changed.</x:v>
      </x:c>
      <x:c r="AE10" s="31" t="str">
        <x:f>IF(COUNTA(Y10:AC10)=0,"",COUNTIF(Y10:AC10,"Yes")/COUNTA(Y10:AC10))</x:f>
      </x:c>
    </x:row>
    <x:row r="11">
      <x:c r="A11" s="27" t="str">
        <x:v>EEI-2026-006</x:v>
      </x:c>
      <x:c r="B11" s="27" t="str">
        <x:v>lululemon turnaround and demand stabilization</x:v>
      </x:c>
      <x:c r="C11" s="27" t="str">
        <x:v>Consumer discretionary</x:v>
      </x:c>
      <x:c r="D11" s="30" t="n">
        <x:v>46278</x:v>
      </x:c>
      <x:c r="E11" s="30" t="n">
        <x:v>46279.38055555556</x:v>
      </x:c>
      <x:c r="F11" s="27" t="str">
        <x:v>Hypothesis</x:v>
      </x:c>
      <x:c r="G11" s="27" t="str">
        <x:v>Motley Fool idea trigger</x:v>
      </x:c>
      <x:c r="H11" s="27" t="str">
        <x:v>Comparable sales, inventory quality and gross margin</x:v>
      </x:c>
      <x:c r="I11" s="27" t="str">
        <x:v>Stabilize then up</x:v>
      </x:c>
      <x:c r="J11" s="27" t="str">
        <x:v>Two to six quarters</x:v>
      </x:c>
      <x:c r="K11" s="27" t="n">
        <x:v>2</x:v>
      </x:c>
      <x:c r="L11" s="27" t="n">
        <x:v>2</x:v>
      </x:c>
      <x:c r="M11" s="27" t="str">
        <x:v>WAIT</x:v>
      </x:c>
      <x:c r="N11" s="29" t="str">
        <x:v>A September 13 free Motley Fool article argued that LULU may be nearing a bottom as a new chief executive begins a turnaround. Motley Fool is the idea trigger only.</x:v>
      </x:c>
      <x:c r="O11" s="29" t="str">
        <x:v>Product and brand repair could restore traffic and comparable sales, improve inventory productivity and rebuild gross margin, allowing depressed earnings expectations to stabilize.</x:v>
      </x:c>
      <x:c r="P11" s="29" t="str">
        <x:v>The valuation and price decline create optionality if operating measures stop worsening; incoming leadership is a potential implementation modifier. October 8: lululemon filed an October 7 leadership restructuring that appointed former Nike executive Maggie Gauger chief product officer and expanded CFO Meghan Frank's interim brand and technology responsibilities.</x:v>
      </x:c>
      <x:c r="Q11" s="29" t="str">
        <x:v>Q2 revenue fell about 4% to $2.42 billion, global comparable sales fell 9%, Americas comps fell 12%, gross margin weakened excluding a tariff refund, and full-year revenue guidance was cut to a 5%-7% decline. The core economic variable is still deteriorating. October 8: the leadership reset may improve product execution, but it supplies no comparable-sales, inventory, gross-margin or brand-demand confirmation and adds organizational execution risk.</x:v>
      </x:c>
      <x:c r="R11" s="29"/>
      <x:c r="S11" s="29" t="str">
        <x:v>LULU traded near $98.97, close to recent lows. Low valuation and a large historical drawdown are not market confirmation of a turnaround.</x:v>
      </x:c>
      <x:c r="T11" s="29" t="str">
        <x:v>LULU shares only after comparable sales, inventories and underlying gross margin show a verified turn; consumer-discretionary ETFs are too diluted. WAIT. Brand, fashion-cycle, tariff, margin and falling-knife risks are high.</x:v>
      </x:c>
      <x:c r="U11" s="29" t="str">
        <x:v>Comparable sales and traffic continue to deteriorate, inventories rise faster than sales, underlying gross margin keeps falling, or the new product/leadership plan fails to improve demand.</x:v>
      </x:c>
      <x:c r="V11" s="43" t="str">
        <x:v>2026-09-14: A turnaround could eventually stabilize comparable sales and margins, but current evidence still points down. Initial Entry Window: WAIT until operating data turn rather than valuation alone.</x:v>
      </x:c>
      <x:c r="W11" s="43" t="n">
        <x:v>46360</x:v>
      </x:c>
      <x:c r="X11" s="43"/>
      <x:c r="Y11" s="29"/>
      <x:c r="Z11" s="29"/>
      <x:c r="AA11" s="29"/>
      <x:c r="AB11" s="29"/>
      <x:c r="AC11" s="29"/>
      <x:c r="AD11" s="29" t="str">
        <x:v>Open. The Motley Fool article supplied a research trigger, but primary operating evidence contradicts the thesis. Classified Hypothesis at 2/5 confidence, 2/5 edge, Entry Window WAIT. October 8: leadership changes are a relevant turnaround input but not proof that the operating variable has stabilized. LULU remains Hypothesis 2/5, edge 2/5 and WAIT. Initial Prediction Frozen was not changed.</x:v>
      </x:c>
      <x:c r="AE11" s="31" t="str">
        <x:f>IF(COUNTA(Y11:AC11)=0,"",COUNTIF(Y11:AC11,"Yes")/COUNTA(Y11:AC11))</x:f>
      </x:c>
    </x:row>
    <x:row r="12">
      <x:c r="A12" s="27" t="str">
        <x:v>EEI-2026-007</x:v>
      </x:c>
      <x:c r="B12" s="27" t="str">
        <x:v>AeroVironment autonomous-systems backlog</x:v>
      </x:c>
      <x:c r="C12" s="27" t="str">
        <x:v>Defense and aerospace</x:v>
      </x:c>
      <x:c r="D12" s="30" t="n">
        <x:v>46274</x:v>
      </x:c>
      <x:c r="E12" s="30" t="n">
        <x:v>46279.38055555556</x:v>
      </x:c>
      <x:c r="F12" s="27" t="str">
        <x:v>Strong</x:v>
      </x:c>
      <x:c r="G12" s="27" t="str">
        <x:v>Motley Fool idea trigger</x:v>
      </x:c>
      <x:c r="H12" s="27" t="str">
        <x:v>Autonomous-systems bookings, backlog conversion and profitable revenue</x:v>
      </x:c>
      <x:c r="I12" s="27" t="str">
        <x:v>Up</x:v>
      </x:c>
      <x:c r="J12" s="27" t="str">
        <x:v>Quarters to years</x:v>
      </x:c>
      <x:c r="K12" s="27" t="n">
        <x:v>4</x:v>
      </x:c>
      <x:c r="L12" s="27" t="n">
        <x:v>2</x:v>
      </x:c>
      <x:c r="M12" s="27" t="str">
        <x:v>WAIT</x:v>
      </x:c>
      <x:c r="N12" s="29" t="str">
        <x:v>A September 9 free Motley Fool article highlighted AVAV's record results and counter-drone demand. Motley Fool is the trigger only; SEC filings supply the confirmation.</x:v>
      </x:c>
      <x:c r="O12" s="29" t="str">
        <x:v>Higher defense demand for autonomous systems and counter-drone capabilities raises bookings and funded backlog, which can convert into revenue and operating leverage if execution and accounting controls hold.</x:v>
      </x:c>
      <x:c r="P12" s="29" t="str">
        <x:v>AVAV's SEC-filed Q1 data showed $480.5 million revenue, Autonomous Systems revenue of $346 million up 21%, bookings of $683 million, a 1.4 book-to-bill ratio and funded backlog near $1.46 billion, with 78% expected in fiscal 2027. October 9: AeroVironment disclosed that wholly owned VideoRay will support an AEVEX-led team selected as one of three awardees for a U.S. Navy and Defense Innovation Unit autonomous mine-countermeasure prototype effort after a competitive prize challenge. October 14: RTX disclosed $729 million of U.S., Qatar and Jordan LIDS counter-drone awards, including the first international sales of KuRFS and Coyote. This independently confirms strong counter-UAS procurement demand and international adoption.</x:v>
      </x:c>
      <x:c r="Q12" s="29" t="str">
        <x:v>Space, Cyber and Directed Energy revenue fell 21%; inventory rose to about $410.8 million; material weaknesses remain; a prior restatement corrected an $87.3 million equity overstatement; convertible debt and a high valuation magnify execution risk. October 9: the release disclosed no award identifier, obligation, ceiling, AVAV workshare, period of performance or expected revenue. It therefore supports demand and technical positioning but not material backlog, profitability, restatement remediation or valuation. The large incumbent win also confirms competitive intensity for AeroVironment. RTX did not disclose individual award identifiers, obligations, periods of performance, competition terms or revenue timing, so it does not prove AVAV backlog conversion or profitability.</x:v>
      </x:c>
      <x:c r="R12" s="29"/>
      <x:c r="S12" s="29" t="str">
        <x:v>AVAV traded near $146.71 during the scan. Demand and backlog are confirmed, but valuation and accounting-control risk leave limited evidence of a favorable entry rather than merely a valid business catalyst. October 9: no clean, independently observable market move or favorable price structure tied to the prototype selection established an entry. Entry Window remains WAIT. October 14: sector demand strengthened but the competitive signal is mixed for AVAV. EEI-2026-007 remains Strong 4/5, edge 2/5 and WAIT pending its own filing-quality, margin and cash-conversion evidence.</x:v>
      </x:c>
      <x:c r="T12" s="29" t="str">
        <x:v>AVAV shares are the direct conditional expression; defense ETFs dilute the autonomous-systems catalyst. WAIT for clean control remediation and either profitable backlog conversion or a non-chasing valuation reset that holds support. Accounting, contract timing, integration and valuation risks apply.</x:v>
      </x:c>
      <x:c r="U12" s="29" t="str">
        <x:v>Book-to-bill falls below 1 for a sustained period, backlog conversion slips, margins/cash flow fail to improve, material weaknesses persist or expand, or demand shifts away from AVAV programs.</x:v>
      </x:c>
      <x:c r="V12" s="43" t="str">
        <x:v>2026-09-14: Autonomous-systems demand and backlog should support higher revenue over coming quarters, conditional on conversion, profitability and control remediation. Initial Entry Window: WAIT due valuation and accounting risk.</x:v>
      </x:c>
      <x:c r="W12" s="43" t="n">
        <x:v>46366</x:v>
      </x:c>
      <x:c r="X12" s="43"/>
      <x:c r="Y12" s="29"/>
      <x:c r="Z12" s="29"/>
      <x:c r="AA12" s="29"/>
      <x:c r="AB12" s="29"/>
      <x:c r="AC12" s="29"/>
      <x:c r="AD12" s="29" t="str">
        <x:v>Open. Primary SEC evidence supports a Strong thesis at 4/5 confidence, but accounting, profitability and valuation risks limit trading edge to 2/5. Entry Window WAIT. October 9: primary evidence strengthens the autonomous-systems demand mechanism, but undisclosed economics and unchanged accounting, profitability and valuation risks leave EEI-2026-007 Strong 4/5, edge 2/5 and WAIT. Motley Fool remains trigger only. Initial Prediction Frozen was not changed. October 14: RTX's LIDS awards support the counter-drone demand variable while reinforcing incumbent competition. No stage, confidence, edge or Entry Window change. Initial Prediction Frozen was not changed.</x:v>
      </x:c>
      <x:c r="AE12" s="31" t="str">
        <x:f>IF(COUNTA(Y12:AC12)=0,"",COUNTIF(Y12:AC12,"Yes")/COUNTA(Y12:AC12))</x:f>
      </x:c>
    </x:row>
    <x:row r="13">
      <x:c r="A13" s="27" t="str">
        <x:v>EEI-2026-008</x:v>
      </x:c>
      <x:c r="B13" s="27" t="str">
        <x:v>U.S. tungsten stockpile and domestic buildout</x:v>
      </x:c>
      <x:c r="C13" s="27" t="str">
        <x:v>Critical minerals and defense</x:v>
      </x:c>
      <x:c r="D13" s="30" t="n">
        <x:v>46279.38055555556</x:v>
      </x:c>
      <x:c r="E13" s="30" t="n">
        <x:v>46279.38055555556</x:v>
      </x:c>
      <x:c r="F13" s="27" t="str">
        <x:v>Actionable</x:v>
      </x:c>
      <x:c r="G13" s="27" t="str">
        <x:v>Government award and industrial policy</x:v>
      </x:c>
      <x:c r="H13" s="27" t="str">
        <x:v>U.S. tungsten procurement, domestic capacity and Elmet contracted revenue</x:v>
      </x:c>
      <x:c r="I13" s="27" t="str">
        <x:v>Up</x:v>
      </x:c>
      <x:c r="J13" s="27" t="str">
        <x:v>Years</x:v>
      </x:c>
      <x:c r="K13" s="27" t="n">
        <x:v>4</x:v>
      </x:c>
      <x:c r="L13" s="27" t="n">
        <x:v>1</x:v>
      </x:c>
      <x:c r="M13" s="27" t="str">
        <x:v>REJECT 2026-10-16</x:v>
      </x:c>
      <x:c r="N13" s="29" t="str">
        <x:v>Reuters reported a new Defense Logistics Agency tungsten stockpile award to an Elmet subsidiary with a reported $150 million guaranteed commitment and a potential value near $2 billion. The Department of War separately announced a $450 million preferred-equity investment in Elmet.</x:v>
      </x:c>
      <x:c r="O13" s="29" t="str">
        <x:v>Government procurement and preferred-equity capital can accelerate domestic tungsten processing, mining and component capacity. Greater domestic capacity should reduce exposure to a China-dominated strategic-material chokepoint over a multi-year horizon.</x:v>
      </x:c>
      <x:c r="P13" s="29" t="str">
        <x:v>The Department of War confirmed a $450 million redeemable preferred-equity investment and said Elmet supports more than 100 defense programs. Reuters separately reported the DLA award. Elmet's latest filing confirms a company still early in its public transition and dependent on project execution.</x:v>
      </x:c>
      <x:c r="Q13" s="29" t="str">
        <x:v>A primary USAspending award identifier, action type, NAICS/PSC, competition status, period of performance and exact obligation schedule were still not publicly indexed. Government warrants may reach 19.9% and most preferred-equity funding is milestone-dependent. Scale-up, dilution and execution risks remain material.</x:v>
      </x:c>
      <x:c r="R13" s="29" t="str">
        <x:v>No external expert enhancer was required; the thesis rests on primary government records, company filings and independent reporting.</x:v>
      </x:c>
      <x:c r="S13" s="29" t="str">
        <x:v>Elmet closed September 14 at $21.56, up about 33% on record volume and above its prior price structure. This confirms market recognition but sharply increases headline-chasing and reversal risk.</x:v>
      </x:c>
      <x:c r="T13" s="29" t="str">
        <x:v>REJECT current ELMT entry. Government support remains material, but award detail, funding schedule, dilution and execution evidence remain incomplete. Reassess at the next primary filing or November 16; no live order.</x:v>
      </x:c>
      <x:c r="U13" s="29" t="str">
        <x:v>Material reduction or cancellation of the government commitments, milestone failure, uneconomic Springer restart, severe dilution, or procurement redirection away from domestic tungsten.</x:v>
      </x:c>
      <x:c r="V13" s="43" t="str">
        <x:v>2026-09-14: The reported guaranteed procurement and financing should raise U.S. tungsten capacity and Elmet contracted revenue over years, but timing and per-share value depend on award documentation, project execution and dilution. Initial Entry Window: WAIT.</x:v>
      </x:c>
      <x:c r="W13" s="43" t="n">
        <x:v>46342</x:v>
      </x:c>
      <x:c r="X13" s="43"/>
      <x:c r="Y13" s="29"/>
      <x:c r="Z13" s="29"/>
      <x:c r="AA13" s="29"/>
      <x:c r="AB13" s="29"/>
      <x:c r="AC13" s="29"/>
      <x:c r="AD13" s="29" t="str">
        <x:v>Open. September 18 was an interim documentation checkpoint, not the multi-year outcome horizon. The government financing and procurement mechanism remains supported, but the formal outcome fields stay blank. Entry Window remains WAIT because ELMT still trades well above the pre-announcement structure and the primary USAspending award identifier, obligation schedule, competition details and full capital terms remain incomplete. Next documentation checkpoint: October 15. October 16 documentation review: REJECT current entry rather than renew WAIT. No new primary award record resolved the obligation schedule or dilution/execution questions. Next review November 16; no outcome field scored early.</x:v>
      </x:c>
      <x:c r="AE13" s="31" t="str">
        <x:f>IF(COUNTA(Y13:AC13)=0,"",COUNTIF(Y13:AC13,"Yes")/COUNTA(Y13:AC13))</x:f>
      </x:c>
    </x:row>
    <x:row r="14">
      <x:c r="A14" s="27" t="str">
        <x:v>EEI-2026-009</x:v>
      </x:c>
      <x:c r="B14" s="27" t="str">
        <x:v>Global diesel scarcity and refining margins</x:v>
      </x:c>
      <x:c r="C14" s="27" t="str">
        <x:v>Energy / refined products</x:v>
      </x:c>
      <x:c r="D14" s="30" t="n">
        <x:v>46281.32777777778</x:v>
      </x:c>
      <x:c r="E14" s="30" t="n">
        <x:v>46281.32777777778</x:v>
      </x:c>
      <x:c r="F14" s="27" t="str">
        <x:v>Actionable</x:v>
      </x:c>
      <x:c r="G14" s="27" t="str">
        <x:v>Supply chain and market dislocation</x:v>
      </x:c>
      <x:c r="H14" s="27" t="str">
        <x:v>Global diesel crack spreads, distillate inventories and refinery margins</x:v>
      </x:c>
      <x:c r="I14" s="27" t="str">
        <x:v>Up</x:v>
      </x:c>
      <x:c r="J14" s="27" t="str">
        <x:v>Days to months</x:v>
      </x:c>
      <x:c r="K14" s="27" t="n">
        <x:v>5</x:v>
      </x:c>
      <x:c r="L14" s="27" t="n">
        <x:v>1</x:v>
      </x:c>
      <x:c r="M14" s="27" t="str">
        <x:v>WAIT</x:v>
      </x:c>
      <x:c r="N14" s="29" t="str">
        <x:v>Serbia said on September 24 that it would release about 5,000 metric tons of diesel from state reserves because of the global shortage. Danube fuel imports had fallen to roughly 25%-30% of planned August volume as low water restricted barge loads. September 30: Russia extended its diesel-export ban for producers through the end of October, tightening a market in which Russia is normally the second-largest diesel exporter.</x:v>
      </x:c>
      <x:c r="O14" s="29" t="str">
        <x:v>Disrupted Middle East and Russian product flows, low European inventories and constrained export availability force buyers to bid for scarce distillates. Refiners with reliable feedstock and operating capacity can capture wider diesel cracks, although crude disruption can also limit throughput.</x:v>
      </x:c>
      <x:c r="P14" s="29" t="str">
        <x:v>Russia's October producer diesel-export ban remains in force. October 1 physical-market reporting added a sharp dated-Brent premium and three tanker strikes in Hormuz, confirming that prompt barrels and refined-product logistics remain stressed despite recovering headline export volumes. October 4: Iran's chief negotiator said Hormuz would not reopen until seven conditions in the June memorandum are met. OPEC+ sources said core Gulf producers remain about 5 million barrels per day below prewar output and agreed to hold November targets steady because conflict has kept most planned increases on paper. October 6: Aramco's CEO said replenishing crude and fuel inventories could take up to two years, and Kuwait Petroleum's CEO estimated roughly 6 million barrels per day of refined-product supply remained unavailable, supporting a longer refined-product and logistics constraint. October 7: European benchmark diesel futures traded about $77 per barrel above Brent and rose 13% intraday as strikes on Russian oil facilities and reduced Middle East refining runs tightened products; the IEA convened to discuss oil and diesel stock releases. October 11: Ukraine said it would halt attacks on Russian refineries only if Russia reciprocates by stopping strikes on Ukrainian energy infrastructure and provides real guarantees. Reuters reported that the announced U.S.-Russia diesel arrangement remained far below Russia's normal export volume. October 12: ICE gasoil fell 2.3% to $1,449 per tonne after the announced Russian diesel arrangement, but analysts said the initial 300,000-500,000 tonnes were too small for material near-term relief and Russia's refining capacity remained impaired. Ukraine said Russia violated the announced energy ceasefire. October 13: OFAC General License 135 formally authorized Russian-origin diesel transactions through April 7, 2027, and Russia promised 3.0-3.5 million tonnes per month by year-end. This is a larger policy supply channel than the prior limited arrangement and directly tests the scarcity thesis. October 14: the IEA said Russia's diesel-policy easing is unlikely to materially change the gasoil balance because damaged refining capacity remains limiting; constrained diesel supply could persist into 2027.</x:v>
      </x:c>
      <x:c r="Q14" s="29" t="str">
        <x:v>Fujairah fuel-oil imports recovered to 2.6 million metric tons in Q3 from 845,000 tons in Q2, September exports reached a more-than-one-year high, and additional October cargoes were expected. Restored supply routes can cap scarcity even while prompt VLSFO and diesel remain tight. October 2 countermeasure: EU governments discussed releasing 50 million barrels of diesel and IEA members another 50 million barrels of crude over a short window. The proposal confirms acute scarcity but could temporarily relieve spot tightness and compress refining margins. October 3 policy modifier: the G7 committed to a coordinated 100 million-barrel release through the IEA, beginning immediately over four months, with substantial diesel volumes due within 20 days. The statement did not disclose the crude/diesel split or country allocations, and Energy Aspects characterized it as political rather than a specific binding allocation. Iran also offered a seven-day reopening process if conditions are satisfied, so successful mediation could compress the scarcity premium quickly. OPEC core output rose 630,000 barrels per day in August, and the coordinated G7 stock release remains a near-term supply counterweight. October 5: Kpler and Vortexa data showed Gulf crude exports at or above prewar rates, the highest LNG cargo count since February, and oil prices easing after the G7 stock release. This weakens a simple crude-shortage interpretation, although ship-to-ship transfer limits, tanker incidents and refining constraints keep diesel and delivered-product scarcity intact. October 6: Gulf crude exports excluding Iran reached more than 81% of prewar levels in September, Saudi East-West pipeline flows reached 5.8 million barrels per day, Saudi Arabia cut Arab Light prices to six-year lows and a G7 release added policy supply. These facts materially weaken a broad crude-scarcity extension. October 7 counterweight: proposed IEA stock releases and recovering Middle East exports can relieve spot pressure, while Brent above $100 and the diesel spike raise headline-chasing risk rather than improve entry quality. October 11: a verified mutual energy-strike pause could restore Russian refinery utilization and pressure diesel cracks, but no agreement or guaranteed volume exists. The bilateral condition and limited proposed diesel supply leave the normalization path uncertain. October 12: larger verified Russian exports, accelerated IEA member releases or a durable reciprocal halt to refinery attacks could pressure diesel cracks. The initial market reaction shows that even limited policy supply can reduce the scarcity premium at the margin. Implementation remains uncertain because refinery damage constrains production, the new channel is sanctions relief rather than restored capacity, and the promised volumes are future targets. Still, Brent fell about 2% toward $104.63 and WTI toward $91.85, materially increasing normalization risk. Regional crude exports have held up and Russian policy relief remains a genuine normalization path. Brent above $106 reflects recognized scarcity, leaving little unpriced edge and substantial headline-reversal risk.</x:v>
      </x:c>
      <x:c r="R14" s="29"/>
      <x:c r="S14" s="29" t="str">
        <x:v>Dated Brent for immediate physical delivery was reported near $121 versus futures around $100, while prompt marine-fuel supply remained tight. The physical evidence strengthens scarcity but also shows a split market: HSFO and Fujairah volumes are normalizing faster than cleaner fuels and diesel. October 2: European gasoil futures fell about 5%, Brent 2.5% and WTI 3.8% after stock-release talks. Physical tightness remains visible, but the fast policy-driven repricing reinforces headline risk and the WAIT entry classification. October 3: the finalized G7 release confirms acute product scarcity but adds near-term supply and policy pressure after European diesel futures fell 5.75% on the announcement. Entry Window remains WAIT. October 4 is a Sunday with no new U.S. cash-market confirmation. The persistence evidence strengthens the physical thesis but does not improve an already headline-sensitive entry. October 5: Brent and WTI fell as higher Gulf exports and emergency stocks reduced the outright crude deficit. The cross-market evidence favors logistics and refined-product tightness over a broad crude-supply chase. October 6: Brent fell to about $98.62 and WTI to $87.60 as traders emphasized restored exports and easing Bab el-Mandeb risk. Physical substitution costs and refined-product shortages remain, but the headline crude leg is not favorable for entry. October 7: the $77-per-barrel diesel premium and 13% session rise directly confirm the predicted economic variable and direction inside the stated horizon. Listed refiners were flat in premarket indications, so a clean equity-expression score remains unavailable. Entry Window stays WAIT. October 11 is a Sunday with no new listed-market confirmation. The de-escalation proposal is a material modifier, not a completed normalization signal; Entry Window remains WAIT after the physical diesel spike. October 12: gasoil's 2.3% decline is a modest contradiction, while the small proposed volumes and disputed ceasefire preserve the physical scarcity mechanism. The thesis remains Actionable 5/5, edge 1/5 and WAIT because headline and policy risk remain extreme. October 13 premarket: crude fell about 2% after the Russian diesel authorization, confirming that policy supply relief can compress the premium. Refined-product availability remains impaired, so EEI-2026-009 stays Actionable 5/5, edge 1/5 and WAIT. October 14: refined-product fundamentals strengthened while crude stayed elevated. EEI-2026-009 remains Actionable 5/5, edge 1/5 and WAIT because price structure is already extended.</x:v>
      </x:c>
      <x:c r="T14" s="29" t="str">
        <x:v>Conditional research only: refiners or direct refined-product exposure require physical spread persistence without chasing the headline. WAIT remains appropriate because listed refiners are indirect, policy and restored routes can compress margins, and the evidence is strongest in prompt physical markets.</x:v>
      </x:c>
      <x:c r="U14" s="29" t="str">
        <x:v>Diesel cracks and backwardation normalize as inventories and exports recover, Saudi and Russian flows normalize, demand falls materially, or refinery operating constraints prevent margins from converting into cash flow.</x:v>
      </x:c>
      <x:c r="V14" s="43" t="str">
        <x:v>2026-09-16: Global diesel crack spreads and refinery margins will remain elevated over coming weeks to months as Middle East and Russian product disruptions keep distillate supply tight, but investable equity expressions may underperform the commodity economics. Initial Entry Window: WAIT because margins and prices are already at records and clean retail exposure is limited.</x:v>
      </x:c>
      <x:c r="W14" s="43" t="d">
        <x:v>2026-10-28T12:00:00.000Z</x:v>
      </x:c>
      <x:c r="X14" s="43" t="d">
        <x:v>2026-10-07T12:17:12.000Z</x:v>
      </x:c>
      <x:c r="Y14" s="29" t="str">
        <x:v>Yes</x:v>
      </x:c>
      <x:c r="Z14" s="29" t="str">
        <x:v>Yes</x:v>
      </x:c>
      <x:c r="AA14" s="29" t="str">
        <x:v>Yes</x:v>
      </x:c>
      <x:c r="AB14" s="29"/>
      <x:c r="AC14" s="29" t="str">
        <x:v>Yes</x:v>
      </x:c>
      <x:c r="AD14" s="29" t="str">
        <x:v>Actionable at confidence 5/5, trading edge 1/5, Entry Window WAIT. October 1 tanker strikes and the dated-Brent premium strengthened physical confirmation, while Fujairah's partial fuel-oil recovery strengthened the normalization countercase. No field change and no real trade. Initial Prediction Frozen was not changed. October 2 checkpoint: proposed European diesel and IEA crude releases are material countermeasures. They validate the shortage while weakening the immediate trade setup. EEI-2026-009 remains Actionable at 5/5 confidence, 1/5 trading edge and Entry Window WAIT. October 3 checkpoint: coordinated stock-release implementation materially strengthens the policy countercase without invalidating refined-product scarcity. Status remains Actionable at 5/5 confidence and 1/5 trading edge; Entry Window remains WAIT because volumes, timing and renewed regional attacks can create sharp two-way headline risk. Initial Prediction Frozen was not changed. October 4 checkpoint: explicit Iranian reopening conditions and OPEC+'s large prewar output gap reinforce persistent crude and product scarcity, while a conditional seven-day diplomatic path and emergency stock releases preserve sharp downside risk. EEI-2026-009 remains Actionable at 5/5 confidence, 1/5 trading edge and WAIT. Initial Prediction Frozen was not changed. October 5 checkpoint: record-near Gulf exports are material counterevidence to the crude-scarcity leg, but physical transfer limits and refinery/logistics constraints preserve the diesel mechanism. EEI-2026-009 remains Actionable at 5/5 confidence, 1/5 trading edge and WAIT. Initial Prediction Frozen was not changed. October 6: Actionable 5/5, edge 1/5, Entry Window WAIT. Stronger crude-flow normalization narrows the valid mechanism toward refined products and logistics; no stage change because diesel availability and replacement-barrel costs remain stressed. Formal October 7 outcome review: Economic variable — Yes; the prompt diesel premium remained exceptionally high. Direction — Yes; diesel futures and the diesel-to-Brent spread rose. Timing — Yes; confirmation occurred within days to weeks of the September 16 prediction. Investment expression — left blank because no paper position or sufficiently clean listed expression was established. Entry discipline — Yes; WAIT avoided chasing record physical spreads and sharp policy headlines. The thesis remains Actionable 5/5, edge 1/5 and WAIT for continued monitoring; Initial Prediction Frozen was not changed. October 11: EEI-2026-009 remains Actionable 5/5, edge 1/5 and WAIT. Conditional refinery-strike de-escalation adds downside risk, while the absence of a reciprocal agreement and small proposed replacement volumes preserve the scarcity mechanism. Initial Prediction Frozen was not changed. October 12: EEI-2026-009 remains Actionable at 5/5 confidence, 1/5 trading edge and WAIT. The policy announcement produced some market relief but not enough verified supply to invalidate the diesel-shortage mechanism. Initial Prediction Frozen was not changed. October 13: the sanctions license and larger Russian diesel target materially strengthen the downside policy modifier, but damaged refining and uncertain delivery prevent invalidation. Stage, confidence, edge and Entry Window remain Actionable 5/5, 1/5 and WAIT. Initial Prediction Frozen was not changed. October 14: IEA confirmation supports persistent gasoil tightness into 2027, but exports and policy relief preserve two-way risk. No stage, confidence, edge or Entry Window change. Initial Prediction Frozen was not changed.</x:v>
      </x:c>
      <x:c r="AE14" s="31" t="n">
        <x:f>IF(COUNTA(Y14:AC14)=0,"",COUNTIF(Y14:AC14,"Yes")/COUNTA(Y14:AC14))</x:f>
        <x:v>1</x:v>
      </x:c>
    </x:row>
    <x:row r="15">
      <x:c r="A15" s="27" t="str">
        <x:v>EEI-2026-010</x:v>
      </x:c>
      <x:c r="B15" s="27" t="str">
        <x:v>EU electrical-steel safeguards and transformer economics</x:v>
      </x:c>
      <x:c r="C15" s="27" t="str">
        <x:v>Industrials / grid infrastructure</x:v>
      </x:c>
      <x:c r="D15" s="30" t="n">
        <x:v>46284</x:v>
      </x:c>
      <x:c r="E15" s="30" t="n">
        <x:v>46284.33085648148</x:v>
      </x:c>
      <x:c r="F15" s="27" t="str">
        <x:v>Developing</x:v>
      </x:c>
      <x:c r="G15" s="27" t="str">
        <x:v>Trade policy and supply chain</x:v>
      </x:c>
      <x:c r="H15" s="27" t="str">
        <x:v>European GOES and transformer-core pricing, utilization and input costs</x:v>
      </x:c>
      <x:c r="I15" s="27" t="str">
        <x:v>Up</x:v>
      </x:c>
      <x:c r="J15" s="27" t="str">
        <x:v>Months</x:v>
      </x:c>
      <x:c r="K15" s="27" t="n">
        <x:v>3</x:v>
      </x:c>
      <x:c r="L15" s="27" t="n">
        <x:v>2</x:v>
      </x:c>
      <x:c r="M15" s="27" t="str">
        <x:v>WAIT</x:v>
      </x:c>
      <x:c r="N15" s="29" t="str">
        <x:v>The European Commission imposed provisional tariff-rate quotas and price thresholds on grain-oriented electrical steel, laminations and transformer cores, effective September 25. The measure protects the full transformer-core value chain rather than raw steel alone.</x:v>
      </x:c>
      <x:c r="O15" s="29" t="str">
        <x:v>Higher landed costs and quota constraints on low-priced imports can lift pricing and utilization for the remaining European GOES and core producers. Covering cores already incorporated in transformers may also raise downstream transformer input costs and change procurement behavior.</x:v>
      </x:c>
      <x:c r="P15" s="29" t="str">
        <x:v>The European Commission said urgent measures were needed after an investigation found heavy import pressure on a strategic EU industry. Reuters independently reported minimum prices of roughly EUR2,800-EUR3,400 per metric ton inside quotas and EUR3,500 above them, named Thyssenkrupp Steel Europe and Stalprodukt as likely beneficiaries, and noted prior production stops caused by imports sold at reported 25% discounts.</x:v>
      </x:c>
      <x:c r="Q15" s="29" t="str">
        <x:v>The measure is provisional, lasts 155 days and needs a qualified majority of EU member states for definitive adoption. Quotas and thresholds may not bind if import prices rise or demand weakens. There is no clean liquid U.S. expression; Thyssenkrupp is a diversified restructuring story and Stalprodukt is foreign and relatively illiquid. Transformer manufacturers may pass costs through, source elsewhere or benefit from protection on finished cores.</x:v>
      </x:c>
      <x:c r="R15" s="29"/>
      <x:c r="S15" s="29" t="str">
        <x:v>No reliable post-announcement market confirmation is available because the measure was announced late Friday and the review is occurring before the next European session. Prior producer weakness supports the economic problem but not an entry.</x:v>
      </x:c>
      <x:c r="T15" s="29" t="str">
        <x:v>Conditional research only: Thyssenkrupp or its ADR offers indirect exposure to TKSE but adds conglomerate and restructuring risk; Warsaw-listed Stalprodukt is more direct but adds foreign-market and liquidity risk. European transformer manufacturers could benefit from finished-core protection yet face higher inputs. WAIT for final-measure visibility, evidence that quotas or price floors bind, producer utilization or margin confirmation, and a non-chasing price structure.</x:v>
      </x:c>
      <x:c r="U15" s="29" t="str">
        <x:v>The provisional measure lapses or fails the member-state vote; quotas and thresholds do not bind; EU GOES or core utilization and margins fail to improve; transformer costs or lead times do not rise; or import substitution and demand weakness offset the protection.</x:v>
      </x:c>
      <x:c r="V15" s="43" t="str">
        <x:v>2026-09-19: EU tariff quotas and price thresholds should raise protected European GOES and transformer-core pricing or utilization, and may lift transformer input costs over coming months, conditional on the measures binding and surviving the provisional period. Initial Entry Window: WAIT because final adoption, company-level materiality and a clean liquid expression are not yet established.</x:v>
      </x:c>
      <x:c r="W15" s="43" t="n">
        <x:v>46310</x:v>
      </x:c>
      <x:c r="X15" s="43"/>
      <x:c r="Y15" s="29"/>
      <x:c r="Z15" s="29"/>
      <x:c r="AA15" s="29"/>
      <x:c r="AB15" s="29"/>
      <x:c r="AC15" s="29"/>
      <x:c r="AD15" s="29" t="str">
        <x:v>Open. New Developing thesis at confidence 3/5 and trading edge 2/5. Primary and independent reporting confirm the mechanism, but the 155-day provisional term, member-state vote, uncertain company-level pass-through and poor instrument purity keep Entry Window WAIT. Next check: first post-announcement market reaction, quota utilization, producer guidance and progress toward definitive EU adoption.</x:v>
      </x:c>
      <x:c r="AE15" s="31" t="str">
        <x:f>IF(COUNTA(Y15:AC15)=0,"",COUNTIF(Y15:AC15,"Yes")/COUNTA(Y15:AC15))</x:f>
      </x:c>
    </x:row>
    <x:row r="16">
      <x:c r="A16" s="27" t="str">
        <x:v>EEI-2026-011</x:v>
      </x:c>
      <x:c r="B16" s="27" t="str">
        <x:v>Gulf tanker shortage and VLCC freight</x:v>
      </x:c>
      <x:c r="C16" s="27" t="str">
        <x:v>Energy / shipping</x:v>
      </x:c>
      <x:c r="D16" s="30" t="n">
        <x:v>46286</x:v>
      </x:c>
      <x:c r="E16" s="30" t="n">
        <x:v>46286.35158564815</x:v>
      </x:c>
      <x:c r="F16" s="27" t="str">
        <x:v>Actionable</x:v>
      </x:c>
      <x:c r="G16" s="27" t="str">
        <x:v>Supply chain and energy logistics</x:v>
      </x:c>
      <x:c r="H16" s="27" t="str">
        <x:v>VLCC utilization, spot freight rates and tanker earnings</x:v>
      </x:c>
      <x:c r="I16" s="27" t="str">
        <x:v>Up</x:v>
      </x:c>
      <x:c r="J16" s="27" t="str">
        <x:v>Weeks to months</x:v>
      </x:c>
      <x:c r="K16" s="27" t="n">
        <x:v>5</x:v>
      </x:c>
      <x:c r="L16" s="27" t="n">
        <x:v>1</x:v>
      </x:c>
      <x:c r="M16" s="27" t="str">
        <x:v>WAIT</x:v>
      </x:c>
      <x:c r="N16" s="29" t="str">
        <x:v>Record VLCC rates and a new ship-to-ship shuttle system around Hormuz show that continued oil exports are consuming far more tanker capacity. Trafigura also launched a 14-vessel tanker arm and plans an Oslo listing to capture the changed economics.</x:v>
      </x:c>
      <x:c r="O16" s="29" t="str">
        <x:v>Repeated short shuttle voyages, cargo transfers, longer routes and conflict-zone risk absorb vessel-days and raise charter scarcity. Tanker owners with spot exposure can earn higher rates while producers and refiners bear more freight cost.</x:v>
      </x:c>
      <x:c r="P16" s="29" t="str">
        <x:v>Three Liberian-flagged tankers were struck by projectiles while transiting Hormuz with AIS disabled. The ships had recently carried or transferred diesel, Iraqi Basrah crude and refined products, directly reinforcing security, insurance and routing risk for Gulf tanker capacity. October 3: Reuters reported, citing six regional and Western officials, that Saudi Arabia is preparing a Yemen offensive that could target Houthi control near Bab el-Mandeb. A separate Reuters witness report showed fire and smoke at an Aramco refinery in Riyadh amid escalating attacks. October 4: the Saudi-backed head of Yemen's presidential council announced that military operations had begun to retake Houthi-held territory, converting the prior reported plan into an active conflict. The Houthis separately claimed missile and drone responsibility for the fire near an Aramco refinery in Riyadh. October 5: Kpler and Vortexa showed Gulf exports at or above prewar levels while at least seven tanker incidents occurred in the prior week. Poten &amp; Partners data cited by Reuters put Middle East-to-Asia VLCC rates above $1.2 million per day versus roughly $30,000 in January, with freight near 27% of delivered-barrel cost. The combination confirms that rerouting and shuttle transfers can tighten vessel availability even as export volumes recover. October 6: replacement purchases by Chinese independent refiners carried delivered premiums of roughly $12-$20 per barrel, while shuttle routes and disrupted Iranian flows continued to consume logistics capacity. October 7: Houthi forces attacked Aden airport with ballistic missiles and explosive-laden drones, renewing Red Sea and Gulf of Aden security risk as regional conflict persisted. October 8: Kpler data showed only seven commodity vessels transited Hormuz on October 6, the fewest since July 23. Crude crossing the strait fell 27% week over week to at least 10.1 million bpd, about 74% of prewar flow, after tanker attacks reached their wartime high. Brent rose about 4.5% to $104.75 and WTI to $92.28 as shipping attacks and temporary U.S. Gulf production shut-ins reinforced logistics stress. October 9: Reuters reported that November VLCC freight from the U.S. Gulf to China reached about $80 million for a two-million-barrel cargo, or roughly $40 per barrel versus $8.60 before the war. U.S.-Asia arbitrage was no longer economic, refiners were switching toward Murban and Argentine crude, and both U.S. Gulf-Asia and Fujairah-East freight had risen more than 300% since mid-August. This confirms that tanker scarcity is changing delivered-crude economics and physical sourcing, not merely quoted shipping rates. October 11: U.S. Central Command said a fighter jet disabled the Panama-flagged cargo vessel Ocean Molica/Arika Sun after it ignored warnings and attempted to breach the Iran blockade after leaving an Iranian port. Reuters said Hormuz vessel transits fell to their lowest level in more than two months. October 12: two additional tanker attacks were reported near Sohar and in the Strait of Hormuz, and a Houthi strike on Riyadh's international airport killed 13 people and wounded more than 300. Brent rose 1.2% to $106.19 and WTI 1.2% to $92.96, near two-week highs. October 13: OPEC reported Gulf shipping and insurance costs exceeding one-third of commodity value in some movements, while attacks and security constraints preserve severe delivered-cost and vessel-utilization pressure. October 14: Iranian officials acknowledged new ship-targeting tactics; a tanker and container vessel were hit and a mine strike sank another ship. Brent traded near $106.60 and WTI near $95.79, confirming that physical security risk remains active.</x:v>
      </x:c>
      <x:c r="Q16" s="29" t="str">
        <x:v>Fujairah fuel-oil imports and exports recovered materially in Q3, Saudi and Russian supply reached the hub, and some bunker operations normalized. More available product and routing workarounds can reduce the duration of extreme freight scarcity. Saudi timing and scope were not fixed, officials did not publicly confirm the offensive, and Saudi authorities or Aramco had not confirmed the cause or operational impact of the Riyadh refinery fire at the scan cutoff. The Yemen announcement did not specify force size, route objectives or timing. Saudi authorities and Aramco still had not confirmed the refinery attack, damage, outage or throughput impact, and no Sunday freight-rate or listed-tanker cash-flow evidence was available. Direct tanker equities have already repriced sharply: FRO was about $52.74, within roughly 4% of its 52-week high and up more than 150% year to date, while DHT was about $23.68 near its 52-week high. A tanker orderbook near 35% of the existing fleet is a medium-term supply contradiction, and successful route normalization could collapse spot earnings quickly. October 6: Saudi-backed Yemeni forces advanced around Mocha and Bab el-Mandeb, easing one route-risk channel, while Gulf exports excluding Iran recovered above 81% of prewar levels. Higher flow efficiency or restored safe passage can compress extreme freight rates quickly. October 7: Middle East export recovery and prospective strategic-stock releases remain material normalization channels; early FRO and DHT indications were lower, so the freight mechanism did not receive a new favorable listed-equity entry signal. October 8 counterweight: Gulf of Oman and Red Sea exports rose to 6.7 million bpd, more than twice prewar levels, keeping overall Middle East exports near preconflict levels. The IEA is accelerating previously pledged stock releases, and the roughly 35% VLCC orderbook remains a medium-term supply risk. October 9 counterweight: President Trump said there would be no U.S. attack on Iran before November 3; Brent fell more than 1% below $103 after the prior session's 4% rise. Alternative export routes, strategic stocks and a roughly 35% VLCC orderbook remain substantial normalization risks. October 11: the strike reportedly caused no crew casualties and was an enforcement action against one cargo vessel rather than a new tanker loss. Alternate-coast oil exports, military-guided transits, emergency stocks and diplomacy remain substantial normalization counterweights. October 12: no major oil installation was reported damaged, Gulf of Mexico production was being restored after Hurricane Isaias, and additional Russian diesel plus possible strategic releases could ease product stress. Alternate export routes and guarded transits remain normalization channels. Near-full regional crude export recovery, the Russian diesel authorization and a roughly 2% crude decline show that freight stress can coexist with improving headline supply and rapidly compress equity upside. Oil exports continue to hold up, the Aramco incident caused only limited damage, and the crude premium is already elevated. Successful traffic adaptation or de-escalation could reverse the freight and equity expressions quickly.</x:v>
      </x:c>
      <x:c r="R16" s="29"/>
      <x:c r="S16" s="29" t="str">
        <x:v>The three strikes confirm operational risk even as flows recover. Ship-to-ship transfers and dark activity keep cargo moving but consume capacity and complexity. No clean listed-tanker equity confirmation or favorable entry structure was established during the scan. October 5: realized VLCC freight, rising freight share of delivered oil and listed-tanker price strength provide market confirmation. Entry remains headline-sensitive because the direct equities are near highs and attack headlines can reverse abruptly. October 6: FRO and DHT remained near highs and rose again, confirming recognition but worsening headline-chasing risk. Actionable status remains intact; Entry Window remains WAIT for an orderly consolidation plus continuing realized-rate evidence. October 7: renewed route-risk headlines support the physical thesis, but FRO and DHT pulled back in early indications after extreme year-to-date gains. Entry Window remains WAIT pending realized-rate persistence and orderly price structure. October 8 formal horizon check: FRO closed October 7 at $53.06 versus $49.81 on September 21, up about 6.5%; DHT closed at $23.71 versus $22.45, up about 5.6%. The equities participated, but far less than the freight spike and at near-record prices. Entry Window remains WAIT because the physical thesis is intact while price structure, policy supply and route normalization leave poor reward versus reversal risk. October 9: freight stress received a stronger physical-market confirmation as delivered costs closed the U.S.-Asia arbitrage and redirected purchases. The listed-equity Entry Window remains WAIT because freight is extreme, FRO and DHT remain near highs, and de-escalation headlines can reverse the risk premium abruptly. October 11 is a Sunday, so no fresh cash-market reaction can distinguish incremental freight support from headline chasing. The enforcement incident confirms severe route risk but does not improve an already extended Entry Window; WAIT remains. October 12: crude provided renewed commodity confirmation, but tracked producer equities remained weaker than direct crude in the latest completed session and the sharp headline move worsens chasing risk. Entry Window remains WAIT. October 13: extreme freight and insurance costs remain physical confirmation, but lower crude and recovered exports reinforce two-way risk. EEI-2026-011 remains Actionable 5/5, edge 1/5 and WAIT. October 14: new attacks and higher crude confirm the physical mechanism, but resilience of exports and an extended price structure keep EEI-2026-011 Actionable 5/5, edge 1/5 and WAIT.</x:v>
      </x:c>
      <x:c r="T16" s="29" t="str">
        <x:v>Conditional only: tanker operators with meaningful spot exposure remain the cleanest equity mapping, but WAIT for verified rate persistence and a non-headline entry. Charter mix, geopolitics, sanctions, operational risk and route normalization remain material. FRO and DHT remain direct conditional expressions; diversified shipping or energy funds dilute the mechanism. Formal Entry Window: WAIT until an orderly consolidation or retracement holds while spot freight and cash conversion remain elevated, or until earnings validate the rate windfall without a headline gap. Do not chase current highs.</x:v>
      </x:c>
      <x:c r="U16" s="29" t="str">
        <x:v>Hormuz and Red Sea routes normalize, shuttle transfers unwind, VLCC spot rates retreat toward pre-shock levels, fleet availability rises faster than demand, or company earnings fail to convert record freight into cash flow. Sustained safe-route normalization, a collapse in VLCC spot rates and delivered-freight share, materially lower vessel utilization, or fleet deliveries overwhelming demand would invalidate or materially weaken the thesis.</x:v>
      </x:c>
      <x:c r="V16" s="43" t="str">
        <x:v>2026-09-21: Conflict-driven shuttle transfers and longer routes will keep VLCC utilization and spot freight rates elevated over coming weeks to months, but public tanker equities may not track the freight spike cleanly. Initial Entry Window: WAIT because rates are at records and equities already carry event and reversal risk.</x:v>
      </x:c>
      <x:c r="W16" s="43" t="d">
        <x:v>2026-10-22T12:00:00.000Z</x:v>
      </x:c>
      <x:c r="X16" s="43" t="d">
        <x:v>2026-10-08T12:43:03.000Z</x:v>
      </x:c>
      <x:c r="Y16" s="29" t="str">
        <x:v>Yes</x:v>
      </x:c>
      <x:c r="Z16" s="29" t="str">
        <x:v>Yes</x:v>
      </x:c>
      <x:c r="AA16" s="29" t="str">
        <x:v>Yes</x:v>
      </x:c>
      <x:c r="AB16" s="29" t="str">
        <x:v>Yes</x:v>
      </x:c>
      <x:c r="AC16" s="29" t="str">
        <x:v>Yes</x:v>
      </x:c>
      <x:c r="AD16" s="29" t="str">
        <x:v>Strong at confidence 4/5 and trading edge 1/5, Entry Window WAIT. October 1 tanker strikes strengthened the risk mechanism, while recovering Fujairah supply strengthened normalization evidence. No stage or Entry Window change. Initial Prediction Frozen was not changed. October 3 checkpoint: planned Saudi action and an unconfirmed refinery fire strengthen the Red Sea and energy-infrastructure risk mechanism, but no verified production outage, freight-rate update or listed-equity confirmation justifies a stage or Entry Window change. EEI-2026-011 remains Strong at 4/5 confidence, 1/5 trading edge and WAIT. October 4 checkpoint: the reported Saudi-backed Yemen operation moved from planning to announced execution and materially raises Bab el-Mandeb and energy-infrastructure risk. The thesis remains Strong at 4/5 confidence, 1/5 trading edge and WAIT because physical shipping, freight, operating-impact and market confirmation are still missing. Initial Prediction Frozen was not changed. October 5 checkpoint: realized VLCC rates above $1.2 million per day, a 27% delivered-cost share and persistent attacks now confirm the economic variable and transmission mechanism. EEI-2026-011 advances from Strong to Actionable at 5/5 confidence, 1/5 trading edge and WAIT. The formal window requires non-chasing price structure plus continued physical and cash-flow confirmation. Initial Prediction Frozen was not changed. October 6: Actionable 5/5, edge 1/5, WAIT. Freight scarcity is still physically supported, but route-security improvement and recovered exports strengthen the two-way risk; no Entry Window change. October 7: no stage or Entry Window change. Security risk increased, but equities remain extended and route normalization plus policy releases preserve two-way risk. Initial Prediction Frozen was not changed. Formal October 8 outcome review: Economic variable — Yes; VLCC utilization and spot freight reached extreme levels as shuttle transfers, longer routes and conflict risk absorbed vessel capacity. Direction — Yes; rates and delivered-freight share rose sharply. Timing — Yes; confirmation arrived within the stated weeks-to-months horizon. Investment expression — Yes; FRO rose about 6.5% and DHT about 5.6% from September 21 through October 7, although both lagged the freight move. Entry discipline — Yes; WAIT avoided chasing record rates and near-high equities through a sharp interim reversal and preserved the requirement for cash-flow confirmation. EEI-2026-011 remains Actionable 5/5, edge 1/5 and WAIT. Initial Prediction Frozen was not changed. October 9: EEI-2026-011 remains Actionable at 5/5 confidence, 1/5 trading edge and WAIT. Record freight is now altering trade flows, strengthening the causal mechanism, but also worsening headline-chasing and normalization risk. Initial Prediction Frozen was not changed. October 11: EEI-2026-011 remains Actionable at 5/5 confidence, 1/5 trading edge and WAIT. Direct blockade enforcement and two-month-low transits reinforce the utilization and freight mechanism, but the evidence is continuation rather than a new underpriced entry. Initial Prediction Frozen was not changed. October 12: EEI-2026-011 remains Actionable at 5/5 confidence, 1/5 trading edge and WAIT. Multiple attacks plus higher crude materially reinforce route and insurance risk, but the move is already headline-driven and does not create a favorable entry. Initial Prediction Frozen was not changed. October 13: physical freight stress remains intact, but normalization channels strengthened. No stage, confidence, edge or Entry Window change; WAIT continues to avoid chasing an already recognized dislocation. Initial Prediction Frozen was not changed. October 14: physical disruption evidence strengthened without improving the risk/reward of chasing the move. Stage, confidence, edge and Entry Window remain unchanged. Initial Prediction Frozen was not changed.</x:v>
      </x:c>
      <x:c r="AE16" s="31" t="n">
        <x:f>IF(COUNTA(Y16:AC16)=0,"",COUNTIF(Y16:AC16,"Yes")/COUNTA(Y16:AC16))</x:f>
        <x:v>1</x:v>
      </x:c>
    </x:row>
    <x:row r="17">
      <x:c r="A17" s="27" t="str">
        <x:v>EEI-2026-012</x:v>
      </x:c>
      <x:c r="B17" s="27" t="str">
        <x:v>RTX AMRAAM multiyear production ramp</x:v>
      </x:c>
      <x:c r="C17" s="27" t="str">
        <x:v>Defense and aerospace</x:v>
      </x:c>
      <x:c r="D17" s="30" t="n">
        <x:v>46290.166666666664</x:v>
      </x:c>
      <x:c r="E17" s="30" t="n">
        <x:v>46294.50347222222</x:v>
      </x:c>
      <x:c r="F17" s="27" t="str">
        <x:v>Strong</x:v>
      </x:c>
      <x:c r="G17" s="27" t="str">
        <x:v>Government award and defense industrial policy</x:v>
      </x:c>
      <x:c r="H17" s="27" t="str">
        <x:v>Raytheon AMRAAM backlog, production volume and recognized defense revenue</x:v>
      </x:c>
      <x:c r="I17" s="27" t="str">
        <x:v>Up</x:v>
      </x:c>
      <x:c r="J17" s="27" t="str">
        <x:v>One to seven years</x:v>
      </x:c>
      <x:c r="K17" s="27" t="n">
        <x:v>5</x:v>
      </x:c>
      <x:c r="L17" s="27" t="n">
        <x:v>1</x:v>
      </x:c>
      <x:c r="M17" s="27" t="str">
        <x:v>WAIT</x:v>
      </x:c>
      <x:c r="N17" s="29" t="str">
        <x:v>The Air Force awarded Raytheon a new sole-source, not-to-exceed $20.699 billion multiyear AMRAAM contract through June 2033. The award covers all-up rounds, guidance sections, direct charges and foreign-military-sales offsets; about $154.35 million was obligated at award.</x:v>
      </x:c>
      <x:c r="O17" s="29" t="str">
        <x:v>Funded missile orders and capacity investment can raise AMRAAM output, Raytheon backlog and recognized defense revenue over multiple years. The same production ramp can support suppliers, but RTX is the only clean named public recipient.</x:v>
      </x:c>
      <x:c r="P17" s="29" t="str">
        <x:v>The Department of War contract notice identifies award FA8556-26-C-B001 as a sole-source multiyear action, and RTX confirmed a five-year term plus two option years. RTX said 2025 output nearly doubled and the program targets at least 1,900 missiles annually. RTX had already reported $119 billion of defense backlog and 18% Raytheon sales growth in Q2. October 1-3 confirmation: RTX and Reuters reported a second Raytheon multiyear production award, up to $24.4 billion for Navy SM-6 interceptors over five years plus two option years. RTX said the program supports materially higher output; the new ceiling equals about 20% of RTX's previously reported $119 billion defense backlog and about 28% of 2025 company sales, although revenue would be spread over years and depends on funded orders. October 10: the Department of War announced new contract HQ0851-27-C-E001 for Raytheon to manufacture SM-3 Block IB all-up rounds. It is a noncompetitive, multi-year undefinitized action with a $4.432 billion base, $6.342 billion potential value including options and $454.215 million obligated at award. RTX separately confirmed a five-year term plus two option years and production in Tucson and Huntsville.</x:v>
      </x:c>
      <x:c r="Q17" s="29" t="str">
        <x:v>The $20.699 billion figure is a ceiling, not funded revenue. Only about $154.35 million was obligated initially; the action is partly undefinitized and Congress has not appropriated the full multiyear amount. February production agreements made the ramp partly expected, while fixed-price execution, supply-chain capacity and margin conversion remain material risks. For the SM-6 award, the public announcement did not disclose the award identifier, initial obligation, current funded value, NAICS/PSC, competition status or country-by-country order mix. Reuters reported Congress has not appropriated the multiyear funding, and the broad production increase had been signaled earlier. Ceiling value is not revenue, while fixed-price execution, supplier capacity and margin conversion remain decisive. October 10: the new award remains undefinitized and only about 7.2% of the potential ceiling was obligated at award. NAICS and PSC were not yet visible in USAspending, congressional funding and option exercise remain necessary, and August production agreements made the broad direction partly expected. Fixed-price execution, supply-chain capacity and cash conversion remain material risks.</x:v>
      </x:c>
      <x:c r="R17" s="29"/>
      <x:c r="S17" s="29" t="str">
        <x:v>RTX rose about 1.3% after hours on the announcement but was near $187.66 at the scan, without a distinct sustained breakout. Market recognition is positive but modest relative to the headline ceiling, consistent with the small initial obligation and prior expectations. RTX fell about 0.5% on October 2 after the SM-6 award and remained roughly 9% below its Iran-war level; the aerospace-and-defense ETF was down about 15% over the same period. The muted response confirms the award is not a clean unpriced catalyst and supports WAIT. October 10: RTX closed October 9 at $185.97, up about 0.89% for the session. The modest response supports material operating confirmation but not a distinct unpriced entry. Entry Window remains WAIT pending definitization, larger funded obligations and backlog-to-cash-flow conversion, or an orderly consolidation.</x:v>
      </x:c>
      <x:c r="T17" s="29" t="str">
        <x:v>RTX is the direct conditional expression. Broad defense ETFs dilute AMRAAM exposure. WAIT for larger funded obligations, appropriations and backlog-to-revenue evidence, or an orderly non-headline pullback or consolidation. Valuation, fixed-price execution, supply-chain and capital-allocation risks remain. RTX remains the direct conditional expression for the combined Raytheon production ramp. WAIT for disclosed funded obligations, congressional appropriations and backlog-to-cash-flow conversion, or an orderly consolidation that preserves the thesis. Do not treat the aggregate AMRAAM and SM-6 ceilings as funded backlog.</x:v>
      </x:c>
      <x:c r="U17" s="29" t="str">
        <x:v>Congress fails to fund the multiyear plan, obligations remain immaterial, production does not approach the 1,900-unit goal, cost overruns or supplier constraints compress margins, or backlog fails to convert into cash flow.</x:v>
      </x:c>
      <x:c r="V17" s="43" t="str">
        <x:v>2026-09-29: The new AMRAAM award should increase Raytheon funded backlog, production volume and recognized defense revenue over one to seven years, but the $20.699 billion ceiling will convert only as Congress funds orders and RTX executes deliveries. Initial Entry Window: WAIT because only about $154.35 million was initially obligated, the ramp was partly anticipated and valuation leaves limited unpriced edge.</x:v>
      </x:c>
      <x:c r="W17" s="43" t="d">
        <x:v>2026-10-20T12:00:00.000Z</x:v>
      </x:c>
      <x:c r="X17" s="43"/>
      <x:c r="Y17" s="29"/>
      <x:c r="Z17" s="29"/>
      <x:c r="AA17" s="29"/>
      <x:c r="AB17" s="29"/>
      <x:c r="AC17" s="29"/>
      <x:c r="AD17" s="29" t="str">
        <x:v>Open. New Strong thesis at confidence 4/5 and trading edge 1/5. Primary government and company records establish the award and production mechanism; limited initial obligations, appropriation risk, partial prior anticipation and fixed-price execution risk keep Entry Window WAIT. No real trade is authorized. October 3 update: a second major Raytheon ceiling strengthens the missile-production mechanism and raises confidence to 5/5. Trading edge remains 1/5 and Entry Window remains WAIT because initial SM-6 obligations and detailed award terms are not public, funding still depends on Congress, the ramp was partly anticipated and RTX did not rally. Next review is RTX's October 20 earnings or earlier funded-award disclosure. Initial Prediction Frozen was not changed. October 10: EEI-2026-012 remains Strong at 5/5 confidence, 1/5 trading edge and WAIT. The SM-3 award broadens the confirmed Raytheon missile-production ramp across AMRAAM, SM-6 and SM-3, but partial funding, undefinitized terms and a modest market response leave limited remaining edge. Next review remains October 20. Initial Prediction Frozen was not changed.</x:v>
      </x:c>
      <x:c r="AE17" s="31" t="str">
        <x:f>IF(COUNTA(Y17:AC17)=0,"",COUNTIF(Y17:AC17,"Yes")/COUNTA(Y17:AC17))</x:f>
      </x:c>
    </x:row>
    <x:row r="18">
      <x:c r="A18" s="27" t="str">
        <x:v>EEI-2026-013</x:v>
      </x:c>
      <x:c r="B18" s="27" t="str">
        <x:v>Boeing F/A-XX development and defense backlog</x:v>
      </x:c>
      <x:c r="C18" s="27" t="str">
        <x:v>Defense and aerospace</x:v>
      </x:c>
      <x:c r="D18" s="30" t="n">
        <x:v>46295.51619212963</x:v>
      </x:c>
      <x:c r="E18" s="30" t="n">
        <x:v>46295.51619212963</x:v>
      </x:c>
      <x:c r="F18" s="27" t="str">
        <x:v>Strong</x:v>
      </x:c>
      <x:c r="G18" s="27" t="str">
        <x:v>Government contract award</x:v>
      </x:c>
      <x:c r="H18" s="27" t="str">
        <x:v>Boeing defense development backlog and funded revenue conversion</x:v>
      </x:c>
      <x:c r="I18" s="27" t="str">
        <x:v>Up</x:v>
      </x:c>
      <x:c r="J18" s="27" t="str">
        <x:v>Years</x:v>
      </x:c>
      <x:c r="K18" s="27" t="n">
        <x:v>4</x:v>
      </x:c>
      <x:c r="L18" s="27" t="n">
        <x:v>1</x:v>
      </x:c>
      <x:c r="M18" s="27" t="str">
        <x:v>WAIT</x:v>
      </x:c>
      <x:c r="N18" s="29" t="str">
        <x:v>The Pentagon selected Boeing for the Navy's F/A-XX next-generation stealth fighter development contract, reported at about $20 billion for test aircraft. The program could become much larger if production proceeds in the 2030s.</x:v>
      </x:c>
      <x:c r="O18" s="29" t="str">
        <x:v>A large new development program can sustain Boeing's St. Louis fighter engineering and production base, expand Defense, Space &amp; Security backlog and create long-duration revenue if appropriations, engineering milestones and later production awards convert into funded work.</x:v>
      </x:c>
      <x:c r="P18" s="29" t="str">
        <x:v>Reuters reported the Pentagon's selection and a roughly $20 billion development value. Congress had already provided $750 million in the 2025 spending law and another $1.4 billion for fiscal 2026. Boeing's Q2 filing reported $7.5 billion of quarterly Defense, Space &amp; Security revenue and $715 billion of total company backlog, establishing company-scale context.</x:v>
      </x:c>
      <x:c r="Q18" s="29" t="str">
        <x:v>The public announcement did not disclose an award identifier, current obligated amount, NAICS or PSC, detailed period of performance or contract type. The Navy previously considered a delay because of engineering and supply-chain capacity; first production is not expected until the 2030s. Boeing is simultaneously developing the Air Force F-47, its defense segment remained near break-even, and the FAA's MAX 10 delay shows material company-wide execution risk.</x:v>
      </x:c>
      <x:c r="R18" s="29" t="str"/>
      <x:c r="S18" s="29" t="str">
        <x:v>Boeing rose about 2.25% after hours and roughly 2.1% premarket, while Northrop Grumman fell about 3.5%. The immediate reaction confirms importance but also shows that part of the award was repriced quickly.</x:v>
      </x:c>
      <x:c r="T18" s="29" t="str">
        <x:v>BA is the direct conditional expression, but commercial-aircraft, certification, labor, balance-sheet and fixed-price defense risks dilute the F/A-XX catalyst. WAIT for disclosed funding and backlog treatment, a clearer contract structure and evidence that defense margins can absorb parallel sixth-generation programs without a headline-chasing entry.</x:v>
      </x:c>
      <x:c r="U18" s="29" t="str">
        <x:v>The award is delayed, materially underfunded, reduced or reversed; engineering capacity prevents simultaneous F-47 and F/A-XX execution; cost overruns erase margin; or funded backlog and defense cash flow fail to improve.</x:v>
      </x:c>
      <x:c r="V18" s="43" t="str">
        <x:v>2026-09-30: The F/A-XX selection should increase Boeing's long-duration defense backlog and preserve its fighter franchise, but revenue and margin conversion depend on appropriations, undisclosed contract terms and execution across two sixth-generation programs. Initial Entry Window: WAIT pending funded backlog disclosure and non-headline price confirmation.</x:v>
      </x:c>
      <x:c r="W18" s="43" t="n">
        <x:v>46325.5</x:v>
      </x:c>
      <x:c r="X18" s="43"/>
      <x:c r="Y18" s="29"/>
      <x:c r="Z18" s="29"/>
      <x:c r="AA18" s="29"/>
      <x:c r="AB18" s="29"/>
      <x:c r="AC18" s="29"/>
      <x:c r="AD18" s="29" t="str">
        <x:v>Open. New Strong thesis at confidence 4/5 and trading edge 1/5. The Pentagon selection and program value are material, but the public record lacks the award identifier, obligated amount, contract type and detailed performance period. Market reaction was immediate and Boeing retains substantial commercial and defense execution risk. Entry Window WAIT. No real trade is authorized.</x:v>
      </x:c>
      <x:c r="AE18" s="31" t="str">
        <x:f>IF(COUNTA(Y18:AC18)=0,"",COUNTIF(Y18:AC18,"Yes")/COUNTA(Y18:AC18))</x:f>
      </x:c>
    </x:row>
    <x:row r="19">
      <x:c r="A19" s="27" t="str">
        <x:v>EEI-2026-014</x:v>
      </x:c>
      <x:c r="B19" s="27" t="str">
        <x:v>AI memory scarcity and Micron contracted demand</x:v>
      </x:c>
      <x:c r="C19" s="27" t="str">
        <x:v>Semiconductors and technology</x:v>
      </x:c>
      <x:c r="D19" s="30" t="n">
        <x:v>46296</x:v>
      </x:c>
      <x:c r="E19" s="30" t="n">
        <x:v>46296.345</x:v>
      </x:c>
      <x:c r="F19" s="27" t="str">
        <x:v>Strong</x:v>
      </x:c>
      <x:c r="G19" s="27" t="str">
        <x:v>Corporate earnings and Motley Fool idea trigger</x:v>
      </x:c>
      <x:c r="H19" s="27" t="str">
        <x:v>AI-memory pricing, contracted demand, revenue and operating cash flow</x:v>
      </x:c>
      <x:c r="I19" s="27" t="str">
        <x:v>Up</x:v>
      </x:c>
      <x:c r="J19" s="27" t="str">
        <x:v>Quarters to two years</x:v>
      </x:c>
      <x:c r="K19" s="27" t="n">
        <x:v>4</x:v>
      </x:c>
      <x:c r="L19" s="27" t="n">
        <x:v>1</x:v>
      </x:c>
      <x:c r="M19" s="27" t="str">
        <x:v>WAIT</x:v>
      </x:c>
      <x:c r="N19" s="29" t="str">
        <x:v>A free October 1 Motley Fool news editorial flagged Micron's record quarter and long-term supply agreements. Micron's primary release and independent reporting confirmed a large earnings inflection and signed customer commitments; Motley Fool remains the trigger only.</x:v>
      </x:c>
      <x:c r="O19" s="29" t="str">
        <x:v>AI servers require high-bandwidth and other advanced memory. Tight supply plus take-or-pay commitments, deposits and pricing floors can sustain pricing, utilization, revenue and cash flow while reducing the usual memory-cycle volatility.</x:v>
      </x:c>
      <x:c r="P19" s="29" t="str">
        <x:v>Micron reported Q4 revenue of $54.23 billion, GAAP net income of $37.70 billion, operating cash flow of $43.97 billion and FY2026 adjusted free cash flow of $62.31 billion. It guided Q1 FY2027 revenue to $61.5 billion plus or minus $1.5 billion. Reuters reported strategic-customer commitments rose to $32 billion from $22 billion in June. Nvidia separately said extreme memory pricing exceeded expectations and supply should remain a bottleneck through fiscal 2028.</x:v>
      </x:c>
      <x:c r="Q19" s="29" t="str">
        <x:v>Micron shares had risen nearly sixfold over the prior year and were little changed after the report, suggesting exceptional results were substantially expected. Q1 gross-margin guidance eased slightly, capital spending is accelerating, customer and AI concentration are high, and memory remains historically cyclical.</x:v>
      </x:c>
      <x:c r="R19" s="29"/>
      <x:c r="S19" s="29" t="str">
        <x:v>Micron was roughly flat to modestly positive before the October 1 open despite the earnings beat. Asian chip markets rallied, confirming the industry read-through, while the 10-year Treasury yield near 5.28% and weak U.S. breadth limited equity confirmation. Strong business evidence does not yet establish a favorable entry.</x:v>
      </x:c>
      <x:c r="T19" s="29" t="str">
        <x:v>MU shares are the direct conditional expression; semiconductor ETFs dilute the memory-specific mechanism. WAIT for a non-headline consolidation or retracement that holds while signed demand, pricing and free cash flow remain intact. Valuation, cycle, customer concentration, capex and technology-substitution risks apply.</x:v>
      </x:c>
      <x:c r="U19" s="29" t="str">
        <x:v>Strategic commitments are cancelled or fail to convert, memory pricing and margins fall faster than expected, AI infrastructure spending slows materially, free cash flow deteriorates despite capex, or the stock fails to hold a post-earnings consolidation.</x:v>
      </x:c>
      <x:c r="V19" s="43" t="str">
        <x:v>2026-10-01: AI-driven memory scarcity and signed customer commitments will keep Micron revenue, pricing power and operating cash flow elevated over the next several quarters, but the equity's nearly sixfold one-year move makes immediate entry unattractive. Initial Entry Window: WAIT.</x:v>
      </x:c>
      <x:c r="W19" s="43" t="n">
        <x:v>46386</x:v>
      </x:c>
      <x:c r="X19" s="43"/>
      <x:c r="Y19" s="29"/>
      <x:c r="Z19" s="29"/>
      <x:c r="AA19" s="29"/>
      <x:c r="AB19" s="29"/>
      <x:c r="AC19" s="29"/>
      <x:c r="AD19" s="29" t="str">
        <x:v>Opened Strong at confidence 4/5 and trading edge 1/5. Primary earnings, signed demand and Nvidia's independent memory-scarcity disclosure support the mechanism. Entry Window WAIT because the stock already reflects much of the improvement, breadth and rates are adverse, and post-earnings price confirmation is weak. Motley Fool is trigger only.</x:v>
      </x:c>
      <x:c r="AE19" s="31" t="str">
        <x:f>IF(COUNTA(Y19:AC19)=0,"",COUNTIF(Y19:AC19,"Yes")/COUNTA(Y19:AC19))</x:f>
      </x:c>
    </x:row>
    <x:row r="20">
      <x:c r="A20" s="27" t="str">
        <x:v>EEI-2026-015</x:v>
      </x:c>
      <x:c r="B20" s="27" t="str">
        <x:v>Vistra nuclear uprate financing and output growth</x:v>
      </x:c>
      <x:c r="C20" s="27" t="str">
        <x:v>Utilities and nuclear energy</x:v>
      </x:c>
      <x:c r="D20" s="30" t="d">
        <x:v>2026-10-03T12:00:00.000Z</x:v>
      </x:c>
      <x:c r="E20" s="30" t="d">
        <x:v>2026-10-04T12:19:00.000Z</x:v>
      </x:c>
      <x:c r="F20" s="27" t="str">
        <x:v>Strong</x:v>
      </x:c>
      <x:c r="G20" s="27" t="str">
        <x:v>Government financing and energy policy</x:v>
      </x:c>
      <x:c r="H20" s="27" t="str">
        <x:v>Vistra nuclear generation capacity, capital cost and cash flow</x:v>
      </x:c>
      <x:c r="I20" s="27" t="str">
        <x:v>Up</x:v>
      </x:c>
      <x:c r="J20" s="27" t="str">
        <x:v>One to five years</x:v>
      </x:c>
      <x:c r="K20" s="27" t="n">
        <x:v>4</x:v>
      </x:c>
      <x:c r="L20" s="27" t="n">
        <x:v>1</x:v>
      </x:c>
      <x:c r="M20" s="27" t="str">
        <x:v>WAIT</x:v>
      </x:c>
      <x:c r="N20" s="29" t="str">
        <x:v>Reuters reported that the U.S. plans to lend Vistra about $4.2 billion to uprate at least three of its four nuclear stations, with an official announcement expected October 5. DOE's public environmental notice independently confirms review of a proposed federal loan guarantee for the Perry uprate, but neither DOE nor Vistra had confirmed the loan amount or terms at the scan cutoff.</x:v>
      </x:c>
      <x:c r="O20" s="29" t="str">
        <x:v>If low-cost federal financing closes and funds economic uprates, Vistra can add nuclear megawatt-hours from existing sites with lower construction and permitting risk than new reactors. Higher output sold into rising power demand could increase generation revenue and cash flow after financing costs and project execution.</x:v>
      </x:c>
      <x:c r="P20" s="29" t="str">
        <x:v>Reuters identified the planned amount, intended use and expected announcement. DOE lists a September 15-October 15 environmental review for a proposed Vistra Perry Nuclear Power Plant uprate loan guarantee. Vistra operates six reactors totaling more than 6.5 GW and reported second-quarter adjusted EBITDA of $1.77 billion, 2026 adjusted free-cash-flow-before-growth guidance of $3.93-$4.73 billion and $6.30 billion of liquidity. October 5 primary confirmation: Vistra and Meta's January agreements cover 2,176 MW of existing nuclear generation plus 433 MW of incremental uprates at Perry, Davis-Besse and Beaver Valley under 20-year power purchase agreements. The uprates are expected through 2034. This confirms output quantum, counterparties and a long-duration revenue mechanism independent of the reported federal loan. October 5 official DOE confirmation: a conditional loan commitment of up to $4.2 billion would finance Vistra uprates and modernization at Beaver Valley, Davis-Besse and Perry, preserve nearly 4 GW, add 433 MW and support operations for 20 years beyond existing licenses; an option covers possible Comanche Peak uprates.</x:v>
      </x:c>
      <x:c r="Q20" s="29" t="str">
        <x:v>The $4.2 billion figure comes from one anonymous source; DOE and Vistra did not comment. Award identifier, loan program, interest rate, maturity, current commitment, obligated amount, MW uplift, capex schedule, competition status and economics are undisclosed. Vistra is substantially hedged through 2028, uprates require execution and fuel work, and borrowing does not create value unless incremental returns exceed the financing and project risk. The 433 MW program and Meta PPAs were public in January, so a federal loan may finance an already-announced plan rather than create additional output. DOE had not published binding loan terms by the scan cutoff, the buildout extends through 2034, and VST rose about 6% premarket on the report. Vistra also recently issued $1.5 billion of 7.0%-7.25% junior subordinated notes, making loan pricing and covenants material. The commitment is conditional, not funded: Vistra must satisfy technical, legal, environmental and financial conditions before definitive documents and disbursement. The 433 MW uprates and Meta PPAs were already public, and execution extends through 2034.</x:v>
      </x:c>
      <x:c r="R20" s="29"/>
      <x:c r="S20" s="29" t="str">
        <x:v>No post-headline market session exists because the report was published Saturday. VST closed October 1 at $139.75, about 36% below its 52-week high, but that move predates the loan report and is not confirmation. October 5: the premarket gain confirms headline sensitivity but is not a settled regular-session signal. The direct equity remains vulnerable to a fade if official terms disappoint or merely finance the known 433 MW plan. VST rose about 3.5% and closed above its 50-day average after the official announcement, providing market recognition but not a favorable entry after a headline move.</x:v>
      </x:c>
      <x:c r="T20" s="29" t="str">
        <x:v>VST is the direct conditional expression. Nuclear and uranium funds dilute the company-specific financing and uprate mechanism. WAIT for the official DOE and Vistra announcement, binding terms, MW and capex disclosures, and a non-headline price structure. Loan, execution, commodity, hedging, regulatory and balance-sheet risks apply. VST remains the direct conditional expression. Entry Window remains WAIT pending official DOE amount, rate, maturity, conditions and a non-headline price structure; the 433 MW program is now independently confirmed but long dated. VST remains the direct conditional expression. Entry Window: WAIT for definitive financing documents, disclosed economics and an orderly price structure; NLR/URA dilute the company-specific financing and output mechanism.</x:v>
      </x:c>
      <x:c r="U20" s="29" t="str">
        <x:v>DOE or Vistra denies or materially reduces the financing; the commitment remains nonbinding; uprates are delayed, uneconomic or immaterial; incremental capacity fails to improve earnings and cash flow; or project financing worsens leverage without adequate returns.</x:v>
      </x:c>
      <x:c r="V20" s="43" t="str">
        <x:v>2026-10-04: If DOE formally commits financing near $4.2 billion for economic uprates at multiple Vistra nuclear stations, nuclear output and long-run cash-flow capacity should rise over one to five years. Initial Entry Window: WAIT pending official terms, MW uplift, capex timing, project economics and market confirmation.</x:v>
      </x:c>
      <x:c r="W20" s="43" t="d">
        <x:v>2026-11-06T12:00:00.000Z</x:v>
      </x:c>
      <x:c r="X20" s="43"/>
      <x:c r="Y20" s="29"/>
      <x:c r="Z20" s="29"/>
      <x:c r="AA20" s="29"/>
      <x:c r="AB20" s="29"/>
      <x:c r="AC20" s="29"/>
      <x:c r="AD20" s="29" t="str">
        <x:v>Opened as Hypothesis at confidence 2/5 and trading edge 1/5. The project review and operating mechanism are credible, but the reported amount is not yet an official commitment and no market session has tested the news. Reassess immediately after the expected October 5 announcement and again with Vistra's November 6 results. No real trade is authorized. October 5 checkpoint: primary Vistra and SEC materials independently confirm 433 MW of uprates and 20-year Meta offtake, raising EEI-2026-015 from Hypothesis to Developing at 3/5 confidence. Trading edge remains 1/5 and Entry Window remains WAIT because the loan is unconfirmed, the output plan was already known, completion runs through 2034 and the stock gapped premarket. Initial Prediction Frozen was not changed. October 6: promoted from Developing 3/5 to Strong 4/5 after DOE formally announced the $4.2 billion conditional commitment and quantified 433 MW. Trading edge stays 1/5 and Entry Window WAIT because funding conditions, returns and execution remain unresolved. Initial Prediction Frozen was not changed.</x:v>
      </x:c>
      <x:c r="AE20" s="31" t="str">
        <x:f>IF(COUNTA(Y20:AC20)=0,"",COUNTIF(Y20:AC20,"Yes")/COUNTA(Y20:AC20))</x:f>
      </x:c>
    </x:row>
    <x:row r="21">
      <x:c r="A21" s="27" t="str">
        <x:v>EEI-2026-016</x:v>
      </x:c>
      <x:c r="B21" s="27" t="str">
        <x:v>Alector-Genentech AL050 license and cash-runway extension</x:v>
      </x:c>
      <x:c r="C21" s="27" t="str">
        <x:v>Healthcare and biotechnology</x:v>
      </x:c>
      <x:c r="D21" s="30" t="d">
        <x:v>2026-10-05T12:57:00.000Z</x:v>
      </x:c>
      <x:c r="E21" s="30" t="d">
        <x:v>2026-10-05T12:57:00.000Z</x:v>
      </x:c>
      <x:c r="F21" s="27" t="str">
        <x:v>Developing</x:v>
      </x:c>
      <x:c r="G21" s="27" t="str">
        <x:v>Corporate licensing and platform validation</x:v>
      </x:c>
      <x:c r="H21" s="27" t="str">
        <x:v>Non-dilutive cash runway and probability-adjusted ABC-platform value</x:v>
      </x:c>
      <x:c r="I21" s="27" t="str">
        <x:v>Up</x:v>
      </x:c>
      <x:c r="J21" s="27" t="str">
        <x:v>One quarter to five years</x:v>
      </x:c>
      <x:c r="K21" s="27" t="n">
        <x:v>3</x:v>
      </x:c>
      <x:c r="L21" s="27" t="n">
        <x:v>1</x:v>
      </x:c>
      <x:c r="M21" s="27" t="str">
        <x:v>WAIT</x:v>
      </x:c>
      <x:c r="N21" s="29" t="str">
        <x:v>Alector and Genentech announced an exclusive worldwide AL050 license. Genentech will pay $100 million upfront, up to $1.17 billion in development, regulatory and commercial milestones, plus tiered royalties, and will assume development, manufacturing and commercialization. Alector said the upfront payment extends cash runway into 2029.</x:v>
      </x:c>
      <x:c r="O21" s="29" t="str">
        <x:v>The upfront cash is material relative to Alector's June cash and securities balance and shifts AL050 development spending to Genentech. That reduces near-term funding and dilution risk while providing external validation of Alector's blood-brain-barrier platform. Longer-run value depends on preclinical-to-clinical translation and contingent milestones, not the headline total.</x:v>
      </x:c>
      <x:c r="P21" s="29" t="str">
        <x:v>The SEC-filed company release confirms the $100 million upfront payment, contingent milestones, royalties, responsibility transfer and stated 2029 runway. Alector's June 10-Q reported $172.8 million of cash and marketable securities, modest collaboration revenue and continuing operating losses, making the non-dilutive payment economically material. Reuters independently reported the agreement and sharp premarket repricing.</x:v>
      </x:c>
      <x:c r="Q21" s="29" t="str">
        <x:v>AL050 is preclinical, most of the $1.27 billion headline value is contingent, and neuroscience attrition is high. The agreement remains subject to closing conditions. Alector continues to burn cash, and a 44%-72% premarket jump leaves substantial headline-chasing and dilution risk if execution slips.</x:v>
      </x:c>
      <x:c r="R21" s="29"/>
      <x:c r="S21" s="29" t="str">
        <x:v>ALEC repriced sharply premarket after already rising the prior session, confirming materiality but not an investable entry. There is no regular-session price structure or clinical validation yet.</x:v>
      </x:c>
      <x:c r="T21" s="29" t="str">
        <x:v>ALEC is the direct conditional expression; Roche is too diversified for the mechanism and biotechnology funds dilute it. Entry Window: WAIT for closing, management's October 13 briefing, a non-chasing price structure and evidence that the 2029 runway is achieved without offsetting dilution.</x:v>
      </x:c>
      <x:c r="U21" s="29" t="str">
        <x:v>Failure or delay of closing; runway falling materially short of 2029; AL050 failing IND-enabling or early clinical milestones; broader platform delays; or equity issuance offsetting the funding benefit would invalidate or materially weaken the thesis.</x:v>
      </x:c>
      <x:c r="V21" s="43" t="str">
        <x:v>2026-10-05: The $100 million upfront Genentech license should extend Alector's cash runway into 2029 and validate the ABC platform, but most headline value is contingent and AL050 remains preclinical. Initial Entry Window: WAIT after the headline repricing pending closing, pipeline execution and a non-chasing price structure.</x:v>
      </x:c>
      <x:c r="W21" s="43" t="d">
        <x:v>2026-10-13T12:00:00.000Z</x:v>
      </x:c>
      <x:c r="X21" s="43"/>
      <x:c r="Y21" s="29"/>
      <x:c r="Z21" s="29"/>
      <x:c r="AA21" s="29"/>
      <x:c r="AB21" s="29"/>
      <x:c r="AC21" s="29"/>
      <x:c r="AD21" s="29" t="str">
        <x:v>Opened as Developing at confidence 3/5 and trading edge 1/5. Primary records confirm a financially material upfront payment and responsibility transfer; the science remains preclinical and the direct equity gapped sharply. No real trade is authorized.</x:v>
      </x:c>
      <x:c r="AE21" s="31" t="str">
        <x:f>IF(COUNTA(Y21:AC21)=0,"",COUNTIF(Y21:AC21,"Yes")/COUNTA(Y21:AC21))</x:f>
      </x:c>
    </x:row>
    <x:row r="22">
      <x:c r="A22" s="27" t="str">
        <x:v>EEI-2026-017</x:v>
      </x:c>
      <x:c r="B22" s="27" t="str">
        <x:v>Constellation-Google nuclear uprates and PJM supply agreement</x:v>
      </x:c>
      <x:c r="C22" s="27" t="str">
        <x:v>Utilities, nuclear energy and data-center power</x:v>
      </x:c>
      <x:c r="D22" s="30" t="d">
        <x:v>2026-10-06T12:00:00.000Z</x:v>
      </x:c>
      <x:c r="E22" s="30" t="d">
        <x:v>2026-10-06T12:19:43.000Z</x:v>
      </x:c>
      <x:c r="F22" s="27" t="str">
        <x:v>Strong</x:v>
      </x:c>
      <x:c r="G22" s="27" t="str">
        <x:v>Corporate power purchase agreement and capacity expansion</x:v>
      </x:c>
      <x:c r="H22" s="27" t="str">
        <x:v>Contracted nuclear generation capacity and long-duration revenue certainty</x:v>
      </x:c>
      <x:c r="I22" s="27" t="str">
        <x:v>Up</x:v>
      </x:c>
      <x:c r="J22" s="27" t="str">
        <x:v>Two to twenty years</x:v>
      </x:c>
      <x:c r="K22" s="27" t="n">
        <x:v>5</x:v>
      </x:c>
      <x:c r="L22" s="27" t="n">
        <x:v>1</x:v>
      </x:c>
      <x:c r="M22" s="27" t="str">
        <x:v>WAIT</x:v>
      </x:c>
      <x:c r="N22" s="29" t="str">
        <x:v>Google and Constellation announced a 20-year PPA intended to enable 890 MW of entirely new nuclear capacity from uprates at 11 units, a 15-year supply agreement for 2,700 MW of existing PJM generation and more than $4.3 billion of Constellation investment.</x:v>
      </x:c>
      <x:c r="O22" s="29" t="str">
        <x:v>A long-duration creditworthy offtake contract can support turbine, steam-generator and control-system investments that add output without greenfield interconnection delays. The additional 2,700 MW supply agreement can increase revenue visibility for existing plants while data-center demand supports utilization.</x:v>
      </x:c>
      <x:c r="P22" s="29" t="str">
        <x:v>The joint Google-Constellation release specifies 890 MW of new capacity, first delivery expected in 2028, 2,700 MW of existing supply, 20- and 15-year terms and more than $4.3 billion of investment. Reuters independently confirmed the 3.59 GW package. Constellation's Q2 release reported $7.50 billion revenue, $2.55 adjusted operating EPS and raised full-year guidance.</x:v>
      </x:c>
      <x:c r="Q22" s="29" t="str">
        <x:v>Contract pricing, returns, termination protections and regulatory milestones were not disclosed. The program requires multi-site uprates and more than $4.3 billion of execution; Constellation is also integrating Calpine. Q2 GAAP EPS fell and nuclear capacity factor eased. Prior large technology PPAs made the theme partly anticipated. October 7 modifier: the market response confirms materiality, not project returns. Pricing, regulatory approvals, capital recovery, multi-site execution and Calpine integration remain unresolved, and the sharp one-day repricing reduces near-term trading edge.</x:v>
      </x:c>
      <x:c r="R22" s="29"/>
      <x:c r="S22" s="29" t="str">
        <x:v>CEG rose about 6.4% premarket and traded roughly 6%-7% higher, confirming materiality but creating immediate headline-chasing risk. The shares remained well below their 52-week high, but price discovery and contract economics are incomplete. October 6 regular-session close: CEG rose about 12.2% to $300.40 and helped lead a broader nuclear and power-equity rally, providing strong market confirmation that investors view the Google contract as economically material. The gap also worsens headline-chasing risk.</x:v>
      </x:c>
      <x:c r="T22" s="29" t="str">
        <x:v>CEG is the direct conditional expression; GOOGL is too diversified and nuclear/uranium funds dilute the company-specific PPA. Entry Window: WAIT for price discovery, disclosed project returns and regulatory/execution milestones. Construction, outage, integration, leverage and valuation risks apply.</x:v>
      </x:c>
      <x:c r="U22" s="29" t="str">
        <x:v>The PPA or supply agreement is canceled or materially delayed; uprates fail to clear regulatory or engineering milestones; capex or financing materially exceeds disclosed economics; contracted cash-flow benefits fail to emerge; or leverage and Calpine integration weaken materially.</x:v>
      </x:c>
      <x:c r="V22" s="43" t="str">
        <x:v>2026-10-06: Google's 20-year PPA should enable 890 MW of new Constellation nuclear capacity and the 15-year 2,700 MW supply agreement should improve contracted revenue certainty over several years, but project economics, execution and timing remain unproven. Initial Entry Window: WAIT after the headline gap pending price discovery, disclosed returns and execution milestones.</x:v>
      </x:c>
      <x:c r="W22" s="43" t="d">
        <x:v>2026-11-06T12:00:00.000Z</x:v>
      </x:c>
      <x:c r="X22" s="43"/>
      <x:c r="Y22" s="29"/>
      <x:c r="Z22" s="29"/>
      <x:c r="AA22" s="29"/>
      <x:c r="AB22" s="29"/>
      <x:c r="AC22" s="29"/>
      <x:c r="AD22" s="29" t="str">
        <x:v>Opened Strong at confidence 4/5 and trading edge 1/5. Primary contract terms and independent confirmation establish a material long-duration capacity mechanism. Entry Window WAIT because the stock gapped, returns are undisclosed and execution begins years before full delivery. No real trade is authorized. October 7: confidence increased from 4/5 to 5/5 after a roughly 12.2% regular-session gain and sector sympathy confirmed market recognition. Stage remains Strong, trading edge 1/5 and Entry Window WAIT because the price gap is extended and contract economics remain undisclosed. Initial Prediction Frozen was not changed.</x:v>
      </x:c>
      <x:c r="AE22" s="31" t="str">
        <x:f>IF(COUNTIF(Y22:AC22,"&lt;&gt;")=0,"",COUNTIF(Y22:AC22,"Yes")/COUNTA(Y22:AC22))</x:f>
      </x:c>
    </x:row>
    <x:row r="23">
      <x:c r="A23" s="27" t="str">
        <x:v>EEI-2026-018</x:v>
      </x:c>
      <x:c r="B23" s="27" t="str">
        <x:v>Boeing PAC-3 MSE seeker production ramp</x:v>
      </x:c>
      <x:c r="C23" s="27" t="str">
        <x:v>Defense and aerospace</x:v>
      </x:c>
      <x:c r="D23" s="30" t="d">
        <x:v>2026-10-05T18:52:00.000Z</x:v>
      </x:c>
      <x:c r="E23" s="30" t="d">
        <x:v>2026-10-06T12:19:43.000Z</x:v>
      </x:c>
      <x:c r="F23" s="27" t="str">
        <x:v>Developing</x:v>
      </x:c>
      <x:c r="G23" s="27" t="str">
        <x:v>Defense subcontract and industrial-base expansion</x:v>
      </x:c>
      <x:c r="H23" s="27" t="str">
        <x:v>Boeing PAC-3 seeker production, funded backlog and profitable defense revenue</x:v>
      </x:c>
      <x:c r="I23" s="27" t="str">
        <x:v>Up</x:v>
      </x:c>
      <x:c r="J23" s="27" t="str">
        <x:v>One to seven years</x:v>
      </x:c>
      <x:c r="K23" s="27" t="n">
        <x:v>3</x:v>
      </x:c>
      <x:c r="L23" s="27" t="n">
        <x:v>1</x:v>
      </x:c>
      <x:c r="M23" s="27" t="str">
        <x:v>WAIT</x:v>
      </x:c>
      <x:c r="N23" s="29" t="str">
        <x:v>Boeing announced an approximately $14.7 billion undefinitized contract action from Lockheed Martin to scale PAC-3 MSE seeker production under a seven-year framework and triple output.</x:v>
      </x:c>
      <x:c r="O23" s="29" t="str">
        <x:v>If appropriations and definitization convert the framework into funded orders, higher seeker volume can expand Boeing Defense backlog and revenue while spreading factory investment over more units. Demand is driven by U.S. and allied missile-defense replenishment.</x:v>
      </x:c>
      <x:c r="P23" s="29" t="str">
        <x:v>Boeing's primary release identifies the recipient, Lockheed prime relationship, seven-year framework, $14.7 billion approximate ceiling, undefinitized action and triple-production objective. Reuters independently confirmed the award and the link to Lockheed's U.S. government production framework. Boeing reported first-half Defense revenue of $15.1 billion and an $85 billion Defense backlog.</x:v>
      </x:c>
      <x:c r="Q23" s="29" t="str">
        <x:v>The action is undefinitized and the public record does not disclose an award identifier, funded obligation, NAICS/PSC, competition status, definitive period milestones or profit terms. Congress has not appropriated full framework funding. The ramp was announced in April and production/hiring already began, limiting surprise. Boeing Defense posted a Q2 operating loss and fixed-price execution remains weak.</x:v>
      </x:c>
      <x:c r="R23" s="29"/>
      <x:c r="S23" s="29" t="str">
        <x:v>BA was about 0.4% lower in early October 6 trading, so the large ceiling did not produce clean positive confirmation. The muted reaction is consistent with prior anticipation, funding uncertainty and Boeing's broader execution risks.</x:v>
      </x:c>
      <x:c r="T23" s="29" t="str">
        <x:v>BA is the direct but highly diluted expression; LMT is the prime but the seeker award is less material to its scale. Entry Window: WAIT for definitization, funded obligations, backlog recognition and evidence of profitable conversion. Commercial-aircraft, fixed-price, execution and balance-sheet risks dominate near term.</x:v>
      </x:c>
      <x:c r="U23" s="29" t="str">
        <x:v>The action is not definitized or materially funded; Congress does not appropriate the ramp; production fails to triple; supplier constraints or cost overruns prevent margin improvement; or the award fails to enter backlog and convert to cash flow.</x:v>
      </x:c>
      <x:c r="V23" s="43" t="str">
        <x:v>2026-10-06: A definitized and funded seven-year PAC-3 seeker award should raise Boeing defense production and backlog, but the $14.7 billion figure is an undefinitized ceiling and profitable conversion is unproven. Initial Entry Window: WAIT for obligations, definitization and margin evidence.</x:v>
      </x:c>
      <x:c r="W23" s="43" t="d">
        <x:v>2026-10-27T12:00:00.000Z</x:v>
      </x:c>
      <x:c r="X23" s="43"/>
      <x:c r="Y23" s="29"/>
      <x:c r="Z23" s="29"/>
      <x:c r="AA23" s="29"/>
      <x:c r="AB23" s="29"/>
      <x:c r="AC23" s="29"/>
      <x:c r="AD23" s="29" t="str">
        <x:v>Opened Developing at confidence 3/5 and trading edge 1/5. The contract action is real and material relative to Boeing Defense revenue, but it was partly anticipated, is not fully funded or definitized, and has no positive market confirmation. No real trade is authorized.</x:v>
      </x:c>
      <x:c r="AE23" s="31" t="str">
        <x:f>IF(COUNTIF(Y23:AC23,"&lt;&gt;")=0,"",COUNTIF(Y23:AC23,"Yes")/COUNTA(Y23:AC23))</x:f>
      </x:c>
    </x:row>
    <x:row r="24">
      <x:c r="A24" s="27" t="str">
        <x:v>EEI-2026-019</x:v>
      </x:c>
      <x:c r="B24" s="27" t="str">
        <x:v>IonQ DARPA quantum validation and funded revenue</x:v>
      </x:c>
      <x:c r="C24" s="27" t="str">
        <x:v>Technology, quantum computing and defense</x:v>
      </x:c>
      <x:c r="D24" s="30" t="d">
        <x:v>2026-10-07T12:00:00.000Z</x:v>
      </x:c>
      <x:c r="E24" s="30" t="d">
        <x:v>2026-10-13T11:58:45.000Z</x:v>
      </x:c>
      <x:c r="F24" s="27" t="str">
        <x:v>Developing</x:v>
      </x:c>
      <x:c r="G24" s="27" t="str">
        <x:v>Government R&amp;D agreement and technical validation</x:v>
      </x:c>
      <x:c r="H24" s="27" t="str">
        <x:v>Funded quantum-computing revenue, backlog quality and third-party technical credibility</x:v>
      </x:c>
      <x:c r="I24" s="27" t="str">
        <x:v>Up</x:v>
      </x:c>
      <x:c r="J24" s="27" t="str">
        <x:v>One to three years</x:v>
      </x:c>
      <x:c r="K24" s="27" t="n">
        <x:v>3</x:v>
      </x:c>
      <x:c r="L24" s="27" t="n">
        <x:v>1</x:v>
      </x:c>
      <x:c r="M24" s="27" t="str">
        <x:v>WAIT</x:v>
      </x:c>
      <x:c r="N24" s="29" t="str">
        <x:v>A free October 13 Motley Fool editorial highlighted IonQ and IBM after DARPA advanced both into the final stage of its Quantum Benchmarking Initiative. DARPA and IonQ primary records independently confirm IonQ's Stage C agreement with potential value up to $300 million through 2029; Motley Fool is trigger only.</x:v>
      </x:c>
      <x:c r="O24" s="29" t="str">
        <x:v>Milestone funding can convert government validation into revenue and backlog while DARPA testing can improve technical credibility with commercial and defense buyers. The mechanism depends on appropriations, milestone achievement, roadmap execution and disclosed obligations rather than the headline ceiling.</x:v>
      </x:c>
      <x:c r="P24" s="29" t="str">
        <x:v>DARPA advanced IonQ, IBM, Atom Computing and Diraq into Stage C to test whether their systems can achieve utility-scale operation by 2033. IonQ reported Q2 revenue of $80.1 million, up 287% year over year, FY2026 revenue guidance of $280-$290 million and roughly $3.0 billion of cash and investments before the SkyWater transaction. A fully realized $300 million ceiling would be material relative to current annual revenue.</x:v>
      </x:c>
      <x:c r="Q24" s="29" t="str">
        <x:v>The initial obligation, award identifier, NAICS/PSC, competition terms and milestone payment schedule are undisclosed; future funding depends on appropriations and DARPA actions. QBI is multi-performer and not a winner-take-all competition. IonQ reported a six-month operating loss near $608.8 million, trades around 46 times the top of 2026 revenue guidance, and agreed to an all-stock Elisity acquisition worth up to $1.3 billion plus a $150 million earnout without disclosing acquired revenue, creating dilution and integration risk.</x:v>
      </x:c>
      <x:c r="R24" s="29"/>
      <x:c r="S24" s="29" t="str">
        <x:v>IONQ did not positively confirm the October 7 selection: it closed $41.34 on October 7, $39.45 on October 8, $39.89 on October 9 and about $36.27 on October 12 after the Elisity announcement. The decline argues that the DARPA headline was partly anticipated or overwhelmed by valuation and dilution risk.</x:v>
      </x:c>
      <x:c r="T24" s="29" t="str">
        <x:v>IONQ is the direct conditional expression only after DARPA discloses a funded obligation or milestone schedule, contracted backlog converts to cash revenue, dilution remains controlled and the shares establish an orderly non-headline base. IBM is too diversified for the Stage C mechanism. Valuation, technical, appropriation, acquisition, dilution and execution risks apply.</x:v>
      </x:c>
      <x:c r="U24" s="29" t="str">
        <x:v>No meaningful DARPA obligation or milestone funding; failure to progress in Stage C; inability to meet technical roadmaps; government or commercial backlog failing to convert to revenue and cash; acquisition dilution or cash burn overwhelming growth; or competing architectures materially outperforming IonQ.</x:v>
      </x:c>
      <x:c r="V24" s="43" t="str">
        <x:v>2026-10-13: IonQ's DARPA Stage C selection should improve government-funded quantum revenue and technical credibility through 2029 if milestone funding is appropriated and earned, but the $300 million figure is a conditional ceiling and valuation, cash burn and dilution risk are high. Initial Entry Window: WAIT.</x:v>
      </x:c>
      <x:c r="W24" s="43" t="d">
        <x:v>2026-11-15T12:00:00.000Z</x:v>
      </x:c>
      <x:c r="X24" s="43"/>
      <x:c r="Y24" s="29"/>
      <x:c r="Z24" s="29"/>
      <x:c r="AA24" s="29"/>
      <x:c r="AB24" s="29"/>
      <x:c r="AC24" s="29"/>
      <x:c r="AD24" s="29" t="str">
        <x:v>Opened Developing at confidence 3/5 and trading edge 1/5. Primary DARPA and issuer records establish a credible government-validation mechanism, but no initial obligation is disclosed, several architectures remain in Stage C, the stock lacks positive confirmation and valuation, operating losses and acquisition dilution materially limit edge. Motley Fool is trigger only. No real trade is authorized.</x:v>
      </x:c>
      <x:c r="AE24" s="31" t="str">
        <x:f>IF(COUNTIF(Y24:AC24,"&lt;&gt;")=0,"",COUNTIF(Y24:AC24,"Yes")/COUNTA(Y24:AC24))</x:f>
      </x:c>
    </x:row>
    <x:row r="25">
      <x:c r="A25" s="27" t="str">
        <x:v>EEI-2026-020</x:v>
      </x:c>
      <x:c r="B25" s="27" t="str">
        <x:v>ASML AI lithography demand and constrained capacity</x:v>
      </x:c>
      <x:c r="C25" s="27" t="str">
        <x:v>Semiconductors and capital equipment</x:v>
      </x:c>
      <x:c r="D25" s="30" t="d">
        <x:v>2026-10-13T10:12:00.000Z</x:v>
      </x:c>
      <x:c r="E25" s="30" t="d">
        <x:v>2026-10-14T12:01:57.000Z</x:v>
      </x:c>
      <x:c r="F25" s="27" t="str">
        <x:v>Strong</x:v>
      </x:c>
      <x:c r="G25" s="27" t="str">
        <x:v>Public Motley Fool editorial followed by primary quarterly results</x:v>
      </x:c>
      <x:c r="H25" s="27" t="str">
        <x:v>ASML system shipments, installed-base sales, order visibility, gross margin and manufacturing-capacity utilization</x:v>
      </x:c>
      <x:c r="I25" s="27" t="str">
        <x:v>Up</x:v>
      </x:c>
      <x:c r="J25" s="27" t="str">
        <x:v>One to four years</x:v>
      </x:c>
      <x:c r="K25" s="27" t="n">
        <x:v>4</x:v>
      </x:c>
      <x:c r="L25" s="27" t="n">
        <x:v>1</x:v>
      </x:c>
      <x:c r="M25" s="27" t="str">
        <x:v>WAIT</x:v>
      </x:c>
      <x:c r="N25" s="29" t="str">
        <x:v>A free October 13 Motley Fool article by Daniel Foelber proposed ASML as an AI-infrastructure beneficiary and identified Q3 system mix, High-NA adoption, gross margin and capacity as the tests. ASML's October 14 primary release independently confirmed €11.7 billion of sales, €5.0 billion of net income, 57.5% gross margin, 113 new systems sold and customer demand beyond planned 2027-2028 capacity. Motley Fool is trigger only, not confirmation.</x:v>
      </x:c>
      <x:c r="O25" s="29" t="str">
        <x:v>AI-driven logic and high-bandwidth-memory capital spending raises demand for ASML's EUV and DUV tools; a larger installed base lifts recurring service revenue, while capacity constraint and product mix support margins. The long-run expression depends on customer capex converting to binding orders and ASML expanding capacity without eroding returns.</x:v>
      </x:c>
      <x:c r="P25" s="29" t="str">
        <x:v>Q3 sales rose to €11.662 billion from €9.326 billion in Q2, gross margin rose to 57.5% from 54.0%, net income reached €4.960 billion and new-system shipments rose to 113 from 86. ASML guided Q4 sales to €14.2-€15.2 billion, full-year sales to €44-€45 billion and full-year gross margin near 56%. Management said planned 2027-2028 supply is insufficient for customer forecasts and is exploring capacity beyond a 30% increase. Cash and short-term investments were about €12.7 billion.</x:v>
      </x:c>
      <x:c r="Q25" s="29" t="str">
        <x:v>The shares had already risen roughly 65%-70% year to date and valuation was about 53.5 times trailing earnings and 30 times forward earnings. Q3 sales narrowly missed consensus and the early market response was modest and mixed. Customer forecasts are not binding orders; semiconductor capex is cyclical and concentrated. China export controls threaten DUV demand, while rapid capacity expansion creates execution and cost risk.</x:v>
      </x:c>
      <x:c r="R25" s="29"/>
      <x:c r="S25" s="29" t="str">
        <x:v>Early European shares rose about 1%-3%, while the U.S. ADR response was mixed to roughly flat. That is fundamental confirmation without a decisive new price breakout and supports WAIT rather than headline chasing.</x:v>
      </x:c>
      <x:c r="T25" s="29" t="str">
        <x:v>ASML is the direct conditional expression only after a non-headline consolidation or orderly retracement, continued order conversion, durable 56%-plus gross margin and evidence that capacity expansion remains demand-backed. Broad semiconductor ETFs dilute the ASML-specific mechanism. Valuation, export-control, customer-concentration, capex-cycle and expansion-execution risks apply.</x:v>
      </x:c>
      <x:c r="U25" s="29" t="str">
        <x:v>Material order cancellations or customer-capex reductions; planned 2027-2028 capacity no longer constrained because demand weakens; sustained margin deterioration; export controls materially erode China/DUV economics; installed-base growth stalls; or capacity expansion consumes cash without commensurate orders and returns.</x:v>
      </x:c>
      <x:c r="V25" s="43" t="str">
        <x:v>2026-10-14: AI-driven lithography demand should keep ASML revenue, installed-base sales and margins elevated over one to four years if customer forecasts convert to orders and planned capacity remains constrained. Initial Entry Window: WAIT because valuation and prior repricing leave limited unpriced edge.</x:v>
      </x:c>
      <x:c r="W25" s="43" t="d">
        <x:v>2026-11-14T12:00:00.000Z</x:v>
      </x:c>
      <x:c r="X25" s="43"/>
      <x:c r="Y25" s="29"/>
      <x:c r="Z25" s="29"/>
      <x:c r="AA25" s="29"/>
      <x:c r="AB25" s="29"/>
      <x:c r="AC25" s="29"/>
      <x:c r="AD25" s="29" t="str">
        <x:v>Opened Strong at confidence 4/5 and trading edge 1/5. Primary results confirm the economic variable and capacity mechanism, but valuation, prior price appreciation, export-control risk and a modest mixed market reaction make the Entry Window WAIT. Motley Fool is trigger only. No real trade is authorized.</x:v>
      </x:c>
      <x:c r="AE25" s="31" t="str">
        <x:f>IF(COUNTIF(Y25:AC25,"&lt;&gt;")=0,"",COUNTIF(Y25:AC25,"Yes")/COUNTA(Y25:AC25))</x:f>
      </x:c>
    </x:row>
    <x:row r="26">
      <x:c r="A26" s="27" t="str">
        <x:v>EEI-2026-021</x:v>
      </x:c>
      <x:c r="B26" s="27" t="str">
        <x:v>Travelers underwriting and investment-income dislocation</x:v>
      </x:c>
      <x:c r="C26" s="27" t="str">
        <x:v>Financials and insurance</x:v>
      </x:c>
      <x:c r="D26" s="30" t="n">
        <x:v>46311</x:v>
      </x:c>
      <x:c r="E26" s="30" t="n">
        <x:v>46311.378</x:v>
      </x:c>
      <x:c r="F26" s="27" t="str">
        <x:v>Developing</x:v>
      </x:c>
      <x:c r="G26" s="27" t="str">
        <x:v>Earnings and valuation dislocation</x:v>
      </x:c>
      <x:c r="H26" s="27" t="str">
        <x:v>Underlying underwriting profitability, investment income and core return on equity</x:v>
      </x:c>
      <x:c r="I26" s="27" t="str">
        <x:v>Up</x:v>
      </x:c>
      <x:c r="J26" s="27" t="str">
        <x:v>6 to 12 months</x:v>
      </x:c>
      <x:c r="K26" s="27" t="n">
        <x:v>4</x:v>
      </x:c>
      <x:c r="L26" s="27" t="n">
        <x:v>3</x:v>
      </x:c>
      <x:c r="M26" s="27" t="str">
        <x:v>REJECT 2026-10-17</x:v>
      </x:c>
      <x:c r="N26" s="29" t="str">
        <x:v>Travelers reported $9.18 of third-quarter core EPS, 22.1% core ROE, an 84.1% underlying combined ratio and record investment income, while the shares were indicated at $371.30 at 8:59 a.m. ET, down 3.28% from the October 15 close.</x:v>
      </x:c>
      <x:c r="O26" s="29" t="str">
        <x:v>Sustained underwriting margins, favorable reserve development, higher reinvestment yields and repurchases can support earnings and per-share value. A post-report discount creates a better risk/reward only if premium growth resumes and catastrophe losses do not overwhelm pricing and reserves.</x:v>
      </x:c>
      <x:c r="P26" s="29" t="str">
        <x:v>The SEC-filed release reported $1.947 billion of core income, 22.1% core ROE, $1.736 billion of underlying underwriting income, an 84.1% underlying combined ratio, $1.098 billion of pre-tax net investment income and $1.508 billion of repurchases.</x:v>
      </x:c>
      <x:c r="Q26" s="29" t="str">
        <x:v>Net written premiums were essentially flat year over year, catastrophe losses increased, the underlying combined ratio was slightly worse than the prior-year quarter, and part of per-share growth came from repurchases and favorable prior-year reserve development. Premarket price discovery is not regular-session confirmation.</x:v>
      </x:c>
      <x:c r="R26" s="29"/>
      <x:c r="S26" s="29" t="str">
        <x:v>TRV closed October 16 at $389.54 after opening at $370.00 and trading as high as $390.91. It finished 6.72% above the proposed $365 entry and only 2.30% below its 52-week high, on more than twice average volume. The fundamental thesis remains supported, but the original entry edge was consumed.</x:v>
      </x:c>
      <x:c r="T26" s="29" t="str">
        <x:v>REJECT the stale $365 proposal and do not chase at $389.54. If TRV is reconsidered, use a fresh regular-session quote and label it ACTIONABLE NOW only when the current market price still offers acceptable downside-to-reward; no limit-order alert is intended for the user.</x:v>
      </x:c>
      <x:c r="U26" s="29" t="str">
        <x:v>Withdraw the proposal if the October 23 expiry passes without a qualifying price, if reserve development turns materially adverse, if premium growth remains nonpositive while the underlying combined ratio worsens materially, or if catastrophe losses overwhelm pricing and investment-income support.</x:v>
      </x:c>
      <x:c r="V26" s="43" t="str">
        <x:v>2026-10-16: Travelers' underwriting profitability and investment income should support high core returns over 6 to 12 months. A price at or below $365 is expected to offer a better chance of outperforming SPY if premium growth resumes and catastrophe losses do not overwhelm pricing and reserves. Initial paper decision: proposed $500 limit at $365 expiring October 23; not live and not filled without capital rules and executable evidence.</x:v>
      </x:c>
      <x:c r="W26" s="43" t="n">
        <x:v>46314</x:v>
      </x:c>
      <x:c r="X26" s="43"/>
      <x:c r="Y26" s="29"/>
      <x:c r="Z26" s="29"/>
      <x:c r="AA26" s="29"/>
      <x:c r="AB26" s="29"/>
      <x:c r="AC26" s="29"/>
      <x:c r="AD26" s="29" t="str">
        <x:v>New October 16 thesis. Proposed pending order, not an actual position. Review on October 23: execute only with qualifying price and complete execution/capital evidence, renew only with new evidence, or reject. Frozen initial prediction preserved. October 17 execution-preference review: REJECT and withdraw the proposed $365 pending order. The user does not intend to use limit orders, TRV closed at $389.54, and a stale setup cannot be converted into a market-price chase. Recheck only with a fresh regular-session quote and acceptable current-price risk/reward. No position or fill exists.</x:v>
      </x:c>
      <x:c r="AE26" s="31" t="str">
        <x:f>IF(COUNTIF(Y26:AC26,"&lt;&gt;")=0,"",COUNTIF(Y26:AC26,"Yes")/COUNTA(Y26:AC26))</x:f>
      </x:c>
    </x:row>
    <x:row r="27">
      <x:c r="A27" s="27"/>
      <x:c r="B27" s="27"/>
      <x:c r="C27" s="27"/>
      <x:c r="D27" s="30"/>
      <x:c r="E27" s="30"/>
      <x:c r="F27" s="27"/>
      <x:c r="G27" s="27"/>
      <x:c r="H27" s="27"/>
      <x:c r="I27" s="27"/>
      <x:c r="J27" s="27"/>
      <x:c r="K27" s="27"/>
      <x:c r="L27" s="27"/>
      <x:c r="M27" s="27"/>
      <x:c r="N27" s="29"/>
      <x:c r="O27" s="29"/>
      <x:c r="P27" s="29"/>
      <x:c r="Q27" s="29"/>
      <x:c r="R27" s="29"/>
      <x:c r="S27" s="29"/>
      <x:c r="T27" s="29"/>
      <x:c r="U27" s="29"/>
      <x:c r="V27" s="43"/>
      <x:c r="W27" s="43"/>
      <x:c r="X27" s="43"/>
      <x:c r="Y27" s="29"/>
      <x:c r="Z27" s="29"/>
      <x:c r="AA27" s="29"/>
      <x:c r="AB27" s="29"/>
      <x:c r="AC27" s="29"/>
      <x:c r="AD27" s="29"/>
      <x:c r="AE27" s="31" t="str">
        <x:f>IF(COUNTA(Y27:AC27)=0,"",COUNTIF(Y27:AC27,"Yes")/COUNTA(Y27:AC27))</x:f>
      </x:c>
    </x:row>
    <x:row r="28">
      <x:c r="A28" s="27"/>
      <x:c r="B28" s="27"/>
      <x:c r="C28" s="27"/>
      <x:c r="D28" s="30"/>
      <x:c r="E28" s="30"/>
      <x:c r="F28" s="27"/>
      <x:c r="G28" s="27"/>
      <x:c r="H28" s="27"/>
      <x:c r="I28" s="27"/>
      <x:c r="J28" s="27"/>
      <x:c r="K28" s="27"/>
      <x:c r="L28" s="27"/>
      <x:c r="M28" s="27"/>
      <x:c r="N28" s="29"/>
      <x:c r="O28" s="29"/>
      <x:c r="P28" s="29"/>
      <x:c r="Q28" s="29"/>
      <x:c r="R28" s="29"/>
      <x:c r="S28" s="29"/>
      <x:c r="T28" s="29"/>
      <x:c r="U28" s="29"/>
      <x:c r="V28" s="43"/>
      <x:c r="W28" s="43"/>
      <x:c r="X28" s="43"/>
      <x:c r="Y28" s="29"/>
      <x:c r="Z28" s="29"/>
      <x:c r="AA28" s="29"/>
      <x:c r="AB28" s="29"/>
      <x:c r="AC28" s="29"/>
      <x:c r="AD28" s="29"/>
      <x:c r="AE28" s="31" t="str">
        <x:f>IF(COUNTA(Y28:AC28)=0,"",COUNTIF(Y28:AC28,"Yes")/COUNTA(Y28:AC28))</x:f>
      </x:c>
    </x:row>
    <x:row r="29">
      <x:c r="A29" s="27"/>
      <x:c r="B29" s="27"/>
      <x:c r="C29" s="27"/>
      <x:c r="D29" s="30"/>
      <x:c r="E29" s="30"/>
      <x:c r="F29" s="27"/>
      <x:c r="G29" s="27"/>
      <x:c r="H29" s="27"/>
      <x:c r="I29" s="27"/>
      <x:c r="J29" s="27"/>
      <x:c r="K29" s="27"/>
      <x:c r="L29" s="27"/>
      <x:c r="M29" s="27"/>
      <x:c r="N29" s="29"/>
      <x:c r="O29" s="29"/>
      <x:c r="P29" s="29"/>
      <x:c r="Q29" s="29"/>
      <x:c r="R29" s="29"/>
      <x:c r="S29" s="29"/>
      <x:c r="T29" s="29"/>
      <x:c r="U29" s="29"/>
      <x:c r="V29" s="43"/>
      <x:c r="W29" s="43"/>
      <x:c r="X29" s="43"/>
      <x:c r="Y29" s="29"/>
      <x:c r="Z29" s="29"/>
      <x:c r="AA29" s="29"/>
      <x:c r="AB29" s="29"/>
      <x:c r="AC29" s="29"/>
      <x:c r="AD29" s="29"/>
      <x:c r="AE29" s="31" t="str">
        <x:f>IF(COUNTA(Y29:AC29)=0,"",COUNTIF(Y29:AC29,"Yes")/COUNTA(Y29:AC29))</x:f>
      </x:c>
    </x:row>
    <x:row r="30">
      <x:c r="A30" s="27"/>
      <x:c r="B30" s="27"/>
      <x:c r="C30" s="27"/>
      <x:c r="D30" s="30"/>
      <x:c r="E30" s="30"/>
      <x:c r="F30" s="27"/>
      <x:c r="G30" s="27"/>
      <x:c r="H30" s="27"/>
      <x:c r="I30" s="27"/>
      <x:c r="J30" s="27"/>
      <x:c r="K30" s="27"/>
      <x:c r="L30" s="27"/>
      <x:c r="M30" s="27"/>
      <x:c r="N30" s="29"/>
      <x:c r="O30" s="29"/>
      <x:c r="P30" s="29"/>
      <x:c r="Q30" s="29"/>
      <x:c r="R30" s="29"/>
      <x:c r="S30" s="29"/>
      <x:c r="T30" s="29"/>
      <x:c r="U30" s="29"/>
      <x:c r="V30" s="43"/>
      <x:c r="W30" s="43"/>
      <x:c r="X30" s="43"/>
      <x:c r="Y30" s="29"/>
      <x:c r="Z30" s="29"/>
      <x:c r="AA30" s="29"/>
      <x:c r="AB30" s="29"/>
      <x:c r="AC30" s="29"/>
      <x:c r="AD30" s="29"/>
      <x:c r="AE30" s="31" t="str">
        <x:f>IF(COUNTA(Y30:AC30)=0,"",COUNTIF(Y30:AC30,"Yes")/COUNTA(Y30:AC30))</x:f>
      </x:c>
    </x:row>
    <x:row r="31">
      <x:c r="A31" s="27"/>
      <x:c r="B31" s="27"/>
      <x:c r="C31" s="27"/>
      <x:c r="D31" s="30"/>
      <x:c r="E31" s="30"/>
      <x:c r="F31" s="27"/>
      <x:c r="G31" s="27"/>
      <x:c r="H31" s="27"/>
      <x:c r="I31" s="27"/>
      <x:c r="J31" s="27"/>
      <x:c r="K31" s="27"/>
      <x:c r="L31" s="27"/>
      <x:c r="M31" s="27"/>
      <x:c r="N31" s="29"/>
      <x:c r="O31" s="29"/>
      <x:c r="P31" s="29"/>
      <x:c r="Q31" s="29"/>
      <x:c r="R31" s="29"/>
      <x:c r="S31" s="29"/>
      <x:c r="T31" s="29"/>
      <x:c r="U31" s="29"/>
      <x:c r="V31" s="43"/>
      <x:c r="W31" s="43"/>
      <x:c r="X31" s="43"/>
      <x:c r="Y31" s="29"/>
      <x:c r="Z31" s="29"/>
      <x:c r="AA31" s="29"/>
      <x:c r="AB31" s="29"/>
      <x:c r="AC31" s="29"/>
      <x:c r="AD31" s="29"/>
      <x:c r="AE31" s="31" t="str">
        <x:f>IF(COUNTA(Y31:AC31)=0,"",COUNTIF(Y31:AC31,"Yes")/COUNTA(Y31:AC31))</x:f>
      </x:c>
    </x:row>
    <x:row r="32">
      <x:c r="A32" s="27"/>
      <x:c r="B32" s="27"/>
      <x:c r="C32" s="27"/>
      <x:c r="D32" s="30"/>
      <x:c r="E32" s="30"/>
      <x:c r="F32" s="27"/>
      <x:c r="G32" s="27"/>
      <x:c r="H32" s="27"/>
      <x:c r="I32" s="27"/>
      <x:c r="J32" s="27"/>
      <x:c r="K32" s="27"/>
      <x:c r="L32" s="27"/>
      <x:c r="M32" s="27"/>
      <x:c r="N32" s="29"/>
      <x:c r="O32" s="29"/>
      <x:c r="P32" s="29"/>
      <x:c r="Q32" s="29"/>
      <x:c r="R32" s="29"/>
      <x:c r="S32" s="29"/>
      <x:c r="T32" s="29"/>
      <x:c r="U32" s="29"/>
      <x:c r="V32" s="43"/>
      <x:c r="W32" s="43"/>
      <x:c r="X32" s="43"/>
      <x:c r="Y32" s="29"/>
      <x:c r="Z32" s="29"/>
      <x:c r="AA32" s="29"/>
      <x:c r="AB32" s="29"/>
      <x:c r="AC32" s="29"/>
      <x:c r="AD32" s="29"/>
      <x:c r="AE32" s="31" t="str">
        <x:f>IF(COUNTA(Y32:AC32)=0,"",COUNTIF(Y32:AC32,"Yes")/COUNTA(Y32:AC32))</x:f>
      </x:c>
    </x:row>
    <x:row r="33">
      <x:c r="A33" s="27"/>
      <x:c r="B33" s="27"/>
      <x:c r="C33" s="27"/>
      <x:c r="D33" s="30"/>
      <x:c r="E33" s="30"/>
      <x:c r="F33" s="27"/>
      <x:c r="G33" s="27"/>
      <x:c r="H33" s="27"/>
      <x:c r="I33" s="27"/>
      <x:c r="J33" s="27"/>
      <x:c r="K33" s="27"/>
      <x:c r="L33" s="27"/>
      <x:c r="M33" s="27"/>
      <x:c r="N33" s="29"/>
      <x:c r="O33" s="29"/>
      <x:c r="P33" s="29"/>
      <x:c r="Q33" s="29"/>
      <x:c r="R33" s="29"/>
      <x:c r="S33" s="29"/>
      <x:c r="T33" s="29"/>
      <x:c r="U33" s="29"/>
      <x:c r="V33" s="43"/>
      <x:c r="W33" s="43"/>
      <x:c r="X33" s="43"/>
      <x:c r="Y33" s="29"/>
      <x:c r="Z33" s="29"/>
      <x:c r="AA33" s="29"/>
      <x:c r="AB33" s="29"/>
      <x:c r="AC33" s="29"/>
      <x:c r="AD33" s="29"/>
      <x:c r="AE33" s="31" t="str">
        <x:f>IF(COUNTA(Y33:AC33)=0,"",COUNTIF(Y33:AC33,"Yes")/COUNTA(Y33:AC33))</x:f>
      </x:c>
    </x:row>
    <x:row r="34">
      <x:c r="A34" s="27"/>
      <x:c r="B34" s="27"/>
      <x:c r="C34" s="27"/>
      <x:c r="D34" s="30"/>
      <x:c r="E34" s="30"/>
      <x:c r="F34" s="27"/>
      <x:c r="G34" s="27"/>
      <x:c r="H34" s="27"/>
      <x:c r="I34" s="27"/>
      <x:c r="J34" s="27"/>
      <x:c r="K34" s="27"/>
      <x:c r="L34" s="27"/>
      <x:c r="M34" s="27"/>
      <x:c r="N34" s="29"/>
      <x:c r="O34" s="29"/>
      <x:c r="P34" s="29"/>
      <x:c r="Q34" s="29"/>
      <x:c r="R34" s="29"/>
      <x:c r="S34" s="29"/>
      <x:c r="T34" s="29"/>
      <x:c r="U34" s="29"/>
      <x:c r="V34" s="43"/>
      <x:c r="W34" s="43"/>
      <x:c r="X34" s="43"/>
      <x:c r="Y34" s="29"/>
      <x:c r="Z34" s="29"/>
      <x:c r="AA34" s="29"/>
      <x:c r="AB34" s="29"/>
      <x:c r="AC34" s="29"/>
      <x:c r="AD34" s="29"/>
      <x:c r="AE34" s="31" t="str">
        <x:f>IF(COUNTA(Y34:AC34)=0,"",COUNTIF(Y34:AC34,"Yes")/COUNTA(Y34:AC34))</x:f>
      </x:c>
    </x:row>
    <x:row r="35">
      <x:c r="A35" s="27"/>
      <x:c r="B35" s="27"/>
      <x:c r="C35" s="27"/>
      <x:c r="D35" s="30"/>
      <x:c r="E35" s="30"/>
      <x:c r="F35" s="27"/>
      <x:c r="G35" s="27"/>
      <x:c r="H35" s="27"/>
      <x:c r="I35" s="27"/>
      <x:c r="J35" s="27"/>
      <x:c r="K35" s="27"/>
      <x:c r="L35" s="27"/>
      <x:c r="M35" s="27"/>
      <x:c r="N35" s="29"/>
      <x:c r="O35" s="29"/>
      <x:c r="P35" s="29"/>
      <x:c r="Q35" s="29"/>
      <x:c r="R35" s="29"/>
      <x:c r="S35" s="29"/>
      <x:c r="T35" s="29"/>
      <x:c r="U35" s="29"/>
      <x:c r="V35" s="43"/>
      <x:c r="W35" s="43"/>
      <x:c r="X35" s="43"/>
      <x:c r="Y35" s="29"/>
      <x:c r="Z35" s="29"/>
      <x:c r="AA35" s="29"/>
      <x:c r="AB35" s="29"/>
      <x:c r="AC35" s="29"/>
      <x:c r="AD35" s="29"/>
      <x:c r="AE35" s="31" t="str">
        <x:f>IF(COUNTA(Y35:AC35)=0,"",COUNTIF(Y35:AC35,"Yes")/COUNTA(Y35:AC35))</x:f>
      </x:c>
    </x:row>
    <x:row r="36">
      <x:c r="A36" s="27"/>
      <x:c r="B36" s="27"/>
      <x:c r="C36" s="27"/>
      <x:c r="D36" s="30"/>
      <x:c r="E36" s="30"/>
      <x:c r="F36" s="27"/>
      <x:c r="G36" s="27"/>
      <x:c r="H36" s="27"/>
      <x:c r="I36" s="27"/>
      <x:c r="J36" s="27"/>
      <x:c r="K36" s="27"/>
      <x:c r="L36" s="27"/>
      <x:c r="M36" s="27"/>
      <x:c r="N36" s="29"/>
      <x:c r="O36" s="29"/>
      <x:c r="P36" s="29"/>
      <x:c r="Q36" s="29"/>
      <x:c r="R36" s="29"/>
      <x:c r="S36" s="29"/>
      <x:c r="T36" s="29"/>
      <x:c r="U36" s="29"/>
      <x:c r="V36" s="43"/>
      <x:c r="W36" s="43"/>
      <x:c r="X36" s="43"/>
      <x:c r="Y36" s="29"/>
      <x:c r="Z36" s="29"/>
      <x:c r="AA36" s="29"/>
      <x:c r="AB36" s="29"/>
      <x:c r="AC36" s="29"/>
      <x:c r="AD36" s="29"/>
      <x:c r="AE36" s="31" t="str">
        <x:f>IF(COUNTA(Y36:AC36)=0,"",COUNTIF(Y36:AC36,"Yes")/COUNTA(Y36:AC36))</x:f>
      </x:c>
    </x:row>
    <x:row r="37">
      <x:c r="A37" s="27"/>
      <x:c r="B37" s="27"/>
      <x:c r="C37" s="27"/>
      <x:c r="D37" s="30"/>
      <x:c r="E37" s="30"/>
      <x:c r="F37" s="27"/>
      <x:c r="G37" s="27"/>
      <x:c r="H37" s="27"/>
      <x:c r="I37" s="27"/>
      <x:c r="J37" s="27"/>
      <x:c r="K37" s="27"/>
      <x:c r="L37" s="27"/>
      <x:c r="M37" s="27"/>
      <x:c r="N37" s="29"/>
      <x:c r="O37" s="29"/>
      <x:c r="P37" s="29"/>
      <x:c r="Q37" s="29"/>
      <x:c r="R37" s="29"/>
      <x:c r="S37" s="29"/>
      <x:c r="T37" s="29"/>
      <x:c r="U37" s="29"/>
      <x:c r="V37" s="43"/>
      <x:c r="W37" s="43"/>
      <x:c r="X37" s="43"/>
      <x:c r="Y37" s="29"/>
      <x:c r="Z37" s="29"/>
      <x:c r="AA37" s="29"/>
      <x:c r="AB37" s="29"/>
      <x:c r="AC37" s="29"/>
      <x:c r="AD37" s="29"/>
      <x:c r="AE37" s="31" t="str">
        <x:f>IF(COUNTA(Y37:AC37)=0,"",COUNTIF(Y37:AC37,"Yes")/COUNTA(Y37:AC37))</x:f>
      </x:c>
    </x:row>
    <x:row r="38">
      <x:c r="A38" s="27"/>
      <x:c r="B38" s="27"/>
      <x:c r="C38" s="27"/>
      <x:c r="D38" s="30"/>
      <x:c r="E38" s="30"/>
      <x:c r="F38" s="27"/>
      <x:c r="G38" s="27"/>
      <x:c r="H38" s="27"/>
      <x:c r="I38" s="27"/>
      <x:c r="J38" s="27"/>
      <x:c r="K38" s="27"/>
      <x:c r="L38" s="27"/>
      <x:c r="M38" s="27"/>
      <x:c r="N38" s="29"/>
      <x:c r="O38" s="29"/>
      <x:c r="P38" s="29"/>
      <x:c r="Q38" s="29"/>
      <x:c r="R38" s="29"/>
      <x:c r="S38" s="29"/>
      <x:c r="T38" s="29"/>
      <x:c r="U38" s="29"/>
      <x:c r="V38" s="43"/>
      <x:c r="W38" s="43"/>
      <x:c r="X38" s="43"/>
      <x:c r="Y38" s="29"/>
      <x:c r="Z38" s="29"/>
      <x:c r="AA38" s="29"/>
      <x:c r="AB38" s="29"/>
      <x:c r="AC38" s="29"/>
      <x:c r="AD38" s="29"/>
      <x:c r="AE38" s="31" t="str">
        <x:f>IF(COUNTA(Y38:AC38)=0,"",COUNTIF(Y38:AC38,"Yes")/COUNTA(Y38:AC38))</x:f>
      </x:c>
    </x:row>
    <x:row r="39">
      <x:c r="A39" s="27"/>
      <x:c r="B39" s="27"/>
      <x:c r="C39" s="27"/>
      <x:c r="D39" s="30"/>
      <x:c r="E39" s="30"/>
      <x:c r="F39" s="27"/>
      <x:c r="G39" s="27"/>
      <x:c r="H39" s="27"/>
      <x:c r="I39" s="27"/>
      <x:c r="J39" s="27"/>
      <x:c r="K39" s="27"/>
      <x:c r="L39" s="27"/>
      <x:c r="M39" s="27"/>
      <x:c r="N39" s="29"/>
      <x:c r="O39" s="29"/>
      <x:c r="P39" s="29"/>
      <x:c r="Q39" s="29"/>
      <x:c r="R39" s="29"/>
      <x:c r="S39" s="29"/>
      <x:c r="T39" s="29"/>
      <x:c r="U39" s="29"/>
      <x:c r="V39" s="43"/>
      <x:c r="W39" s="43"/>
      <x:c r="X39" s="43"/>
      <x:c r="Y39" s="29"/>
      <x:c r="Z39" s="29"/>
      <x:c r="AA39" s="29"/>
      <x:c r="AB39" s="29"/>
      <x:c r="AC39" s="29"/>
      <x:c r="AD39" s="29"/>
      <x:c r="AE39" s="31" t="str">
        <x:f>IF(COUNTA(Y39:AC39)=0,"",COUNTIF(Y39:AC39,"Yes")/COUNTA(Y39:AC39))</x:f>
      </x:c>
    </x:row>
    <x:row r="40">
      <x:c r="A40" s="27"/>
      <x:c r="B40" s="27"/>
      <x:c r="C40" s="27"/>
      <x:c r="D40" s="30"/>
      <x:c r="E40" s="30"/>
      <x:c r="F40" s="27"/>
      <x:c r="G40" s="27"/>
      <x:c r="H40" s="27"/>
      <x:c r="I40" s="27"/>
      <x:c r="J40" s="27"/>
      <x:c r="K40" s="27"/>
      <x:c r="L40" s="27"/>
      <x:c r="M40" s="27"/>
      <x:c r="N40" s="29"/>
      <x:c r="O40" s="29"/>
      <x:c r="P40" s="29"/>
      <x:c r="Q40" s="29"/>
      <x:c r="R40" s="29"/>
      <x:c r="S40" s="29"/>
      <x:c r="T40" s="29"/>
      <x:c r="U40" s="29"/>
      <x:c r="V40" s="43"/>
      <x:c r="W40" s="43"/>
      <x:c r="X40" s="43"/>
      <x:c r="Y40" s="29"/>
      <x:c r="Z40" s="29"/>
      <x:c r="AA40" s="29"/>
      <x:c r="AB40" s="29"/>
      <x:c r="AC40" s="29"/>
      <x:c r="AD40" s="29"/>
      <x:c r="AE40" s="31" t="str">
        <x:f>IF(COUNTA(Y40:AC40)=0,"",COUNTIF(Y40:AC40,"Yes")/COUNTA(Y40:AC40))</x:f>
      </x:c>
    </x:row>
    <x:row r="41">
      <x:c r="A41" s="27"/>
      <x:c r="B41" s="27"/>
      <x:c r="C41" s="27"/>
      <x:c r="D41" s="30"/>
      <x:c r="E41" s="30"/>
      <x:c r="F41" s="27"/>
      <x:c r="G41" s="27"/>
      <x:c r="H41" s="27"/>
      <x:c r="I41" s="27"/>
      <x:c r="J41" s="27"/>
      <x:c r="K41" s="27"/>
      <x:c r="L41" s="27"/>
      <x:c r="M41" s="27"/>
      <x:c r="N41" s="29"/>
      <x:c r="O41" s="29"/>
      <x:c r="P41" s="29"/>
      <x:c r="Q41" s="29"/>
      <x:c r="R41" s="29"/>
      <x:c r="S41" s="29"/>
      <x:c r="T41" s="29"/>
      <x:c r="U41" s="29"/>
      <x:c r="V41" s="43"/>
      <x:c r="W41" s="43"/>
      <x:c r="X41" s="43"/>
      <x:c r="Y41" s="29"/>
      <x:c r="Z41" s="29"/>
      <x:c r="AA41" s="29"/>
      <x:c r="AB41" s="29"/>
      <x:c r="AC41" s="29"/>
      <x:c r="AD41" s="29"/>
      <x:c r="AE41" s="31" t="str">
        <x:f>IF(COUNTA(Y41:AC41)=0,"",COUNTIF(Y41:AC41,"Yes")/COUNTA(Y41:AC41))</x:f>
      </x:c>
    </x:row>
    <x:row r="42">
      <x:c r="A42" s="27"/>
      <x:c r="B42" s="27"/>
      <x:c r="C42" s="27"/>
      <x:c r="D42" s="30"/>
      <x:c r="E42" s="30"/>
      <x:c r="F42" s="27"/>
      <x:c r="G42" s="27"/>
      <x:c r="H42" s="27"/>
      <x:c r="I42" s="27"/>
      <x:c r="J42" s="27"/>
      <x:c r="K42" s="27"/>
      <x:c r="L42" s="27"/>
      <x:c r="M42" s="27"/>
      <x:c r="N42" s="29"/>
      <x:c r="O42" s="29"/>
      <x:c r="P42" s="29"/>
      <x:c r="Q42" s="29"/>
      <x:c r="R42" s="29"/>
      <x:c r="S42" s="29"/>
      <x:c r="T42" s="29"/>
      <x:c r="U42" s="29"/>
      <x:c r="V42" s="43"/>
      <x:c r="W42" s="43"/>
      <x:c r="X42" s="43"/>
      <x:c r="Y42" s="29"/>
      <x:c r="Z42" s="29"/>
      <x:c r="AA42" s="29"/>
      <x:c r="AB42" s="29"/>
      <x:c r="AC42" s="29"/>
      <x:c r="AD42" s="29"/>
      <x:c r="AE42" s="31" t="str">
        <x:f>IF(COUNTA(Y42:AC42)=0,"",COUNTIF(Y42:AC42,"Yes")/COUNTA(Y42:AC42))</x:f>
      </x:c>
    </x:row>
    <x:row r="43">
      <x:c r="A43" s="27"/>
      <x:c r="B43" s="27"/>
      <x:c r="C43" s="27"/>
      <x:c r="D43" s="30"/>
      <x:c r="E43" s="30"/>
      <x:c r="F43" s="27"/>
      <x:c r="G43" s="27"/>
      <x:c r="H43" s="27"/>
      <x:c r="I43" s="27"/>
      <x:c r="J43" s="27"/>
      <x:c r="K43" s="27"/>
      <x:c r="L43" s="27"/>
      <x:c r="M43" s="27"/>
      <x:c r="N43" s="29"/>
      <x:c r="O43" s="29"/>
      <x:c r="P43" s="29"/>
      <x:c r="Q43" s="29"/>
      <x:c r="R43" s="29"/>
      <x:c r="S43" s="29"/>
      <x:c r="T43" s="29"/>
      <x:c r="U43" s="29"/>
      <x:c r="V43" s="43"/>
      <x:c r="W43" s="43"/>
      <x:c r="X43" s="43"/>
      <x:c r="Y43" s="29"/>
      <x:c r="Z43" s="29"/>
      <x:c r="AA43" s="29"/>
      <x:c r="AB43" s="29"/>
      <x:c r="AC43" s="29"/>
      <x:c r="AD43" s="29"/>
      <x:c r="AE43" s="31" t="str">
        <x:f>IF(COUNTA(Y43:AC43)=0,"",COUNTIF(Y43:AC43,"Yes")/COUNTA(Y43:AC43))</x:f>
      </x:c>
    </x:row>
    <x:row r="44">
      <x:c r="A44" s="27"/>
      <x:c r="B44" s="27"/>
      <x:c r="C44" s="27"/>
      <x:c r="D44" s="30"/>
      <x:c r="E44" s="30"/>
      <x:c r="F44" s="27"/>
      <x:c r="G44" s="27"/>
      <x:c r="H44" s="27"/>
      <x:c r="I44" s="27"/>
      <x:c r="J44" s="27"/>
      <x:c r="K44" s="27"/>
      <x:c r="L44" s="27"/>
      <x:c r="M44" s="27"/>
      <x:c r="N44" s="29"/>
      <x:c r="O44" s="29"/>
      <x:c r="P44" s="29"/>
      <x:c r="Q44" s="29"/>
      <x:c r="R44" s="29"/>
      <x:c r="S44" s="29"/>
      <x:c r="T44" s="29"/>
      <x:c r="U44" s="29"/>
      <x:c r="V44" s="43"/>
      <x:c r="W44" s="43"/>
      <x:c r="X44" s="43"/>
      <x:c r="Y44" s="29"/>
      <x:c r="Z44" s="29"/>
      <x:c r="AA44" s="29"/>
      <x:c r="AB44" s="29"/>
      <x:c r="AC44" s="29"/>
      <x:c r="AD44" s="29"/>
      <x:c r="AE44" s="31" t="str">
        <x:f>IF(COUNTA(Y44:AC44)=0,"",COUNTIF(Y44:AC44,"Yes")/COUNTA(Y44:AC44))</x:f>
      </x:c>
    </x:row>
    <x:row r="45">
      <x:c r="A45" s="27"/>
      <x:c r="B45" s="27"/>
      <x:c r="C45" s="27"/>
      <x:c r="D45" s="30"/>
      <x:c r="E45" s="30"/>
      <x:c r="F45" s="27"/>
      <x:c r="G45" s="27"/>
      <x:c r="H45" s="27"/>
      <x:c r="I45" s="27"/>
      <x:c r="J45" s="27"/>
      <x:c r="K45" s="27"/>
      <x:c r="L45" s="27"/>
      <x:c r="M45" s="27"/>
      <x:c r="N45" s="29"/>
      <x:c r="O45" s="29"/>
      <x:c r="P45" s="29"/>
      <x:c r="Q45" s="29"/>
      <x:c r="R45" s="29"/>
      <x:c r="S45" s="29"/>
      <x:c r="T45" s="29"/>
      <x:c r="U45" s="29"/>
      <x:c r="V45" s="43"/>
      <x:c r="W45" s="43"/>
      <x:c r="X45" s="43"/>
      <x:c r="Y45" s="29"/>
      <x:c r="Z45" s="29"/>
      <x:c r="AA45" s="29"/>
      <x:c r="AB45" s="29"/>
      <x:c r="AC45" s="29"/>
      <x:c r="AD45" s="29"/>
      <x:c r="AE45" s="31" t="str">
        <x:f>IF(COUNTA(Y45:AC45)=0,"",COUNTIF(Y45:AC45,"Yes")/COUNTA(Y45:AC45))</x:f>
      </x:c>
    </x:row>
    <x:row r="46">
      <x:c r="A46" s="27"/>
      <x:c r="B46" s="27"/>
      <x:c r="C46" s="27"/>
      <x:c r="D46" s="30"/>
      <x:c r="E46" s="30"/>
      <x:c r="F46" s="27"/>
      <x:c r="G46" s="27"/>
      <x:c r="H46" s="27"/>
      <x:c r="I46" s="27"/>
      <x:c r="J46" s="27"/>
      <x:c r="K46" s="27"/>
      <x:c r="L46" s="27"/>
      <x:c r="M46" s="27"/>
      <x:c r="N46" s="29"/>
      <x:c r="O46" s="29"/>
      <x:c r="P46" s="29"/>
      <x:c r="Q46" s="29"/>
      <x:c r="R46" s="29"/>
      <x:c r="S46" s="29"/>
      <x:c r="T46" s="29"/>
      <x:c r="U46" s="29"/>
      <x:c r="V46" s="43"/>
      <x:c r="W46" s="43"/>
      <x:c r="X46" s="43"/>
      <x:c r="Y46" s="29"/>
      <x:c r="Z46" s="29"/>
      <x:c r="AA46" s="29"/>
      <x:c r="AB46" s="29"/>
      <x:c r="AC46" s="29"/>
      <x:c r="AD46" s="29"/>
      <x:c r="AE46" s="31" t="str">
        <x:f>IF(COUNTA(Y46:AC46)=0,"",COUNTIF(Y46:AC46,"Yes")/COUNTA(Y46:AC46))</x:f>
      </x:c>
    </x:row>
    <x:row r="47">
      <x:c r="A47" s="27"/>
      <x:c r="B47" s="27"/>
      <x:c r="C47" s="27"/>
      <x:c r="D47" s="30"/>
      <x:c r="E47" s="30"/>
      <x:c r="F47" s="27"/>
      <x:c r="G47" s="27"/>
      <x:c r="H47" s="27"/>
      <x:c r="I47" s="27"/>
      <x:c r="J47" s="27"/>
      <x:c r="K47" s="27"/>
      <x:c r="L47" s="27"/>
      <x:c r="M47" s="27"/>
      <x:c r="N47" s="29"/>
      <x:c r="O47" s="29"/>
      <x:c r="P47" s="29"/>
      <x:c r="Q47" s="29"/>
      <x:c r="R47" s="29"/>
      <x:c r="S47" s="29"/>
      <x:c r="T47" s="29"/>
      <x:c r="U47" s="29"/>
      <x:c r="V47" s="43"/>
      <x:c r="W47" s="43"/>
      <x:c r="X47" s="43"/>
      <x:c r="Y47" s="29"/>
      <x:c r="Z47" s="29"/>
      <x:c r="AA47" s="29"/>
      <x:c r="AB47" s="29"/>
      <x:c r="AC47" s="29"/>
      <x:c r="AD47" s="29"/>
      <x:c r="AE47" s="31" t="str">
        <x:f>IF(COUNTA(Y47:AC47)=0,"",COUNTIF(Y47:AC47,"Yes")/COUNTA(Y47:AC47))</x:f>
      </x:c>
    </x:row>
    <x:row r="48">
      <x:c r="A48" s="27"/>
      <x:c r="B48" s="27"/>
      <x:c r="C48" s="27"/>
      <x:c r="D48" s="30"/>
      <x:c r="E48" s="30"/>
      <x:c r="F48" s="27"/>
      <x:c r="G48" s="27"/>
      <x:c r="H48" s="27"/>
      <x:c r="I48" s="27"/>
      <x:c r="J48" s="27"/>
      <x:c r="K48" s="27"/>
      <x:c r="L48" s="27"/>
      <x:c r="M48" s="27"/>
      <x:c r="N48" s="29"/>
      <x:c r="O48" s="29"/>
      <x:c r="P48" s="29"/>
      <x:c r="Q48" s="29"/>
      <x:c r="R48" s="29"/>
      <x:c r="S48" s="29"/>
      <x:c r="T48" s="29"/>
      <x:c r="U48" s="29"/>
      <x:c r="V48" s="43"/>
      <x:c r="W48" s="43"/>
      <x:c r="X48" s="43"/>
      <x:c r="Y48" s="29"/>
      <x:c r="Z48" s="29"/>
      <x:c r="AA48" s="29"/>
      <x:c r="AB48" s="29"/>
      <x:c r="AC48" s="29"/>
      <x:c r="AD48" s="29"/>
      <x:c r="AE48" s="31" t="str">
        <x:f>IF(COUNTA(Y48:AC48)=0,"",COUNTIF(Y48:AC48,"Yes")/COUNTA(Y48:AC48))</x:f>
      </x:c>
    </x:row>
    <x:row r="49">
      <x:c r="A49" s="27"/>
      <x:c r="B49" s="27"/>
      <x:c r="C49" s="27"/>
      <x:c r="D49" s="30"/>
      <x:c r="E49" s="30"/>
      <x:c r="F49" s="27"/>
      <x:c r="G49" s="27"/>
      <x:c r="H49" s="27"/>
      <x:c r="I49" s="27"/>
      <x:c r="J49" s="27"/>
      <x:c r="K49" s="27"/>
      <x:c r="L49" s="27"/>
      <x:c r="M49" s="27"/>
      <x:c r="N49" s="29"/>
      <x:c r="O49" s="29"/>
      <x:c r="P49" s="29"/>
      <x:c r="Q49" s="29"/>
      <x:c r="R49" s="29"/>
      <x:c r="S49" s="29"/>
      <x:c r="T49" s="29"/>
      <x:c r="U49" s="29"/>
      <x:c r="V49" s="43"/>
      <x:c r="W49" s="43"/>
      <x:c r="X49" s="43"/>
      <x:c r="Y49" s="29"/>
      <x:c r="Z49" s="29"/>
      <x:c r="AA49" s="29"/>
      <x:c r="AB49" s="29"/>
      <x:c r="AC49" s="29"/>
      <x:c r="AD49" s="29"/>
      <x:c r="AE49" s="31" t="str">
        <x:f>IF(COUNTA(Y49:AC49)=0,"",COUNTIF(Y49:AC49,"Yes")/COUNTA(Y49:AC49))</x:f>
      </x:c>
    </x:row>
    <x:row r="50">
      <x:c r="A50" s="27"/>
      <x:c r="B50" s="27"/>
      <x:c r="C50" s="27"/>
      <x:c r="D50" s="30"/>
      <x:c r="E50" s="30"/>
      <x:c r="F50" s="27"/>
      <x:c r="G50" s="27"/>
      <x:c r="H50" s="27"/>
      <x:c r="I50" s="27"/>
      <x:c r="J50" s="27"/>
      <x:c r="K50" s="27"/>
      <x:c r="L50" s="27"/>
      <x:c r="M50" s="27"/>
      <x:c r="N50" s="29"/>
      <x:c r="O50" s="29"/>
      <x:c r="P50" s="29"/>
      <x:c r="Q50" s="29"/>
      <x:c r="R50" s="29"/>
      <x:c r="S50" s="29"/>
      <x:c r="T50" s="29"/>
      <x:c r="U50" s="29"/>
      <x:c r="V50" s="43"/>
      <x:c r="W50" s="43"/>
      <x:c r="X50" s="43"/>
      <x:c r="Y50" s="29"/>
      <x:c r="Z50" s="29"/>
      <x:c r="AA50" s="29"/>
      <x:c r="AB50" s="29"/>
      <x:c r="AC50" s="29"/>
      <x:c r="AD50" s="29"/>
      <x:c r="AE50" s="31" t="str">
        <x:f>IF(COUNTA(Y50:AC50)=0,"",COUNTIF(Y50:AC50,"Yes")/COUNTA(Y50:AC50))</x:f>
      </x:c>
    </x:row>
    <x:row r="51">
      <x:c r="D51" s="18"/>
      <x:c r="E51" s="18"/>
      <x:c r="N51" s="44"/>
      <x:c r="O51" s="44"/>
      <x:c r="P51" s="44"/>
      <x:c r="Q51" s="44"/>
      <x:c r="R51" s="44"/>
      <x:c r="S51" s="44"/>
      <x:c r="T51" s="44"/>
      <x:c r="U51" s="44"/>
      <x:c r="V51" s="45"/>
      <x:c r="W51" s="45"/>
      <x:c r="X51" s="45"/>
      <x:c r="Y51" s="44"/>
      <x:c r="Z51" s="44"/>
      <x:c r="AA51" s="44"/>
      <x:c r="AB51" s="44"/>
      <x:c r="AC51" s="44"/>
      <x:c r="AD51" s="44"/>
      <x:c r="AE51" s="19" t="str">
        <x:f>IF(COUNTA(Y51:AC51)=0,"",COUNTIF(Y51:AC51,"Yes")/COUNTA(Y51:AC51))</x:f>
      </x:c>
    </x:row>
    <x:row r="52">
      <x:c r="D52" s="18"/>
      <x:c r="E52" s="18"/>
      <x:c r="N52" s="44"/>
      <x:c r="O52" s="44"/>
      <x:c r="P52" s="44"/>
      <x:c r="Q52" s="44"/>
      <x:c r="R52" s="44"/>
      <x:c r="S52" s="44"/>
      <x:c r="T52" s="44"/>
      <x:c r="U52" s="44"/>
      <x:c r="V52" s="45"/>
      <x:c r="W52" s="45"/>
      <x:c r="X52" s="45"/>
      <x:c r="Y52" s="44"/>
      <x:c r="Z52" s="44"/>
      <x:c r="AA52" s="44"/>
      <x:c r="AB52" s="44"/>
      <x:c r="AC52" s="44"/>
      <x:c r="AD52" s="44"/>
      <x:c r="AE52" s="19" t="str">
        <x:f>IF(COUNTA(Y52:AC52)=0,"",COUNTIF(Y52:AC52,"Yes")/COUNTA(Y52:AC52))</x:f>
      </x:c>
    </x:row>
    <x:row r="53">
      <x:c r="D53" s="18"/>
      <x:c r="E53" s="18"/>
      <x:c r="N53" s="44"/>
      <x:c r="O53" s="44"/>
      <x:c r="P53" s="44"/>
      <x:c r="Q53" s="44"/>
      <x:c r="R53" s="44"/>
      <x:c r="S53" s="44"/>
      <x:c r="T53" s="44"/>
      <x:c r="U53" s="44"/>
      <x:c r="V53" s="45"/>
      <x:c r="W53" s="45"/>
      <x:c r="X53" s="45"/>
      <x:c r="Y53" s="44"/>
      <x:c r="Z53" s="44"/>
      <x:c r="AA53" s="44"/>
      <x:c r="AB53" s="44"/>
      <x:c r="AC53" s="44"/>
      <x:c r="AD53" s="44"/>
      <x:c r="AE53" s="19" t="str">
        <x:f>IF(COUNTA(Y53:AC53)=0,"",COUNTIF(Y53:AC53,"Yes")/COUNTA(Y53:AC53))</x:f>
      </x:c>
    </x:row>
    <x:row r="54">
      <x:c r="D54" s="18"/>
      <x:c r="E54" s="18"/>
      <x:c r="N54" s="44"/>
      <x:c r="O54" s="44"/>
      <x:c r="P54" s="44"/>
      <x:c r="Q54" s="44"/>
      <x:c r="R54" s="44"/>
      <x:c r="S54" s="44"/>
      <x:c r="T54" s="44"/>
      <x:c r="U54" s="44"/>
      <x:c r="V54" s="45"/>
      <x:c r="W54" s="45"/>
      <x:c r="X54" s="45"/>
      <x:c r="Y54" s="44"/>
      <x:c r="Z54" s="44"/>
      <x:c r="AA54" s="44"/>
      <x:c r="AB54" s="44"/>
      <x:c r="AC54" s="44"/>
      <x:c r="AD54" s="44"/>
      <x:c r="AE54" s="19" t="str">
        <x:f>IF(COUNTA(Y54:AC54)=0,"",COUNTIF(Y54:AC54,"Yes")/COUNTA(Y54:AC54))</x:f>
      </x:c>
    </x:row>
    <x:row r="55">
      <x:c r="D55" s="18"/>
      <x:c r="E55" s="18"/>
      <x:c r="N55" s="44"/>
      <x:c r="O55" s="44"/>
      <x:c r="P55" s="44"/>
      <x:c r="Q55" s="44"/>
      <x:c r="R55" s="44"/>
      <x:c r="S55" s="44"/>
      <x:c r="T55" s="44"/>
      <x:c r="U55" s="44"/>
      <x:c r="V55" s="45"/>
      <x:c r="W55" s="45"/>
      <x:c r="X55" s="45"/>
      <x:c r="Y55" s="44"/>
      <x:c r="Z55" s="44"/>
      <x:c r="AA55" s="44"/>
      <x:c r="AB55" s="44"/>
      <x:c r="AC55" s="44"/>
      <x:c r="AD55" s="44"/>
      <x:c r="AE55" s="19" t="str">
        <x:f>IF(COUNTA(Y55:AC55)=0,"",COUNTIF(Y55:AC55,"Yes")/COUNTA(Y55:AC55))</x:f>
      </x:c>
    </x:row>
    <x:row r="56">
      <x:c r="D56" s="18"/>
      <x:c r="E56" s="18"/>
      <x:c r="N56" s="44"/>
      <x:c r="O56" s="44"/>
      <x:c r="P56" s="44"/>
      <x:c r="Q56" s="44"/>
      <x:c r="R56" s="44"/>
      <x:c r="S56" s="44"/>
      <x:c r="T56" s="44"/>
      <x:c r="U56" s="44"/>
      <x:c r="V56" s="45"/>
      <x:c r="W56" s="45"/>
      <x:c r="X56" s="45"/>
      <x:c r="Y56" s="44"/>
      <x:c r="Z56" s="44"/>
      <x:c r="AA56" s="44"/>
      <x:c r="AB56" s="44"/>
      <x:c r="AC56" s="44"/>
      <x:c r="AD56" s="44"/>
      <x:c r="AE56" s="19" t="str">
        <x:f>IF(COUNTA(Y56:AC56)=0,"",COUNTIF(Y56:AC56,"Yes")/COUNTA(Y56:AC56))</x:f>
      </x:c>
    </x:row>
    <x:row r="57">
      <x:c r="D57" s="18"/>
      <x:c r="E57" s="18"/>
      <x:c r="N57" s="44"/>
      <x:c r="O57" s="44"/>
      <x:c r="P57" s="44"/>
      <x:c r="Q57" s="44"/>
      <x:c r="R57" s="44"/>
      <x:c r="S57" s="44"/>
      <x:c r="T57" s="44"/>
      <x:c r="U57" s="44"/>
      <x:c r="V57" s="45"/>
      <x:c r="W57" s="45"/>
      <x:c r="X57" s="45"/>
      <x:c r="Y57" s="44"/>
      <x:c r="Z57" s="44"/>
      <x:c r="AA57" s="44"/>
      <x:c r="AB57" s="44"/>
      <x:c r="AC57" s="44"/>
      <x:c r="AD57" s="44"/>
      <x:c r="AE57" s="19" t="str">
        <x:f>IF(COUNTA(Y57:AC57)=0,"",COUNTIF(Y57:AC57,"Yes")/COUNTA(Y57:AC57))</x:f>
      </x:c>
    </x:row>
    <x:row r="58">
      <x:c r="D58" s="18"/>
      <x:c r="E58" s="18"/>
      <x:c r="N58" s="44"/>
      <x:c r="O58" s="44"/>
      <x:c r="P58" s="44"/>
      <x:c r="Q58" s="44"/>
      <x:c r="R58" s="44"/>
      <x:c r="S58" s="44"/>
      <x:c r="T58" s="44"/>
      <x:c r="U58" s="44"/>
      <x:c r="V58" s="45"/>
      <x:c r="W58" s="45"/>
      <x:c r="X58" s="45"/>
      <x:c r="Y58" s="44"/>
      <x:c r="Z58" s="44"/>
      <x:c r="AA58" s="44"/>
      <x:c r="AB58" s="44"/>
      <x:c r="AC58" s="44"/>
      <x:c r="AD58" s="44"/>
      <x:c r="AE58" s="19" t="str">
        <x:f>IF(COUNTA(Y58:AC58)=0,"",COUNTIF(Y58:AC58,"Yes")/COUNTA(Y58:AC58))</x:f>
      </x:c>
    </x:row>
    <x:row r="59">
      <x:c r="D59" s="18"/>
      <x:c r="E59" s="18"/>
      <x:c r="N59" s="44"/>
      <x:c r="O59" s="44"/>
      <x:c r="P59" s="44"/>
      <x:c r="Q59" s="44"/>
      <x:c r="R59" s="44"/>
      <x:c r="S59" s="44"/>
      <x:c r="T59" s="44"/>
      <x:c r="U59" s="44"/>
      <x:c r="V59" s="45"/>
      <x:c r="W59" s="45"/>
      <x:c r="X59" s="45"/>
      <x:c r="Y59" s="44"/>
      <x:c r="Z59" s="44"/>
      <x:c r="AA59" s="44"/>
      <x:c r="AB59" s="44"/>
      <x:c r="AC59" s="44"/>
      <x:c r="AD59" s="44"/>
      <x:c r="AE59" s="19" t="str">
        <x:f>IF(COUNTA(Y59:AC59)=0,"",COUNTIF(Y59:AC59,"Yes")/COUNTA(Y59:AC59))</x:f>
      </x:c>
    </x:row>
    <x:row r="60">
      <x:c r="D60" s="18"/>
      <x:c r="E60" s="18"/>
      <x:c r="N60" s="44"/>
      <x:c r="O60" s="44"/>
      <x:c r="P60" s="44"/>
      <x:c r="Q60" s="44"/>
      <x:c r="R60" s="44"/>
      <x:c r="S60" s="44"/>
      <x:c r="T60" s="44"/>
      <x:c r="U60" s="44"/>
      <x:c r="V60" s="45"/>
      <x:c r="W60" s="45"/>
      <x:c r="X60" s="45"/>
      <x:c r="Y60" s="44"/>
      <x:c r="Z60" s="44"/>
      <x:c r="AA60" s="44"/>
      <x:c r="AB60" s="44"/>
      <x:c r="AC60" s="44"/>
      <x:c r="AD60" s="44"/>
      <x:c r="AE60" s="19" t="str">
        <x:f>IF(COUNTA(Y60:AC60)=0,"",COUNTIF(Y60:AC60,"Yes")/COUNTA(Y60:AC60))</x:f>
      </x:c>
    </x:row>
    <x:row r="61">
      <x:c r="D61" s="18"/>
      <x:c r="E61" s="18"/>
      <x:c r="N61" s="44"/>
      <x:c r="O61" s="44"/>
      <x:c r="P61" s="44"/>
      <x:c r="Q61" s="44"/>
      <x:c r="R61" s="44"/>
      <x:c r="S61" s="44"/>
      <x:c r="T61" s="44"/>
      <x:c r="U61" s="44"/>
      <x:c r="V61" s="45"/>
      <x:c r="W61" s="45"/>
      <x:c r="X61" s="45"/>
      <x:c r="Y61" s="44"/>
      <x:c r="Z61" s="44"/>
      <x:c r="AA61" s="44"/>
      <x:c r="AB61" s="44"/>
      <x:c r="AC61" s="44"/>
      <x:c r="AD61" s="44"/>
      <x:c r="AE61" s="19" t="str">
        <x:f>IF(COUNTA(Y61:AC61)=0,"",COUNTIF(Y61:AC61,"Yes")/COUNTA(Y61:AC61))</x:f>
      </x:c>
    </x:row>
    <x:row r="62">
      <x:c r="D62" s="18"/>
      <x:c r="E62" s="18"/>
      <x:c r="N62" s="44"/>
      <x:c r="O62" s="44"/>
      <x:c r="P62" s="44"/>
      <x:c r="Q62" s="44"/>
      <x:c r="R62" s="44"/>
      <x:c r="S62" s="44"/>
      <x:c r="T62" s="44"/>
      <x:c r="U62" s="44"/>
      <x:c r="V62" s="45"/>
      <x:c r="W62" s="45"/>
      <x:c r="X62" s="45"/>
      <x:c r="Y62" s="44"/>
      <x:c r="Z62" s="44"/>
      <x:c r="AA62" s="44"/>
      <x:c r="AB62" s="44"/>
      <x:c r="AC62" s="44"/>
      <x:c r="AD62" s="44"/>
      <x:c r="AE62" s="19" t="str">
        <x:f>IF(COUNTA(Y62:AC62)=0,"",COUNTIF(Y62:AC62,"Yes")/COUNTA(Y62:AC62))</x:f>
      </x:c>
    </x:row>
    <x:row r="63">
      <x:c r="D63" s="18"/>
      <x:c r="E63" s="18"/>
      <x:c r="N63" s="44"/>
      <x:c r="O63" s="44"/>
      <x:c r="P63" s="44"/>
      <x:c r="Q63" s="44"/>
      <x:c r="R63" s="44"/>
      <x:c r="S63" s="44"/>
      <x:c r="T63" s="44"/>
      <x:c r="U63" s="44"/>
      <x:c r="V63" s="45"/>
      <x:c r="W63" s="45"/>
      <x:c r="X63" s="45"/>
      <x:c r="Y63" s="44"/>
      <x:c r="Z63" s="44"/>
      <x:c r="AA63" s="44"/>
      <x:c r="AB63" s="44"/>
      <x:c r="AC63" s="44"/>
      <x:c r="AD63" s="44"/>
      <x:c r="AE63" s="19" t="str">
        <x:f>IF(COUNTA(Y63:AC63)=0,"",COUNTIF(Y63:AC63,"Yes")/COUNTA(Y63:AC63))</x:f>
      </x:c>
    </x:row>
    <x:row r="64">
      <x:c r="D64" s="18"/>
      <x:c r="E64" s="18"/>
      <x:c r="N64" s="44"/>
      <x:c r="O64" s="44"/>
      <x:c r="P64" s="44"/>
      <x:c r="Q64" s="44"/>
      <x:c r="R64" s="44"/>
      <x:c r="S64" s="44"/>
      <x:c r="T64" s="44"/>
      <x:c r="U64" s="44"/>
      <x:c r="V64" s="45"/>
      <x:c r="W64" s="45"/>
      <x:c r="X64" s="45"/>
      <x:c r="Y64" s="44"/>
      <x:c r="Z64" s="44"/>
      <x:c r="AA64" s="44"/>
      <x:c r="AB64" s="44"/>
      <x:c r="AC64" s="44"/>
      <x:c r="AD64" s="44"/>
      <x:c r="AE64" s="19" t="str">
        <x:f>IF(COUNTA(Y64:AC64)=0,"",COUNTIF(Y64:AC64,"Yes")/COUNTA(Y64:AC64))</x:f>
      </x:c>
    </x:row>
    <x:row r="65">
      <x:c r="D65" s="18"/>
      <x:c r="E65" s="18"/>
      <x:c r="N65" s="44"/>
      <x:c r="O65" s="44"/>
      <x:c r="P65" s="44"/>
      <x:c r="Q65" s="44"/>
      <x:c r="R65" s="44"/>
      <x:c r="S65" s="44"/>
      <x:c r="T65" s="44"/>
      <x:c r="U65" s="44"/>
      <x:c r="V65" s="45"/>
      <x:c r="W65" s="45"/>
      <x:c r="X65" s="45"/>
      <x:c r="Y65" s="44"/>
      <x:c r="Z65" s="44"/>
      <x:c r="AA65" s="44"/>
      <x:c r="AB65" s="44"/>
      <x:c r="AC65" s="44"/>
      <x:c r="AD65" s="44"/>
      <x:c r="AE65" s="19" t="str">
        <x:f>IF(COUNTA(Y65:AC65)=0,"",COUNTIF(Y65:AC65,"Yes")/COUNTA(Y65:AC65))</x:f>
      </x:c>
    </x:row>
    <x:row r="66">
      <x:c r="D66" s="18"/>
      <x:c r="E66" s="18"/>
      <x:c r="N66" s="44"/>
      <x:c r="O66" s="44"/>
      <x:c r="P66" s="44"/>
      <x:c r="Q66" s="44"/>
      <x:c r="R66" s="44"/>
      <x:c r="S66" s="44"/>
      <x:c r="T66" s="44"/>
      <x:c r="U66" s="44"/>
      <x:c r="V66" s="45"/>
      <x:c r="W66" s="45"/>
      <x:c r="X66" s="45"/>
      <x:c r="Y66" s="44"/>
      <x:c r="Z66" s="44"/>
      <x:c r="AA66" s="44"/>
      <x:c r="AB66" s="44"/>
      <x:c r="AC66" s="44"/>
      <x:c r="AD66" s="44"/>
      <x:c r="AE66" s="19" t="str">
        <x:f>IF(COUNTA(Y66:AC66)=0,"",COUNTIF(Y66:AC66,"Yes")/COUNTA(Y66:AC66))</x:f>
      </x:c>
    </x:row>
    <x:row r="67">
      <x:c r="D67" s="18"/>
      <x:c r="E67" s="18"/>
      <x:c r="N67" s="44"/>
      <x:c r="O67" s="44"/>
      <x:c r="P67" s="44"/>
      <x:c r="Q67" s="44"/>
      <x:c r="R67" s="44"/>
      <x:c r="S67" s="44"/>
      <x:c r="T67" s="44"/>
      <x:c r="U67" s="44"/>
      <x:c r="V67" s="45"/>
      <x:c r="W67" s="45"/>
      <x:c r="X67" s="45"/>
      <x:c r="Y67" s="44"/>
      <x:c r="Z67" s="44"/>
      <x:c r="AA67" s="44"/>
      <x:c r="AB67" s="44"/>
      <x:c r="AC67" s="44"/>
      <x:c r="AD67" s="44"/>
      <x:c r="AE67" s="19" t="str">
        <x:f>IF(COUNTA(Y67:AC67)=0,"",COUNTIF(Y67:AC67,"Yes")/COUNTA(Y67:AC67))</x:f>
      </x:c>
    </x:row>
    <x:row r="68">
      <x:c r="D68" s="18"/>
      <x:c r="E68" s="18"/>
      <x:c r="N68" s="44"/>
      <x:c r="O68" s="44"/>
      <x:c r="P68" s="44"/>
      <x:c r="Q68" s="44"/>
      <x:c r="R68" s="44"/>
      <x:c r="S68" s="44"/>
      <x:c r="T68" s="44"/>
      <x:c r="U68" s="44"/>
      <x:c r="V68" s="45"/>
      <x:c r="W68" s="45"/>
      <x:c r="X68" s="45"/>
      <x:c r="Y68" s="44"/>
      <x:c r="Z68" s="44"/>
      <x:c r="AA68" s="44"/>
      <x:c r="AB68" s="44"/>
      <x:c r="AC68" s="44"/>
      <x:c r="AD68" s="44"/>
      <x:c r="AE68" s="19" t="str">
        <x:f>IF(COUNTA(Y68:AC68)=0,"",COUNTIF(Y68:AC68,"Yes")/COUNTA(Y68:AC68))</x:f>
      </x:c>
    </x:row>
    <x:row r="69">
      <x:c r="D69" s="18"/>
      <x:c r="E69" s="18"/>
      <x:c r="N69" s="44"/>
      <x:c r="O69" s="44"/>
      <x:c r="P69" s="44"/>
      <x:c r="Q69" s="44"/>
      <x:c r="R69" s="44"/>
      <x:c r="S69" s="44"/>
      <x:c r="T69" s="44"/>
      <x:c r="U69" s="44"/>
      <x:c r="V69" s="45"/>
      <x:c r="W69" s="45"/>
      <x:c r="X69" s="45"/>
      <x:c r="Y69" s="44"/>
      <x:c r="Z69" s="44"/>
      <x:c r="AA69" s="44"/>
      <x:c r="AB69" s="44"/>
      <x:c r="AC69" s="44"/>
      <x:c r="AD69" s="44"/>
      <x:c r="AE69" s="19" t="str">
        <x:f>IF(COUNTA(Y69:AC69)=0,"",COUNTIF(Y69:AC69,"Yes")/COUNTA(Y69:AC69))</x:f>
      </x:c>
    </x:row>
    <x:row r="70">
      <x:c r="D70" s="18"/>
      <x:c r="E70" s="18"/>
      <x:c r="N70" s="44"/>
      <x:c r="O70" s="44"/>
      <x:c r="P70" s="44"/>
      <x:c r="Q70" s="44"/>
      <x:c r="R70" s="44"/>
      <x:c r="S70" s="44"/>
      <x:c r="T70" s="44"/>
      <x:c r="U70" s="44"/>
      <x:c r="V70" s="45"/>
      <x:c r="W70" s="45"/>
      <x:c r="X70" s="45"/>
      <x:c r="Y70" s="44"/>
      <x:c r="Z70" s="44"/>
      <x:c r="AA70" s="44"/>
      <x:c r="AB70" s="44"/>
      <x:c r="AC70" s="44"/>
      <x:c r="AD70" s="44"/>
      <x:c r="AE70" s="19" t="str">
        <x:f>IF(COUNTA(Y70:AC70)=0,"",COUNTIF(Y70:AC70,"Yes")/COUNTA(Y70:AC70))</x:f>
      </x:c>
    </x:row>
    <x:row r="71">
      <x:c r="D71" s="18"/>
      <x:c r="E71" s="18"/>
      <x:c r="N71" s="44"/>
      <x:c r="O71" s="44"/>
      <x:c r="P71" s="44"/>
      <x:c r="Q71" s="44"/>
      <x:c r="R71" s="44"/>
      <x:c r="S71" s="44"/>
      <x:c r="T71" s="44"/>
      <x:c r="U71" s="44"/>
      <x:c r="V71" s="45"/>
      <x:c r="W71" s="45"/>
      <x:c r="X71" s="45"/>
      <x:c r="Y71" s="44"/>
      <x:c r="Z71" s="44"/>
      <x:c r="AA71" s="44"/>
      <x:c r="AB71" s="44"/>
      <x:c r="AC71" s="44"/>
      <x:c r="AD71" s="44"/>
      <x:c r="AE71" s="19" t="str">
        <x:f>IF(COUNTA(Y71:AC71)=0,"",COUNTIF(Y71:AC71,"Yes")/COUNTA(Y71:AC71))</x:f>
      </x:c>
    </x:row>
    <x:row r="72">
      <x:c r="D72" s="18"/>
      <x:c r="E72" s="18"/>
      <x:c r="N72" s="44"/>
      <x:c r="O72" s="44"/>
      <x:c r="P72" s="44"/>
      <x:c r="Q72" s="44"/>
      <x:c r="R72" s="44"/>
      <x:c r="S72" s="44"/>
      <x:c r="T72" s="44"/>
      <x:c r="U72" s="44"/>
      <x:c r="V72" s="45"/>
      <x:c r="W72" s="45"/>
      <x:c r="X72" s="45"/>
      <x:c r="Y72" s="44"/>
      <x:c r="Z72" s="44"/>
      <x:c r="AA72" s="44"/>
      <x:c r="AB72" s="44"/>
      <x:c r="AC72" s="44"/>
      <x:c r="AD72" s="44"/>
      <x:c r="AE72" s="19" t="str">
        <x:f>IF(COUNTA(Y72:AC72)=0,"",COUNTIF(Y72:AC72,"Yes")/COUNTA(Y72:AC72))</x:f>
      </x:c>
    </x:row>
    <x:row r="73">
      <x:c r="D73" s="18"/>
      <x:c r="E73" s="18"/>
      <x:c r="N73" s="44"/>
      <x:c r="O73" s="44"/>
      <x:c r="P73" s="44"/>
      <x:c r="Q73" s="44"/>
      <x:c r="R73" s="44"/>
      <x:c r="S73" s="44"/>
      <x:c r="T73" s="44"/>
      <x:c r="U73" s="44"/>
      <x:c r="V73" s="45"/>
      <x:c r="W73" s="45"/>
      <x:c r="X73" s="45"/>
      <x:c r="Y73" s="44"/>
      <x:c r="Z73" s="44"/>
      <x:c r="AA73" s="44"/>
      <x:c r="AB73" s="44"/>
      <x:c r="AC73" s="44"/>
      <x:c r="AD73" s="44"/>
      <x:c r="AE73" s="19" t="str">
        <x:f>IF(COUNTA(Y73:AC73)=0,"",COUNTIF(Y73:AC73,"Yes")/COUNTA(Y73:AC73))</x:f>
      </x:c>
    </x:row>
    <x:row r="74">
      <x:c r="D74" s="18"/>
      <x:c r="E74" s="18"/>
      <x:c r="N74" s="44"/>
      <x:c r="O74" s="44"/>
      <x:c r="P74" s="44"/>
      <x:c r="Q74" s="44"/>
      <x:c r="R74" s="44"/>
      <x:c r="S74" s="44"/>
      <x:c r="T74" s="44"/>
      <x:c r="U74" s="44"/>
      <x:c r="V74" s="45"/>
      <x:c r="W74" s="45"/>
      <x:c r="X74" s="45"/>
      <x:c r="Y74" s="44"/>
      <x:c r="Z74" s="44"/>
      <x:c r="AA74" s="44"/>
      <x:c r="AB74" s="44"/>
      <x:c r="AC74" s="44"/>
      <x:c r="AD74" s="44"/>
      <x:c r="AE74" s="19" t="str">
        <x:f>IF(COUNTA(Y74:AC74)=0,"",COUNTIF(Y74:AC74,"Yes")/COUNTA(Y74:AC74))</x:f>
      </x:c>
    </x:row>
    <x:row r="75">
      <x:c r="D75" s="18"/>
      <x:c r="E75" s="18"/>
      <x:c r="N75" s="44"/>
      <x:c r="O75" s="44"/>
      <x:c r="P75" s="44"/>
      <x:c r="Q75" s="44"/>
      <x:c r="R75" s="44"/>
      <x:c r="S75" s="44"/>
      <x:c r="T75" s="44"/>
      <x:c r="U75" s="44"/>
      <x:c r="V75" s="45"/>
      <x:c r="W75" s="45"/>
      <x:c r="X75" s="45"/>
      <x:c r="Y75" s="44"/>
      <x:c r="Z75" s="44"/>
      <x:c r="AA75" s="44"/>
      <x:c r="AB75" s="44"/>
      <x:c r="AC75" s="44"/>
      <x:c r="AD75" s="44"/>
      <x:c r="AE75" s="19" t="str">
        <x:f>IF(COUNTA(Y75:AC75)=0,"",COUNTIF(Y75:AC75,"Yes")/COUNTA(Y75:AC75))</x:f>
      </x:c>
    </x:row>
    <x:row r="76">
      <x:c r="D76" s="18"/>
      <x:c r="E76" s="18"/>
      <x:c r="N76" s="44"/>
      <x:c r="O76" s="44"/>
      <x:c r="P76" s="44"/>
      <x:c r="Q76" s="44"/>
      <x:c r="R76" s="44"/>
      <x:c r="S76" s="44"/>
      <x:c r="T76" s="44"/>
      <x:c r="U76" s="44"/>
      <x:c r="V76" s="45"/>
      <x:c r="W76" s="45"/>
      <x:c r="X76" s="45"/>
      <x:c r="Y76" s="44"/>
      <x:c r="Z76" s="44"/>
      <x:c r="AA76" s="44"/>
      <x:c r="AB76" s="44"/>
      <x:c r="AC76" s="44"/>
      <x:c r="AD76" s="44"/>
      <x:c r="AE76" s="19" t="str">
        <x:f>IF(COUNTA(Y76:AC76)=0,"",COUNTIF(Y76:AC76,"Yes")/COUNTA(Y76:AC76))</x:f>
      </x:c>
    </x:row>
    <x:row r="77">
      <x:c r="D77" s="18"/>
      <x:c r="E77" s="18"/>
      <x:c r="N77" s="44"/>
      <x:c r="O77" s="44"/>
      <x:c r="P77" s="44"/>
      <x:c r="Q77" s="44"/>
      <x:c r="R77" s="44"/>
      <x:c r="S77" s="44"/>
      <x:c r="T77" s="44"/>
      <x:c r="U77" s="44"/>
      <x:c r="V77" s="45"/>
      <x:c r="W77" s="45"/>
      <x:c r="X77" s="45"/>
      <x:c r="Y77" s="44"/>
      <x:c r="Z77" s="44"/>
      <x:c r="AA77" s="44"/>
      <x:c r="AB77" s="44"/>
      <x:c r="AC77" s="44"/>
      <x:c r="AD77" s="44"/>
      <x:c r="AE77" s="19" t="str">
        <x:f>IF(COUNTA(Y77:AC77)=0,"",COUNTIF(Y77:AC77,"Yes")/COUNTA(Y77:AC77))</x:f>
      </x:c>
    </x:row>
    <x:row r="78">
      <x:c r="D78" s="18"/>
      <x:c r="E78" s="18"/>
      <x:c r="N78" s="44"/>
      <x:c r="O78" s="44"/>
      <x:c r="P78" s="44"/>
      <x:c r="Q78" s="44"/>
      <x:c r="R78" s="44"/>
      <x:c r="S78" s="44"/>
      <x:c r="T78" s="44"/>
      <x:c r="U78" s="44"/>
      <x:c r="V78" s="45"/>
      <x:c r="W78" s="45"/>
      <x:c r="X78" s="45"/>
      <x:c r="Y78" s="44"/>
      <x:c r="Z78" s="44"/>
      <x:c r="AA78" s="44"/>
      <x:c r="AB78" s="44"/>
      <x:c r="AC78" s="44"/>
      <x:c r="AD78" s="44"/>
      <x:c r="AE78" s="19" t="str">
        <x:f>IF(COUNTA(Y78:AC78)=0,"",COUNTIF(Y78:AC78,"Yes")/COUNTA(Y78:AC78))</x:f>
      </x:c>
    </x:row>
    <x:row r="79">
      <x:c r="D79" s="18"/>
      <x:c r="E79" s="18"/>
      <x:c r="N79" s="44"/>
      <x:c r="O79" s="44"/>
      <x:c r="P79" s="44"/>
      <x:c r="Q79" s="44"/>
      <x:c r="R79" s="44"/>
      <x:c r="S79" s="44"/>
      <x:c r="T79" s="44"/>
      <x:c r="U79" s="44"/>
      <x:c r="V79" s="45"/>
      <x:c r="W79" s="45"/>
      <x:c r="X79" s="45"/>
      <x:c r="Y79" s="44"/>
      <x:c r="Z79" s="44"/>
      <x:c r="AA79" s="44"/>
      <x:c r="AB79" s="44"/>
      <x:c r="AC79" s="44"/>
      <x:c r="AD79" s="44"/>
      <x:c r="AE79" s="19" t="str">
        <x:f>IF(COUNTA(Y79:AC79)=0,"",COUNTIF(Y79:AC79,"Yes")/COUNTA(Y79:AC79))</x:f>
      </x:c>
    </x:row>
    <x:row r="80">
      <x:c r="D80" s="18"/>
      <x:c r="E80" s="18"/>
      <x:c r="N80" s="44"/>
      <x:c r="O80" s="44"/>
      <x:c r="P80" s="44"/>
      <x:c r="Q80" s="44"/>
      <x:c r="R80" s="44"/>
      <x:c r="S80" s="44"/>
      <x:c r="T80" s="44"/>
      <x:c r="U80" s="44"/>
      <x:c r="V80" s="45"/>
      <x:c r="W80" s="45"/>
      <x:c r="X80" s="45"/>
      <x:c r="Y80" s="44"/>
      <x:c r="Z80" s="44"/>
      <x:c r="AA80" s="44"/>
      <x:c r="AB80" s="44"/>
      <x:c r="AC80" s="44"/>
      <x:c r="AD80" s="44"/>
      <x:c r="AE80" s="19" t="str">
        <x:f>IF(COUNTA(Y80:AC80)=0,"",COUNTIF(Y80:AC80,"Yes")/COUNTA(Y80:AC80))</x:f>
      </x:c>
    </x:row>
    <x:row r="81">
      <x:c r="D81" s="18"/>
      <x:c r="E81" s="18"/>
      <x:c r="N81" s="44"/>
      <x:c r="O81" s="44"/>
      <x:c r="P81" s="44"/>
      <x:c r="Q81" s="44"/>
      <x:c r="R81" s="44"/>
      <x:c r="S81" s="44"/>
      <x:c r="T81" s="44"/>
      <x:c r="U81" s="44"/>
      <x:c r="V81" s="45"/>
      <x:c r="W81" s="45"/>
      <x:c r="X81" s="45"/>
      <x:c r="Y81" s="44"/>
      <x:c r="Z81" s="44"/>
      <x:c r="AA81" s="44"/>
      <x:c r="AB81" s="44"/>
      <x:c r="AC81" s="44"/>
      <x:c r="AD81" s="44"/>
      <x:c r="AE81" s="19" t="str">
        <x:f>IF(COUNTA(Y81:AC81)=0,"",COUNTIF(Y81:AC81,"Yes")/COUNTA(Y81:AC81))</x:f>
      </x:c>
    </x:row>
    <x:row r="82">
      <x:c r="D82" s="18"/>
      <x:c r="E82" s="18"/>
      <x:c r="N82" s="44"/>
      <x:c r="O82" s="44"/>
      <x:c r="P82" s="44"/>
      <x:c r="Q82" s="44"/>
      <x:c r="R82" s="44"/>
      <x:c r="S82" s="44"/>
      <x:c r="T82" s="44"/>
      <x:c r="U82" s="44"/>
      <x:c r="V82" s="45"/>
      <x:c r="W82" s="45"/>
      <x:c r="X82" s="45"/>
      <x:c r="Y82" s="44"/>
      <x:c r="Z82" s="44"/>
      <x:c r="AA82" s="44"/>
      <x:c r="AB82" s="44"/>
      <x:c r="AC82" s="44"/>
      <x:c r="AD82" s="44"/>
      <x:c r="AE82" s="19" t="str">
        <x:f>IF(COUNTA(Y82:AC82)=0,"",COUNTIF(Y82:AC82,"Yes")/COUNTA(Y82:AC82))</x:f>
      </x:c>
    </x:row>
    <x:row r="83">
      <x:c r="D83" s="18"/>
      <x:c r="E83" s="18"/>
      <x:c r="N83" s="44"/>
      <x:c r="O83" s="44"/>
      <x:c r="P83" s="44"/>
      <x:c r="Q83" s="44"/>
      <x:c r="R83" s="44"/>
      <x:c r="S83" s="44"/>
      <x:c r="T83" s="44"/>
      <x:c r="U83" s="44"/>
      <x:c r="V83" s="45"/>
      <x:c r="W83" s="45"/>
      <x:c r="X83" s="45"/>
      <x:c r="Y83" s="44"/>
      <x:c r="Z83" s="44"/>
      <x:c r="AA83" s="44"/>
      <x:c r="AB83" s="44"/>
      <x:c r="AC83" s="44"/>
      <x:c r="AD83" s="44"/>
      <x:c r="AE83" s="19" t="str">
        <x:f>IF(COUNTA(Y83:AC83)=0,"",COUNTIF(Y83:AC83,"Yes")/COUNTA(Y83:AC83))</x:f>
      </x:c>
    </x:row>
    <x:row r="84">
      <x:c r="D84" s="18"/>
      <x:c r="E84" s="18"/>
      <x:c r="N84" s="44"/>
      <x:c r="O84" s="44"/>
      <x:c r="P84" s="44"/>
      <x:c r="Q84" s="44"/>
      <x:c r="R84" s="44"/>
      <x:c r="S84" s="44"/>
      <x:c r="T84" s="44"/>
      <x:c r="U84" s="44"/>
      <x:c r="V84" s="45"/>
      <x:c r="W84" s="45"/>
      <x:c r="X84" s="45"/>
      <x:c r="Y84" s="44"/>
      <x:c r="Z84" s="44"/>
      <x:c r="AA84" s="44"/>
      <x:c r="AB84" s="44"/>
      <x:c r="AC84" s="44"/>
      <x:c r="AD84" s="44"/>
      <x:c r="AE84" s="19" t="str">
        <x:f>IF(COUNTA(Y84:AC84)=0,"",COUNTIF(Y84:AC84,"Yes")/COUNTA(Y84:AC84))</x:f>
      </x:c>
    </x:row>
    <x:row r="85">
      <x:c r="D85" s="18"/>
      <x:c r="E85" s="18"/>
      <x:c r="N85" s="44"/>
      <x:c r="O85" s="44"/>
      <x:c r="P85" s="44"/>
      <x:c r="Q85" s="44"/>
      <x:c r="R85" s="44"/>
      <x:c r="S85" s="44"/>
      <x:c r="T85" s="44"/>
      <x:c r="U85" s="44"/>
      <x:c r="V85" s="45"/>
      <x:c r="W85" s="45"/>
      <x:c r="X85" s="45"/>
      <x:c r="Y85" s="44"/>
      <x:c r="Z85" s="44"/>
      <x:c r="AA85" s="44"/>
      <x:c r="AB85" s="44"/>
      <x:c r="AC85" s="44"/>
      <x:c r="AD85" s="44"/>
      <x:c r="AE85" s="19" t="str">
        <x:f>IF(COUNTA(Y85:AC85)=0,"",COUNTIF(Y85:AC85,"Yes")/COUNTA(Y85:AC85))</x:f>
      </x:c>
    </x:row>
    <x:row r="86">
      <x:c r="D86" s="18"/>
      <x:c r="E86" s="18"/>
      <x:c r="N86" s="44"/>
      <x:c r="O86" s="44"/>
      <x:c r="P86" s="44"/>
      <x:c r="Q86" s="44"/>
      <x:c r="R86" s="44"/>
      <x:c r="S86" s="44"/>
      <x:c r="T86" s="44"/>
      <x:c r="U86" s="44"/>
      <x:c r="V86" s="45"/>
      <x:c r="W86" s="45"/>
      <x:c r="X86" s="45"/>
      <x:c r="Y86" s="44"/>
      <x:c r="Z86" s="44"/>
      <x:c r="AA86" s="44"/>
      <x:c r="AB86" s="44"/>
      <x:c r="AC86" s="44"/>
      <x:c r="AD86" s="44"/>
      <x:c r="AE86" s="19" t="str">
        <x:f>IF(COUNTA(Y86:AC86)=0,"",COUNTIF(Y86:AC86,"Yes")/COUNTA(Y86:AC86))</x:f>
      </x:c>
    </x:row>
    <x:row r="87">
      <x:c r="D87" s="18"/>
      <x:c r="E87" s="18"/>
      <x:c r="N87" s="44"/>
      <x:c r="O87" s="44"/>
      <x:c r="P87" s="44"/>
      <x:c r="Q87" s="44"/>
      <x:c r="R87" s="44"/>
      <x:c r="S87" s="44"/>
      <x:c r="T87" s="44"/>
      <x:c r="U87" s="44"/>
      <x:c r="V87" s="45"/>
      <x:c r="W87" s="45"/>
      <x:c r="X87" s="45"/>
      <x:c r="Y87" s="44"/>
      <x:c r="Z87" s="44"/>
      <x:c r="AA87" s="44"/>
      <x:c r="AB87" s="44"/>
      <x:c r="AC87" s="44"/>
      <x:c r="AD87" s="44"/>
      <x:c r="AE87" s="19" t="str">
        <x:f>IF(COUNTA(Y87:AC87)=0,"",COUNTIF(Y87:AC87,"Yes")/COUNTA(Y87:AC87))</x:f>
      </x:c>
    </x:row>
    <x:row r="88">
      <x:c r="D88" s="18"/>
      <x:c r="E88" s="18"/>
      <x:c r="N88" s="44"/>
      <x:c r="O88" s="44"/>
      <x:c r="P88" s="44"/>
      <x:c r="Q88" s="44"/>
      <x:c r="R88" s="44"/>
      <x:c r="S88" s="44"/>
      <x:c r="T88" s="44"/>
      <x:c r="U88" s="44"/>
      <x:c r="V88" s="45"/>
      <x:c r="W88" s="45"/>
      <x:c r="X88" s="45"/>
      <x:c r="Y88" s="44"/>
      <x:c r="Z88" s="44"/>
      <x:c r="AA88" s="44"/>
      <x:c r="AB88" s="44"/>
      <x:c r="AC88" s="44"/>
      <x:c r="AD88" s="44"/>
      <x:c r="AE88" s="19" t="str">
        <x:f>IF(COUNTA(Y88:AC88)=0,"",COUNTIF(Y88:AC88,"Yes")/COUNTA(Y88:AC88))</x:f>
      </x:c>
    </x:row>
    <x:row r="89">
      <x:c r="D89" s="18"/>
      <x:c r="E89" s="18"/>
      <x:c r="N89" s="44"/>
      <x:c r="O89" s="44"/>
      <x:c r="P89" s="44"/>
      <x:c r="Q89" s="44"/>
      <x:c r="R89" s="44"/>
      <x:c r="S89" s="44"/>
      <x:c r="T89" s="44"/>
      <x:c r="U89" s="44"/>
      <x:c r="V89" s="45"/>
      <x:c r="W89" s="45"/>
      <x:c r="X89" s="45"/>
      <x:c r="Y89" s="44"/>
      <x:c r="Z89" s="44"/>
      <x:c r="AA89" s="44"/>
      <x:c r="AB89" s="44"/>
      <x:c r="AC89" s="44"/>
      <x:c r="AD89" s="44"/>
      <x:c r="AE89" s="19" t="str">
        <x:f>IF(COUNTA(Y89:AC89)=0,"",COUNTIF(Y89:AC89,"Yes")/COUNTA(Y89:AC89))</x:f>
      </x:c>
    </x:row>
    <x:row r="90">
      <x:c r="D90" s="18"/>
      <x:c r="E90" s="18"/>
      <x:c r="N90" s="44"/>
      <x:c r="O90" s="44"/>
      <x:c r="P90" s="44"/>
      <x:c r="Q90" s="44"/>
      <x:c r="R90" s="44"/>
      <x:c r="S90" s="44"/>
      <x:c r="T90" s="44"/>
      <x:c r="U90" s="44"/>
      <x:c r="V90" s="45"/>
      <x:c r="W90" s="45"/>
      <x:c r="X90" s="45"/>
      <x:c r="Y90" s="44"/>
      <x:c r="Z90" s="44"/>
      <x:c r="AA90" s="44"/>
      <x:c r="AB90" s="44"/>
      <x:c r="AC90" s="44"/>
      <x:c r="AD90" s="44"/>
      <x:c r="AE90" s="19" t="str">
        <x:f>IF(COUNTA(Y90:AC90)=0,"",COUNTIF(Y90:AC90,"Yes")/COUNTA(Y90:AC90))</x:f>
      </x:c>
    </x:row>
    <x:row r="91">
      <x:c r="D91" s="18"/>
      <x:c r="E91" s="18"/>
      <x:c r="N91" s="44"/>
      <x:c r="O91" s="44"/>
      <x:c r="P91" s="44"/>
      <x:c r="Q91" s="44"/>
      <x:c r="R91" s="44"/>
      <x:c r="S91" s="44"/>
      <x:c r="T91" s="44"/>
      <x:c r="U91" s="44"/>
      <x:c r="V91" s="45"/>
      <x:c r="W91" s="45"/>
      <x:c r="X91" s="45"/>
      <x:c r="Y91" s="44"/>
      <x:c r="Z91" s="44"/>
      <x:c r="AA91" s="44"/>
      <x:c r="AB91" s="44"/>
      <x:c r="AC91" s="44"/>
      <x:c r="AD91" s="44"/>
      <x:c r="AE91" s="19" t="str">
        <x:f>IF(COUNTA(Y91:AC91)=0,"",COUNTIF(Y91:AC91,"Yes")/COUNTA(Y91:AC91))</x:f>
      </x:c>
    </x:row>
    <x:row r="92">
      <x:c r="D92" s="18"/>
      <x:c r="E92" s="18"/>
      <x:c r="N92" s="44"/>
      <x:c r="O92" s="44"/>
      <x:c r="P92" s="44"/>
      <x:c r="Q92" s="44"/>
      <x:c r="R92" s="44"/>
      <x:c r="S92" s="44"/>
      <x:c r="T92" s="44"/>
      <x:c r="U92" s="44"/>
      <x:c r="V92" s="45"/>
      <x:c r="W92" s="45"/>
      <x:c r="X92" s="45"/>
      <x:c r="Y92" s="44"/>
      <x:c r="Z92" s="44"/>
      <x:c r="AA92" s="44"/>
      <x:c r="AB92" s="44"/>
      <x:c r="AC92" s="44"/>
      <x:c r="AD92" s="44"/>
      <x:c r="AE92" s="19" t="str">
        <x:f>IF(COUNTA(Y92:AC92)=0,"",COUNTIF(Y92:AC92,"Yes")/COUNTA(Y92:AC92))</x:f>
      </x:c>
    </x:row>
    <x:row r="93">
      <x:c r="D93" s="18"/>
      <x:c r="E93" s="18"/>
      <x:c r="N93" s="44"/>
      <x:c r="O93" s="44"/>
      <x:c r="P93" s="44"/>
      <x:c r="Q93" s="44"/>
      <x:c r="R93" s="44"/>
      <x:c r="S93" s="44"/>
      <x:c r="T93" s="44"/>
      <x:c r="U93" s="44"/>
      <x:c r="V93" s="45"/>
      <x:c r="W93" s="45"/>
      <x:c r="X93" s="45"/>
      <x:c r="Y93" s="44"/>
      <x:c r="Z93" s="44"/>
      <x:c r="AA93" s="44"/>
      <x:c r="AB93" s="44"/>
      <x:c r="AC93" s="44"/>
      <x:c r="AD93" s="44"/>
      <x:c r="AE93" s="19" t="str">
        <x:f>IF(COUNTA(Y93:AC93)=0,"",COUNTIF(Y93:AC93,"Yes")/COUNTA(Y93:AC93))</x:f>
      </x:c>
    </x:row>
    <x:row r="94">
      <x:c r="D94" s="18"/>
      <x:c r="E94" s="18"/>
      <x:c r="N94" s="44"/>
      <x:c r="O94" s="44"/>
      <x:c r="P94" s="44"/>
      <x:c r="Q94" s="44"/>
      <x:c r="R94" s="44"/>
      <x:c r="S94" s="44"/>
      <x:c r="T94" s="44"/>
      <x:c r="U94" s="44"/>
      <x:c r="V94" s="45"/>
      <x:c r="W94" s="45"/>
      <x:c r="X94" s="45"/>
      <x:c r="Y94" s="44"/>
      <x:c r="Z94" s="44"/>
      <x:c r="AA94" s="44"/>
      <x:c r="AB94" s="44"/>
      <x:c r="AC94" s="44"/>
      <x:c r="AD94" s="44"/>
      <x:c r="AE94" s="19" t="str">
        <x:f>IF(COUNTA(Y94:AC94)=0,"",COUNTIF(Y94:AC94,"Yes")/COUNTA(Y94:AC94))</x:f>
      </x:c>
    </x:row>
    <x:row r="95">
      <x:c r="D95" s="18"/>
      <x:c r="E95" s="18"/>
      <x:c r="N95" s="44"/>
      <x:c r="O95" s="44"/>
      <x:c r="P95" s="44"/>
      <x:c r="Q95" s="44"/>
      <x:c r="R95" s="44"/>
      <x:c r="S95" s="44"/>
      <x:c r="T95" s="44"/>
      <x:c r="U95" s="44"/>
      <x:c r="V95" s="45"/>
      <x:c r="W95" s="45"/>
      <x:c r="X95" s="45"/>
      <x:c r="Y95" s="44"/>
      <x:c r="Z95" s="44"/>
      <x:c r="AA95" s="44"/>
      <x:c r="AB95" s="44"/>
      <x:c r="AC95" s="44"/>
      <x:c r="AD95" s="44"/>
      <x:c r="AE95" s="19" t="str">
        <x:f>IF(COUNTA(Y95:AC95)=0,"",COUNTIF(Y95:AC95,"Yes")/COUNTA(Y95:AC95))</x:f>
      </x:c>
    </x:row>
    <x:row r="96">
      <x:c r="D96" s="18"/>
      <x:c r="E96" s="18"/>
      <x:c r="N96" s="44"/>
      <x:c r="O96" s="44"/>
      <x:c r="P96" s="44"/>
      <x:c r="Q96" s="44"/>
      <x:c r="R96" s="44"/>
      <x:c r="S96" s="44"/>
      <x:c r="T96" s="44"/>
      <x:c r="U96" s="44"/>
      <x:c r="V96" s="45"/>
      <x:c r="W96" s="45"/>
      <x:c r="X96" s="45"/>
      <x:c r="Y96" s="44"/>
      <x:c r="Z96" s="44"/>
      <x:c r="AA96" s="44"/>
      <x:c r="AB96" s="44"/>
      <x:c r="AC96" s="44"/>
      <x:c r="AD96" s="44"/>
      <x:c r="AE96" s="19" t="str">
        <x:f>IF(COUNTA(Y96:AC96)=0,"",COUNTIF(Y96:AC96,"Yes")/COUNTA(Y96:AC96))</x:f>
      </x:c>
    </x:row>
    <x:row r="97">
      <x:c r="D97" s="18"/>
      <x:c r="E97" s="18"/>
      <x:c r="N97" s="44"/>
      <x:c r="O97" s="44"/>
      <x:c r="P97" s="44"/>
      <x:c r="Q97" s="44"/>
      <x:c r="R97" s="44"/>
      <x:c r="S97" s="44"/>
      <x:c r="T97" s="44"/>
      <x:c r="U97" s="44"/>
      <x:c r="V97" s="45"/>
      <x:c r="W97" s="45"/>
      <x:c r="X97" s="45"/>
      <x:c r="Y97" s="44"/>
      <x:c r="Z97" s="44"/>
      <x:c r="AA97" s="44"/>
      <x:c r="AB97" s="44"/>
      <x:c r="AC97" s="44"/>
      <x:c r="AD97" s="44"/>
      <x:c r="AE97" s="19" t="str">
        <x:f>IF(COUNTA(Y97:AC97)=0,"",COUNTIF(Y97:AC97,"Yes")/COUNTA(Y97:AC97))</x:f>
      </x:c>
    </x:row>
    <x:row r="98">
      <x:c r="D98" s="18"/>
      <x:c r="E98" s="18"/>
      <x:c r="N98" s="44"/>
      <x:c r="O98" s="44"/>
      <x:c r="P98" s="44"/>
      <x:c r="Q98" s="44"/>
      <x:c r="R98" s="44"/>
      <x:c r="S98" s="44"/>
      <x:c r="T98" s="44"/>
      <x:c r="U98" s="44"/>
      <x:c r="V98" s="45"/>
      <x:c r="W98" s="45"/>
      <x:c r="X98" s="45"/>
      <x:c r="Y98" s="44"/>
      <x:c r="Z98" s="44"/>
      <x:c r="AA98" s="44"/>
      <x:c r="AB98" s="44"/>
      <x:c r="AC98" s="44"/>
      <x:c r="AD98" s="44"/>
      <x:c r="AE98" s="19" t="str">
        <x:f>IF(COUNTA(Y98:AC98)=0,"",COUNTIF(Y98:AC98,"Yes")/COUNTA(Y98:AC98))</x:f>
      </x:c>
    </x:row>
    <x:row r="99">
      <x:c r="D99" s="18"/>
      <x:c r="E99" s="18"/>
      <x:c r="N99" s="44"/>
      <x:c r="O99" s="44"/>
      <x:c r="P99" s="44"/>
      <x:c r="Q99" s="44"/>
      <x:c r="R99" s="44"/>
      <x:c r="S99" s="44"/>
      <x:c r="T99" s="44"/>
      <x:c r="U99" s="44"/>
      <x:c r="V99" s="45"/>
      <x:c r="W99" s="45"/>
      <x:c r="X99" s="45"/>
      <x:c r="Y99" s="44"/>
      <x:c r="Z99" s="44"/>
      <x:c r="AA99" s="44"/>
      <x:c r="AB99" s="44"/>
      <x:c r="AC99" s="44"/>
      <x:c r="AD99" s="44"/>
      <x:c r="AE99" s="19" t="str">
        <x:f>IF(COUNTA(Y99:AC99)=0,"",COUNTIF(Y99:AC99,"Yes")/COUNTA(Y99:AC99))</x:f>
      </x:c>
    </x:row>
    <x:row r="100">
      <x:c r="D100" s="18"/>
      <x:c r="E100" s="18"/>
      <x:c r="N100" s="44"/>
      <x:c r="O100" s="44"/>
      <x:c r="P100" s="44"/>
      <x:c r="Q100" s="44"/>
      <x:c r="R100" s="44"/>
      <x:c r="S100" s="44"/>
      <x:c r="T100" s="44"/>
      <x:c r="U100" s="44"/>
      <x:c r="V100" s="45"/>
      <x:c r="W100" s="45"/>
      <x:c r="X100" s="45"/>
      <x:c r="Y100" s="44"/>
      <x:c r="Z100" s="44"/>
      <x:c r="AA100" s="44"/>
      <x:c r="AB100" s="44"/>
      <x:c r="AC100" s="44"/>
      <x:c r="AD100" s="44"/>
      <x:c r="AE100" s="19" t="str">
        <x:f>IF(COUNTA(Y100:AC100)=0,"",COUNTIF(Y100:AC100,"Yes")/COUNTA(Y100:AC100))</x:f>
      </x:c>
    </x:row>
    <x:row r="101">
      <x:c r="D101" s="18"/>
      <x:c r="E101" s="18"/>
      <x:c r="N101" s="44"/>
      <x:c r="O101" s="44"/>
      <x:c r="P101" s="44"/>
      <x:c r="Q101" s="44"/>
      <x:c r="R101" s="44"/>
      <x:c r="S101" s="44"/>
      <x:c r="T101" s="44"/>
      <x:c r="U101" s="44"/>
      <x:c r="V101" s="45"/>
      <x:c r="W101" s="45"/>
      <x:c r="X101" s="45"/>
      <x:c r="Y101" s="44"/>
      <x:c r="Z101" s="44"/>
      <x:c r="AA101" s="44"/>
      <x:c r="AB101" s="44"/>
      <x:c r="AC101" s="44"/>
      <x:c r="AD101" s="44"/>
      <x:c r="AE101" s="19" t="str">
        <x:f>IF(COUNTA(Y101:AC101)=0,"",COUNTIF(Y101:AC101,"Yes")/COUNTA(Y101:AC101))</x:f>
      </x:c>
    </x:row>
    <x:row r="102">
      <x:c r="D102" s="18"/>
      <x:c r="E102" s="18"/>
      <x:c r="N102" s="44"/>
      <x:c r="O102" s="44"/>
      <x:c r="P102" s="44"/>
      <x:c r="Q102" s="44"/>
      <x:c r="R102" s="44"/>
      <x:c r="S102" s="44"/>
      <x:c r="T102" s="44"/>
      <x:c r="U102" s="44"/>
      <x:c r="V102" s="45"/>
      <x:c r="W102" s="45"/>
      <x:c r="X102" s="45"/>
      <x:c r="Y102" s="44"/>
      <x:c r="Z102" s="44"/>
      <x:c r="AA102" s="44"/>
      <x:c r="AB102" s="44"/>
      <x:c r="AC102" s="44"/>
      <x:c r="AD102" s="44"/>
      <x:c r="AE102" s="19" t="str">
        <x:f>IF(COUNTA(Y102:AC102)=0,"",COUNTIF(Y102:AC102,"Yes")/COUNTA(Y102:AC102))</x:f>
      </x:c>
    </x:row>
    <x:row r="103">
      <x:c r="D103" s="18"/>
      <x:c r="E103" s="18"/>
      <x:c r="N103" s="44"/>
      <x:c r="O103" s="44"/>
      <x:c r="P103" s="44"/>
      <x:c r="Q103" s="44"/>
      <x:c r="R103" s="44"/>
      <x:c r="S103" s="44"/>
      <x:c r="T103" s="44"/>
      <x:c r="U103" s="44"/>
      <x:c r="V103" s="45"/>
      <x:c r="W103" s="45"/>
      <x:c r="X103" s="45"/>
      <x:c r="Y103" s="44"/>
      <x:c r="Z103" s="44"/>
      <x:c r="AA103" s="44"/>
      <x:c r="AB103" s="44"/>
      <x:c r="AC103" s="44"/>
      <x:c r="AD103" s="44"/>
      <x:c r="AE103" s="19" t="str">
        <x:f>IF(COUNTA(Y103:AC103)=0,"",COUNTIF(Y103:AC103,"Yes")/COUNTA(Y103:AC103))</x:f>
      </x:c>
    </x:row>
    <x:row r="104">
      <x:c r="D104" s="18"/>
      <x:c r="E104" s="18"/>
      <x:c r="N104" s="44"/>
      <x:c r="O104" s="44"/>
      <x:c r="P104" s="44"/>
      <x:c r="Q104" s="44"/>
      <x:c r="R104" s="44"/>
      <x:c r="S104" s="44"/>
      <x:c r="T104" s="44"/>
      <x:c r="U104" s="44"/>
      <x:c r="V104" s="45"/>
      <x:c r="W104" s="45"/>
      <x:c r="X104" s="45"/>
      <x:c r="Y104" s="44"/>
      <x:c r="Z104" s="44"/>
      <x:c r="AA104" s="44"/>
      <x:c r="AB104" s="44"/>
      <x:c r="AC104" s="44"/>
      <x:c r="AD104" s="44"/>
      <x:c r="AE104" s="19" t="str">
        <x:f>IF(COUNTA(Y104:AC104)=0,"",COUNTIF(Y104:AC104,"Yes")/COUNTA(Y104:AC104))</x:f>
      </x:c>
    </x:row>
    <x:row r="105">
      <x:c r="D105" s="18"/>
      <x:c r="E105" s="18"/>
      <x:c r="N105" s="44"/>
      <x:c r="O105" s="44"/>
      <x:c r="P105" s="44"/>
      <x:c r="Q105" s="44"/>
      <x:c r="R105" s="44"/>
      <x:c r="S105" s="44"/>
      <x:c r="T105" s="44"/>
      <x:c r="U105" s="44"/>
      <x:c r="V105" s="45"/>
      <x:c r="W105" s="45"/>
      <x:c r="X105" s="45"/>
      <x:c r="Y105" s="44"/>
      <x:c r="Z105" s="44"/>
      <x:c r="AA105" s="44"/>
      <x:c r="AB105" s="44"/>
      <x:c r="AC105" s="44"/>
      <x:c r="AD105" s="44"/>
      <x:c r="AE105" s="19" t="str">
        <x:f>IF(COUNTA(Y105:AC105)=0,"",COUNTIF(Y105:AC105,"Yes")/COUNTA(Y105:AC105))</x:f>
      </x:c>
    </x:row>
    <x:row r="106">
      <x:c r="D106" s="18"/>
      <x:c r="E106" s="18"/>
      <x:c r="N106" s="44"/>
      <x:c r="O106" s="44"/>
      <x:c r="P106" s="44"/>
      <x:c r="Q106" s="44"/>
      <x:c r="R106" s="44"/>
      <x:c r="S106" s="44"/>
      <x:c r="T106" s="44"/>
      <x:c r="U106" s="44"/>
      <x:c r="V106" s="45"/>
      <x:c r="W106" s="45"/>
      <x:c r="X106" s="45"/>
      <x:c r="Y106" s="44"/>
      <x:c r="Z106" s="44"/>
      <x:c r="AA106" s="44"/>
      <x:c r="AB106" s="44"/>
      <x:c r="AC106" s="44"/>
      <x:c r="AD106" s="44"/>
      <x:c r="AE106" s="19" t="str">
        <x:f>IF(COUNTA(Y106:AC106)=0,"",COUNTIF(Y106:AC106,"Yes")/COUNTA(Y106:AC106))</x:f>
      </x:c>
    </x:row>
    <x:row r="107">
      <x:c r="D107" s="18"/>
      <x:c r="E107" s="18"/>
      <x:c r="N107" s="44"/>
      <x:c r="O107" s="44"/>
      <x:c r="P107" s="44"/>
      <x:c r="Q107" s="44"/>
      <x:c r="R107" s="44"/>
      <x:c r="S107" s="44"/>
      <x:c r="T107" s="44"/>
      <x:c r="U107" s="44"/>
      <x:c r="V107" s="45"/>
      <x:c r="W107" s="45"/>
      <x:c r="X107" s="45"/>
      <x:c r="Y107" s="44"/>
      <x:c r="Z107" s="44"/>
      <x:c r="AA107" s="44"/>
      <x:c r="AB107" s="44"/>
      <x:c r="AC107" s="44"/>
      <x:c r="AD107" s="44"/>
      <x:c r="AE107" s="19" t="str">
        <x:f>IF(COUNTA(Y107:AC107)=0,"",COUNTIF(Y107:AC107,"Yes")/COUNTA(Y107:AC107))</x:f>
      </x:c>
    </x:row>
    <x:row r="108">
      <x:c r="D108" s="18"/>
      <x:c r="E108" s="18"/>
      <x:c r="N108" s="44"/>
      <x:c r="O108" s="44"/>
      <x:c r="P108" s="44"/>
      <x:c r="Q108" s="44"/>
      <x:c r="R108" s="44"/>
      <x:c r="S108" s="44"/>
      <x:c r="T108" s="44"/>
      <x:c r="U108" s="44"/>
      <x:c r="V108" s="45"/>
      <x:c r="W108" s="45"/>
      <x:c r="X108" s="45"/>
      <x:c r="Y108" s="44"/>
      <x:c r="Z108" s="44"/>
      <x:c r="AA108" s="44"/>
      <x:c r="AB108" s="44"/>
      <x:c r="AC108" s="44"/>
      <x:c r="AD108" s="44"/>
      <x:c r="AE108" s="19" t="str">
        <x:f>IF(COUNTA(Y108:AC108)=0,"",COUNTIF(Y108:AC108,"Yes")/COUNTA(Y108:AC108))</x:f>
      </x:c>
    </x:row>
    <x:row r="109">
      <x:c r="D109" s="18"/>
      <x:c r="E109" s="18"/>
      <x:c r="N109" s="44"/>
      <x:c r="O109" s="44"/>
      <x:c r="P109" s="44"/>
      <x:c r="Q109" s="44"/>
      <x:c r="R109" s="44"/>
      <x:c r="S109" s="44"/>
      <x:c r="T109" s="44"/>
      <x:c r="U109" s="44"/>
      <x:c r="V109" s="45"/>
      <x:c r="W109" s="45"/>
      <x:c r="X109" s="45"/>
      <x:c r="Y109" s="44"/>
      <x:c r="Z109" s="44"/>
      <x:c r="AA109" s="44"/>
      <x:c r="AB109" s="44"/>
      <x:c r="AC109" s="44"/>
      <x:c r="AD109" s="44"/>
      <x:c r="AE109" s="19" t="str">
        <x:f>IF(COUNTA(Y109:AC109)=0,"",COUNTIF(Y109:AC109,"Yes")/COUNTA(Y109:AC109))</x:f>
      </x:c>
    </x:row>
    <x:row r="110">
      <x:c r="D110" s="18"/>
      <x:c r="E110" s="18"/>
      <x:c r="N110" s="44"/>
      <x:c r="O110" s="44"/>
      <x:c r="P110" s="44"/>
      <x:c r="Q110" s="44"/>
      <x:c r="R110" s="44"/>
      <x:c r="S110" s="44"/>
      <x:c r="T110" s="44"/>
      <x:c r="U110" s="44"/>
      <x:c r="V110" s="45"/>
      <x:c r="W110" s="45"/>
      <x:c r="X110" s="45"/>
      <x:c r="Y110" s="44"/>
      <x:c r="Z110" s="44"/>
      <x:c r="AA110" s="44"/>
      <x:c r="AB110" s="44"/>
      <x:c r="AC110" s="44"/>
      <x:c r="AD110" s="44"/>
      <x:c r="AE110" s="19" t="str">
        <x:f>IF(COUNTA(Y110:AC110)=0,"",COUNTIF(Y110:AC110,"Yes")/COUNTA(Y110:AC110))</x:f>
      </x:c>
    </x:row>
    <x:row r="111">
      <x:c r="D111" s="18"/>
      <x:c r="E111" s="18"/>
      <x:c r="N111" s="44"/>
      <x:c r="O111" s="44"/>
      <x:c r="P111" s="44"/>
      <x:c r="Q111" s="44"/>
      <x:c r="R111" s="44"/>
      <x:c r="S111" s="44"/>
      <x:c r="T111" s="44"/>
      <x:c r="U111" s="44"/>
      <x:c r="V111" s="45"/>
      <x:c r="W111" s="45"/>
      <x:c r="X111" s="45"/>
      <x:c r="Y111" s="44"/>
      <x:c r="Z111" s="44"/>
      <x:c r="AA111" s="44"/>
      <x:c r="AB111" s="44"/>
      <x:c r="AC111" s="44"/>
      <x:c r="AD111" s="44"/>
      <x:c r="AE111" s="19" t="str">
        <x:f>IF(COUNTA(Y111:AC111)=0,"",COUNTIF(Y111:AC111,"Yes")/COUNTA(Y111:AC111))</x:f>
      </x:c>
    </x:row>
    <x:row r="112">
      <x:c r="D112" s="18"/>
      <x:c r="E112" s="18"/>
      <x:c r="N112" s="44"/>
      <x:c r="O112" s="44"/>
      <x:c r="P112" s="44"/>
      <x:c r="Q112" s="44"/>
      <x:c r="R112" s="44"/>
      <x:c r="S112" s="44"/>
      <x:c r="T112" s="44"/>
      <x:c r="U112" s="44"/>
      <x:c r="V112" s="45"/>
      <x:c r="W112" s="45"/>
      <x:c r="X112" s="45"/>
      <x:c r="Y112" s="44"/>
      <x:c r="Z112" s="44"/>
      <x:c r="AA112" s="44"/>
      <x:c r="AB112" s="44"/>
      <x:c r="AC112" s="44"/>
      <x:c r="AD112" s="44"/>
      <x:c r="AE112" s="19" t="str">
        <x:f>IF(COUNTA(Y112:AC112)=0,"",COUNTIF(Y112:AC112,"Yes")/COUNTA(Y112:AC112))</x:f>
      </x:c>
    </x:row>
    <x:row r="113">
      <x:c r="D113" s="18"/>
      <x:c r="E113" s="18"/>
      <x:c r="N113" s="44"/>
      <x:c r="O113" s="44"/>
      <x:c r="P113" s="44"/>
      <x:c r="Q113" s="44"/>
      <x:c r="R113" s="44"/>
      <x:c r="S113" s="44"/>
      <x:c r="T113" s="44"/>
      <x:c r="U113" s="44"/>
      <x:c r="V113" s="45"/>
      <x:c r="W113" s="45"/>
      <x:c r="X113" s="45"/>
      <x:c r="Y113" s="44"/>
      <x:c r="Z113" s="44"/>
      <x:c r="AA113" s="44"/>
      <x:c r="AB113" s="44"/>
      <x:c r="AC113" s="44"/>
      <x:c r="AD113" s="44"/>
      <x:c r="AE113" s="19" t="str">
        <x:f>IF(COUNTA(Y113:AC113)=0,"",COUNTIF(Y113:AC113,"Yes")/COUNTA(Y113:AC113))</x:f>
      </x:c>
    </x:row>
    <x:row r="114">
      <x:c r="D114" s="18"/>
      <x:c r="E114" s="18"/>
      <x:c r="N114" s="44"/>
      <x:c r="O114" s="44"/>
      <x:c r="P114" s="44"/>
      <x:c r="Q114" s="44"/>
      <x:c r="R114" s="44"/>
      <x:c r="S114" s="44"/>
      <x:c r="T114" s="44"/>
      <x:c r="U114" s="44"/>
      <x:c r="V114" s="45"/>
      <x:c r="W114" s="45"/>
      <x:c r="X114" s="45"/>
      <x:c r="Y114" s="44"/>
      <x:c r="Z114" s="44"/>
      <x:c r="AA114" s="44"/>
      <x:c r="AB114" s="44"/>
      <x:c r="AC114" s="44"/>
      <x:c r="AD114" s="44"/>
      <x:c r="AE114" s="19" t="str">
        <x:f>IF(COUNTA(Y114:AC114)=0,"",COUNTIF(Y114:AC114,"Yes")/COUNTA(Y114:AC114))</x:f>
      </x:c>
    </x:row>
    <x:row r="115">
      <x:c r="D115" s="18"/>
      <x:c r="E115" s="18"/>
      <x:c r="N115" s="44"/>
      <x:c r="O115" s="44"/>
      <x:c r="P115" s="44"/>
      <x:c r="Q115" s="44"/>
      <x:c r="R115" s="44"/>
      <x:c r="S115" s="44"/>
      <x:c r="T115" s="44"/>
      <x:c r="U115" s="44"/>
      <x:c r="V115" s="45"/>
      <x:c r="W115" s="45"/>
      <x:c r="X115" s="45"/>
      <x:c r="Y115" s="44"/>
      <x:c r="Z115" s="44"/>
      <x:c r="AA115" s="44"/>
      <x:c r="AB115" s="44"/>
      <x:c r="AC115" s="44"/>
      <x:c r="AD115" s="44"/>
      <x:c r="AE115" s="19" t="str">
        <x:f>IF(COUNTA(Y115:AC115)=0,"",COUNTIF(Y115:AC115,"Yes")/COUNTA(Y115:AC115))</x:f>
      </x:c>
    </x:row>
    <x:row r="116">
      <x:c r="D116" s="18"/>
      <x:c r="E116" s="18"/>
      <x:c r="N116" s="44"/>
      <x:c r="O116" s="44"/>
      <x:c r="P116" s="44"/>
      <x:c r="Q116" s="44"/>
      <x:c r="R116" s="44"/>
      <x:c r="S116" s="44"/>
      <x:c r="T116" s="44"/>
      <x:c r="U116" s="44"/>
      <x:c r="V116" s="45"/>
      <x:c r="W116" s="45"/>
      <x:c r="X116" s="45"/>
      <x:c r="Y116" s="44"/>
      <x:c r="Z116" s="44"/>
      <x:c r="AA116" s="44"/>
      <x:c r="AB116" s="44"/>
      <x:c r="AC116" s="44"/>
      <x:c r="AD116" s="44"/>
      <x:c r="AE116" s="19" t="str">
        <x:f>IF(COUNTA(Y116:AC116)=0,"",COUNTIF(Y116:AC116,"Yes")/COUNTA(Y116:AC116))</x:f>
      </x:c>
    </x:row>
    <x:row r="117">
      <x:c r="D117" s="18"/>
      <x:c r="E117" s="18"/>
      <x:c r="N117" s="44"/>
      <x:c r="O117" s="44"/>
      <x:c r="P117" s="44"/>
      <x:c r="Q117" s="44"/>
      <x:c r="R117" s="44"/>
      <x:c r="S117" s="44"/>
      <x:c r="T117" s="44"/>
      <x:c r="U117" s="44"/>
      <x:c r="V117" s="45"/>
      <x:c r="W117" s="45"/>
      <x:c r="X117" s="45"/>
      <x:c r="Y117" s="44"/>
      <x:c r="Z117" s="44"/>
      <x:c r="AA117" s="44"/>
      <x:c r="AB117" s="44"/>
      <x:c r="AC117" s="44"/>
      <x:c r="AD117" s="44"/>
      <x:c r="AE117" s="19" t="str">
        <x:f>IF(COUNTA(Y117:AC117)=0,"",COUNTIF(Y117:AC117,"Yes")/COUNTA(Y117:AC117))</x:f>
      </x:c>
    </x:row>
    <x:row r="118">
      <x:c r="D118" s="18"/>
      <x:c r="E118" s="18"/>
      <x:c r="N118" s="44"/>
      <x:c r="O118" s="44"/>
      <x:c r="P118" s="44"/>
      <x:c r="Q118" s="44"/>
      <x:c r="R118" s="44"/>
      <x:c r="S118" s="44"/>
      <x:c r="T118" s="44"/>
      <x:c r="U118" s="44"/>
      <x:c r="V118" s="45"/>
      <x:c r="W118" s="45"/>
      <x:c r="X118" s="45"/>
      <x:c r="Y118" s="44"/>
      <x:c r="Z118" s="44"/>
      <x:c r="AA118" s="44"/>
      <x:c r="AB118" s="44"/>
      <x:c r="AC118" s="44"/>
      <x:c r="AD118" s="44"/>
      <x:c r="AE118" s="19" t="str">
        <x:f>IF(COUNTA(Y118:AC118)=0,"",COUNTIF(Y118:AC118,"Yes")/COUNTA(Y118:AC118))</x:f>
      </x:c>
    </x:row>
    <x:row r="119">
      <x:c r="D119" s="18"/>
      <x:c r="E119" s="18"/>
      <x:c r="N119" s="44"/>
      <x:c r="O119" s="44"/>
      <x:c r="P119" s="44"/>
      <x:c r="Q119" s="44"/>
      <x:c r="R119" s="44"/>
      <x:c r="S119" s="44"/>
      <x:c r="T119" s="44"/>
      <x:c r="U119" s="44"/>
      <x:c r="V119" s="45"/>
      <x:c r="W119" s="45"/>
      <x:c r="X119" s="45"/>
      <x:c r="Y119" s="44"/>
      <x:c r="Z119" s="44"/>
      <x:c r="AA119" s="44"/>
      <x:c r="AB119" s="44"/>
      <x:c r="AC119" s="44"/>
      <x:c r="AD119" s="44"/>
      <x:c r="AE119" s="19" t="str">
        <x:f>IF(COUNTA(Y119:AC119)=0,"",COUNTIF(Y119:AC119,"Yes")/COUNTA(Y119:AC119))</x:f>
      </x:c>
    </x:row>
    <x:row r="120">
      <x:c r="D120" s="18"/>
      <x:c r="E120" s="18"/>
      <x:c r="N120" s="44"/>
      <x:c r="O120" s="44"/>
      <x:c r="P120" s="44"/>
      <x:c r="Q120" s="44"/>
      <x:c r="R120" s="44"/>
      <x:c r="S120" s="44"/>
      <x:c r="T120" s="44"/>
      <x:c r="U120" s="44"/>
      <x:c r="V120" s="45"/>
      <x:c r="W120" s="45"/>
      <x:c r="X120" s="45"/>
      <x:c r="Y120" s="44"/>
      <x:c r="Z120" s="44"/>
      <x:c r="AA120" s="44"/>
      <x:c r="AB120" s="44"/>
      <x:c r="AC120" s="44"/>
      <x:c r="AD120" s="44"/>
      <x:c r="AE120" s="19" t="str">
        <x:f>IF(COUNTA(Y120:AC120)=0,"",COUNTIF(Y120:AC120,"Yes")/COUNTA(Y120:AC120))</x:f>
      </x:c>
    </x:row>
    <x:row r="121">
      <x:c r="D121" s="18"/>
      <x:c r="E121" s="18"/>
      <x:c r="N121" s="44"/>
      <x:c r="O121" s="44"/>
      <x:c r="P121" s="44"/>
      <x:c r="Q121" s="44"/>
      <x:c r="R121" s="44"/>
      <x:c r="S121" s="44"/>
      <x:c r="T121" s="44"/>
      <x:c r="U121" s="44"/>
      <x:c r="V121" s="45"/>
      <x:c r="W121" s="45"/>
      <x:c r="X121" s="45"/>
      <x:c r="Y121" s="44"/>
      <x:c r="Z121" s="44"/>
      <x:c r="AA121" s="44"/>
      <x:c r="AB121" s="44"/>
      <x:c r="AC121" s="44"/>
      <x:c r="AD121" s="44"/>
      <x:c r="AE121" s="19" t="str">
        <x:f>IF(COUNTA(Y121:AC121)=0,"",COUNTIF(Y121:AC121,"Yes")/COUNTA(Y121:AC121))</x:f>
      </x:c>
    </x:row>
    <x:row r="122">
      <x:c r="D122" s="18"/>
      <x:c r="E122" s="18"/>
      <x:c r="N122" s="44"/>
      <x:c r="O122" s="44"/>
      <x:c r="P122" s="44"/>
      <x:c r="Q122" s="44"/>
      <x:c r="R122" s="44"/>
      <x:c r="S122" s="44"/>
      <x:c r="T122" s="44"/>
      <x:c r="U122" s="44"/>
      <x:c r="V122" s="45"/>
      <x:c r="W122" s="45"/>
      <x:c r="X122" s="45"/>
      <x:c r="Y122" s="44"/>
      <x:c r="Z122" s="44"/>
      <x:c r="AA122" s="44"/>
      <x:c r="AB122" s="44"/>
      <x:c r="AC122" s="44"/>
      <x:c r="AD122" s="44"/>
      <x:c r="AE122" s="19" t="str">
        <x:f>IF(COUNTA(Y122:AC122)=0,"",COUNTIF(Y122:AC122,"Yes")/COUNTA(Y122:AC122))</x:f>
      </x:c>
    </x:row>
    <x:row r="123">
      <x:c r="D123" s="18"/>
      <x:c r="E123" s="18"/>
      <x:c r="N123" s="44"/>
      <x:c r="O123" s="44"/>
      <x:c r="P123" s="44"/>
      <x:c r="Q123" s="44"/>
      <x:c r="R123" s="44"/>
      <x:c r="S123" s="44"/>
      <x:c r="T123" s="44"/>
      <x:c r="U123" s="44"/>
      <x:c r="V123" s="45"/>
      <x:c r="W123" s="45"/>
      <x:c r="X123" s="45"/>
      <x:c r="Y123" s="44"/>
      <x:c r="Z123" s="44"/>
      <x:c r="AA123" s="44"/>
      <x:c r="AB123" s="44"/>
      <x:c r="AC123" s="44"/>
      <x:c r="AD123" s="44"/>
      <x:c r="AE123" s="19" t="str">
        <x:f>IF(COUNTA(Y123:AC123)=0,"",COUNTIF(Y123:AC123,"Yes")/COUNTA(Y123:AC123))</x:f>
      </x:c>
    </x:row>
    <x:row r="124">
      <x:c r="D124" s="18"/>
      <x:c r="E124" s="18"/>
      <x:c r="N124" s="44"/>
      <x:c r="O124" s="44"/>
      <x:c r="P124" s="44"/>
      <x:c r="Q124" s="44"/>
      <x:c r="R124" s="44"/>
      <x:c r="S124" s="44"/>
      <x:c r="T124" s="44"/>
      <x:c r="U124" s="44"/>
      <x:c r="V124" s="45"/>
      <x:c r="W124" s="45"/>
      <x:c r="X124" s="45"/>
      <x:c r="Y124" s="44"/>
      <x:c r="Z124" s="44"/>
      <x:c r="AA124" s="44"/>
      <x:c r="AB124" s="44"/>
      <x:c r="AC124" s="44"/>
      <x:c r="AD124" s="44"/>
      <x:c r="AE124" s="19" t="str">
        <x:f>IF(COUNTA(Y124:AC124)=0,"",COUNTIF(Y124:AC124,"Yes")/COUNTA(Y124:AC124))</x:f>
      </x:c>
    </x:row>
    <x:row r="125">
      <x:c r="D125" s="18"/>
      <x:c r="E125" s="18"/>
      <x:c r="N125" s="44"/>
      <x:c r="O125" s="44"/>
      <x:c r="P125" s="44"/>
      <x:c r="Q125" s="44"/>
      <x:c r="R125" s="44"/>
      <x:c r="S125" s="44"/>
      <x:c r="T125" s="44"/>
      <x:c r="U125" s="44"/>
      <x:c r="V125" s="45"/>
      <x:c r="W125" s="45"/>
      <x:c r="X125" s="45"/>
      <x:c r="Y125" s="44"/>
      <x:c r="Z125" s="44"/>
      <x:c r="AA125" s="44"/>
      <x:c r="AB125" s="44"/>
      <x:c r="AC125" s="44"/>
      <x:c r="AD125" s="44"/>
      <x:c r="AE125" s="19" t="str">
        <x:f>IF(COUNTA(Y125:AC125)=0,"",COUNTIF(Y125:AC125,"Yes")/COUNTA(Y125:AC125))</x:f>
      </x:c>
    </x:row>
    <x:row r="126">
      <x:c r="D126" s="18"/>
      <x:c r="E126" s="18"/>
      <x:c r="N126" s="44"/>
      <x:c r="O126" s="44"/>
      <x:c r="P126" s="44"/>
      <x:c r="Q126" s="44"/>
      <x:c r="R126" s="44"/>
      <x:c r="S126" s="44"/>
      <x:c r="T126" s="44"/>
      <x:c r="U126" s="44"/>
      <x:c r="V126" s="45"/>
      <x:c r="W126" s="45"/>
      <x:c r="X126" s="45"/>
      <x:c r="Y126" s="44"/>
      <x:c r="Z126" s="44"/>
      <x:c r="AA126" s="44"/>
      <x:c r="AB126" s="44"/>
      <x:c r="AC126" s="44"/>
      <x:c r="AD126" s="44"/>
      <x:c r="AE126" s="19" t="str">
        <x:f>IF(COUNTA(Y126:AC126)=0,"",COUNTIF(Y126:AC126,"Yes")/COUNTA(Y126:AC126))</x:f>
      </x:c>
    </x:row>
    <x:row r="127">
      <x:c r="D127" s="18"/>
      <x:c r="E127" s="18"/>
      <x:c r="N127" s="44"/>
      <x:c r="O127" s="44"/>
      <x:c r="P127" s="44"/>
      <x:c r="Q127" s="44"/>
      <x:c r="R127" s="44"/>
      <x:c r="S127" s="44"/>
      <x:c r="T127" s="44"/>
      <x:c r="U127" s="44"/>
      <x:c r="V127" s="45"/>
      <x:c r="W127" s="45"/>
      <x:c r="X127" s="45"/>
      <x:c r="Y127" s="44"/>
      <x:c r="Z127" s="44"/>
      <x:c r="AA127" s="44"/>
      <x:c r="AB127" s="44"/>
      <x:c r="AC127" s="44"/>
      <x:c r="AD127" s="44"/>
      <x:c r="AE127" s="19" t="str">
        <x:f>IF(COUNTA(Y127:AC127)=0,"",COUNTIF(Y127:AC127,"Yes")/COUNTA(Y127:AC127))</x:f>
      </x:c>
    </x:row>
    <x:row r="128">
      <x:c r="D128" s="18"/>
      <x:c r="E128" s="18"/>
      <x:c r="N128" s="44"/>
      <x:c r="O128" s="44"/>
      <x:c r="P128" s="44"/>
      <x:c r="Q128" s="44"/>
      <x:c r="R128" s="44"/>
      <x:c r="S128" s="44"/>
      <x:c r="T128" s="44"/>
      <x:c r="U128" s="44"/>
      <x:c r="V128" s="45"/>
      <x:c r="W128" s="45"/>
      <x:c r="X128" s="45"/>
      <x:c r="Y128" s="44"/>
      <x:c r="Z128" s="44"/>
      <x:c r="AA128" s="44"/>
      <x:c r="AB128" s="44"/>
      <x:c r="AC128" s="44"/>
      <x:c r="AD128" s="44"/>
      <x:c r="AE128" s="19" t="str">
        <x:f>IF(COUNTA(Y128:AC128)=0,"",COUNTIF(Y128:AC128,"Yes")/COUNTA(Y128:AC128))</x:f>
      </x:c>
    </x:row>
    <x:row r="129">
      <x:c r="D129" s="18"/>
      <x:c r="E129" s="18"/>
      <x:c r="N129" s="44"/>
      <x:c r="O129" s="44"/>
      <x:c r="P129" s="44"/>
      <x:c r="Q129" s="44"/>
      <x:c r="R129" s="44"/>
      <x:c r="S129" s="44"/>
      <x:c r="T129" s="44"/>
      <x:c r="U129" s="44"/>
      <x:c r="V129" s="45"/>
      <x:c r="W129" s="45"/>
      <x:c r="X129" s="45"/>
      <x:c r="Y129" s="44"/>
      <x:c r="Z129" s="44"/>
      <x:c r="AA129" s="44"/>
      <x:c r="AB129" s="44"/>
      <x:c r="AC129" s="44"/>
      <x:c r="AD129" s="44"/>
      <x:c r="AE129" s="19" t="str">
        <x:f>IF(COUNTA(Y129:AC129)=0,"",COUNTIF(Y129:AC129,"Yes")/COUNTA(Y129:AC129))</x:f>
      </x:c>
    </x:row>
    <x:row r="130">
      <x:c r="D130" s="18"/>
      <x:c r="E130" s="18"/>
      <x:c r="N130" s="44"/>
      <x:c r="O130" s="44"/>
      <x:c r="P130" s="44"/>
      <x:c r="Q130" s="44"/>
      <x:c r="R130" s="44"/>
      <x:c r="S130" s="44"/>
      <x:c r="T130" s="44"/>
      <x:c r="U130" s="44"/>
      <x:c r="V130" s="45"/>
      <x:c r="W130" s="45"/>
      <x:c r="X130" s="45"/>
      <x:c r="Y130" s="44"/>
      <x:c r="Z130" s="44"/>
      <x:c r="AA130" s="44"/>
      <x:c r="AB130" s="44"/>
      <x:c r="AC130" s="44"/>
      <x:c r="AD130" s="44"/>
      <x:c r="AE130" s="19" t="str">
        <x:f>IF(COUNTA(Y130:AC130)=0,"",COUNTIF(Y130:AC130,"Yes")/COUNTA(Y130:AC130))</x:f>
      </x:c>
    </x:row>
    <x:row r="131">
      <x:c r="D131" s="18"/>
      <x:c r="E131" s="18"/>
      <x:c r="N131" s="44"/>
      <x:c r="O131" s="44"/>
      <x:c r="P131" s="44"/>
      <x:c r="Q131" s="44"/>
      <x:c r="R131" s="44"/>
      <x:c r="S131" s="44"/>
      <x:c r="T131" s="44"/>
      <x:c r="U131" s="44"/>
      <x:c r="V131" s="45"/>
      <x:c r="W131" s="45"/>
      <x:c r="X131" s="45"/>
      <x:c r="Y131" s="44"/>
      <x:c r="Z131" s="44"/>
      <x:c r="AA131" s="44"/>
      <x:c r="AB131" s="44"/>
      <x:c r="AC131" s="44"/>
      <x:c r="AD131" s="44"/>
      <x:c r="AE131" s="19" t="str">
        <x:f>IF(COUNTA(Y131:AC131)=0,"",COUNTIF(Y131:AC131,"Yes")/COUNTA(Y131:AC131))</x:f>
      </x:c>
    </x:row>
    <x:row r="132">
      <x:c r="D132" s="18"/>
      <x:c r="E132" s="18"/>
      <x:c r="N132" s="44"/>
      <x:c r="O132" s="44"/>
      <x:c r="P132" s="44"/>
      <x:c r="Q132" s="44"/>
      <x:c r="R132" s="44"/>
      <x:c r="S132" s="44"/>
      <x:c r="T132" s="44"/>
      <x:c r="U132" s="44"/>
      <x:c r="V132" s="45"/>
      <x:c r="W132" s="45"/>
      <x:c r="X132" s="45"/>
      <x:c r="Y132" s="44"/>
      <x:c r="Z132" s="44"/>
      <x:c r="AA132" s="44"/>
      <x:c r="AB132" s="44"/>
      <x:c r="AC132" s="44"/>
      <x:c r="AD132" s="44"/>
      <x:c r="AE132" s="19" t="str">
        <x:f>IF(COUNTA(Y132:AC132)=0,"",COUNTIF(Y132:AC132,"Yes")/COUNTA(Y132:AC132))</x:f>
      </x:c>
    </x:row>
    <x:row r="133">
      <x:c r="D133" s="18"/>
      <x:c r="E133" s="18"/>
      <x:c r="N133" s="44"/>
      <x:c r="O133" s="44"/>
      <x:c r="P133" s="44"/>
      <x:c r="Q133" s="44"/>
      <x:c r="R133" s="44"/>
      <x:c r="S133" s="44"/>
      <x:c r="T133" s="44"/>
      <x:c r="U133" s="44"/>
      <x:c r="V133" s="45"/>
      <x:c r="W133" s="45"/>
      <x:c r="X133" s="45"/>
      <x:c r="Y133" s="44"/>
      <x:c r="Z133" s="44"/>
      <x:c r="AA133" s="44"/>
      <x:c r="AB133" s="44"/>
      <x:c r="AC133" s="44"/>
      <x:c r="AD133" s="44"/>
      <x:c r="AE133" s="19" t="str">
        <x:f>IF(COUNTA(Y133:AC133)=0,"",COUNTIF(Y133:AC133,"Yes")/COUNTA(Y133:AC133))</x:f>
      </x:c>
    </x:row>
    <x:row r="134">
      <x:c r="D134" s="18"/>
      <x:c r="E134" s="18"/>
      <x:c r="N134" s="44"/>
      <x:c r="O134" s="44"/>
      <x:c r="P134" s="44"/>
      <x:c r="Q134" s="44"/>
      <x:c r="R134" s="44"/>
      <x:c r="S134" s="44"/>
      <x:c r="T134" s="44"/>
      <x:c r="U134" s="44"/>
      <x:c r="V134" s="45"/>
      <x:c r="W134" s="45"/>
      <x:c r="X134" s="45"/>
      <x:c r="Y134" s="44"/>
      <x:c r="Z134" s="44"/>
      <x:c r="AA134" s="44"/>
      <x:c r="AB134" s="44"/>
      <x:c r="AC134" s="44"/>
      <x:c r="AD134" s="44"/>
      <x:c r="AE134" s="19" t="str">
        <x:f>IF(COUNTA(Y134:AC134)=0,"",COUNTIF(Y134:AC134,"Yes")/COUNTA(Y134:AC134))</x:f>
      </x:c>
    </x:row>
    <x:row r="135">
      <x:c r="D135" s="18"/>
      <x:c r="E135" s="18"/>
      <x:c r="N135" s="44"/>
      <x:c r="O135" s="44"/>
      <x:c r="P135" s="44"/>
      <x:c r="Q135" s="44"/>
      <x:c r="R135" s="44"/>
      <x:c r="S135" s="44"/>
      <x:c r="T135" s="44"/>
      <x:c r="U135" s="44"/>
      <x:c r="V135" s="45"/>
      <x:c r="W135" s="45"/>
      <x:c r="X135" s="45"/>
      <x:c r="Y135" s="44"/>
      <x:c r="Z135" s="44"/>
      <x:c r="AA135" s="44"/>
      <x:c r="AB135" s="44"/>
      <x:c r="AC135" s="44"/>
      <x:c r="AD135" s="44"/>
      <x:c r="AE135" s="19" t="str">
        <x:f>IF(COUNTA(Y135:AC135)=0,"",COUNTIF(Y135:AC135,"Yes")/COUNTA(Y135:AC135))</x:f>
      </x:c>
    </x:row>
    <x:row r="136">
      <x:c r="D136" s="18"/>
      <x:c r="E136" s="18"/>
      <x:c r="N136" s="44"/>
      <x:c r="O136" s="44"/>
      <x:c r="P136" s="44"/>
      <x:c r="Q136" s="44"/>
      <x:c r="R136" s="44"/>
      <x:c r="S136" s="44"/>
      <x:c r="T136" s="44"/>
      <x:c r="U136" s="44"/>
      <x:c r="V136" s="45"/>
      <x:c r="W136" s="45"/>
      <x:c r="X136" s="45"/>
      <x:c r="Y136" s="44"/>
      <x:c r="Z136" s="44"/>
      <x:c r="AA136" s="44"/>
      <x:c r="AB136" s="44"/>
      <x:c r="AC136" s="44"/>
      <x:c r="AD136" s="44"/>
      <x:c r="AE136" s="19" t="str">
        <x:f>IF(COUNTA(Y136:AC136)=0,"",COUNTIF(Y136:AC136,"Yes")/COUNTA(Y136:AC136))</x:f>
      </x:c>
    </x:row>
    <x:row r="137">
      <x:c r="D137" s="18"/>
      <x:c r="E137" s="18"/>
      <x:c r="N137" s="44"/>
      <x:c r="O137" s="44"/>
      <x:c r="P137" s="44"/>
      <x:c r="Q137" s="44"/>
      <x:c r="R137" s="44"/>
      <x:c r="S137" s="44"/>
      <x:c r="T137" s="44"/>
      <x:c r="U137" s="44"/>
      <x:c r="V137" s="45"/>
      <x:c r="W137" s="45"/>
      <x:c r="X137" s="45"/>
      <x:c r="Y137" s="44"/>
      <x:c r="Z137" s="44"/>
      <x:c r="AA137" s="44"/>
      <x:c r="AB137" s="44"/>
      <x:c r="AC137" s="44"/>
      <x:c r="AD137" s="44"/>
      <x:c r="AE137" s="19" t="str">
        <x:f>IF(COUNTA(Y137:AC137)=0,"",COUNTIF(Y137:AC137,"Yes")/COUNTA(Y137:AC137))</x:f>
      </x:c>
    </x:row>
    <x:row r="138">
      <x:c r="D138" s="18"/>
      <x:c r="E138" s="18"/>
      <x:c r="N138" s="44"/>
      <x:c r="O138" s="44"/>
      <x:c r="P138" s="44"/>
      <x:c r="Q138" s="44"/>
      <x:c r="R138" s="44"/>
      <x:c r="S138" s="44"/>
      <x:c r="T138" s="44"/>
      <x:c r="U138" s="44"/>
      <x:c r="V138" s="45"/>
      <x:c r="W138" s="45"/>
      <x:c r="X138" s="45"/>
      <x:c r="Y138" s="44"/>
      <x:c r="Z138" s="44"/>
      <x:c r="AA138" s="44"/>
      <x:c r="AB138" s="44"/>
      <x:c r="AC138" s="44"/>
      <x:c r="AD138" s="44"/>
      <x:c r="AE138" s="19" t="str">
        <x:f>IF(COUNTA(Y138:AC138)=0,"",COUNTIF(Y138:AC138,"Yes")/COUNTA(Y138:AC138))</x:f>
      </x:c>
    </x:row>
    <x:row r="139">
      <x:c r="D139" s="18"/>
      <x:c r="E139" s="18"/>
      <x:c r="N139" s="44"/>
      <x:c r="O139" s="44"/>
      <x:c r="P139" s="44"/>
      <x:c r="Q139" s="44"/>
      <x:c r="R139" s="44"/>
      <x:c r="S139" s="44"/>
      <x:c r="T139" s="44"/>
      <x:c r="U139" s="44"/>
      <x:c r="V139" s="45"/>
      <x:c r="W139" s="45"/>
      <x:c r="X139" s="45"/>
      <x:c r="Y139" s="44"/>
      <x:c r="Z139" s="44"/>
      <x:c r="AA139" s="44"/>
      <x:c r="AB139" s="44"/>
      <x:c r="AC139" s="44"/>
      <x:c r="AD139" s="44"/>
      <x:c r="AE139" s="19" t="str">
        <x:f>IF(COUNTA(Y139:AC139)=0,"",COUNTIF(Y139:AC139,"Yes")/COUNTA(Y139:AC139))</x:f>
      </x:c>
    </x:row>
    <x:row r="140">
      <x:c r="D140" s="18"/>
      <x:c r="E140" s="18"/>
      <x:c r="N140" s="44"/>
      <x:c r="O140" s="44"/>
      <x:c r="P140" s="44"/>
      <x:c r="Q140" s="44"/>
      <x:c r="R140" s="44"/>
      <x:c r="S140" s="44"/>
      <x:c r="T140" s="44"/>
      <x:c r="U140" s="44"/>
      <x:c r="V140" s="45"/>
      <x:c r="W140" s="45"/>
      <x:c r="X140" s="45"/>
      <x:c r="Y140" s="44"/>
      <x:c r="Z140" s="44"/>
      <x:c r="AA140" s="44"/>
      <x:c r="AB140" s="44"/>
      <x:c r="AC140" s="44"/>
      <x:c r="AD140" s="44"/>
      <x:c r="AE140" s="19" t="str">
        <x:f>IF(COUNTA(Y140:AC140)=0,"",COUNTIF(Y140:AC140,"Yes")/COUNTA(Y140:AC140))</x:f>
      </x:c>
    </x:row>
    <x:row r="141">
      <x:c r="D141" s="18"/>
      <x:c r="E141" s="18"/>
      <x:c r="N141" s="44"/>
      <x:c r="O141" s="44"/>
      <x:c r="P141" s="44"/>
      <x:c r="Q141" s="44"/>
      <x:c r="R141" s="44"/>
      <x:c r="S141" s="44"/>
      <x:c r="T141" s="44"/>
      <x:c r="U141" s="44"/>
      <x:c r="V141" s="45"/>
      <x:c r="W141" s="45"/>
      <x:c r="X141" s="45"/>
      <x:c r="Y141" s="44"/>
      <x:c r="Z141" s="44"/>
      <x:c r="AA141" s="44"/>
      <x:c r="AB141" s="44"/>
      <x:c r="AC141" s="44"/>
      <x:c r="AD141" s="44"/>
      <x:c r="AE141" s="19" t="str">
        <x:f>IF(COUNTA(Y141:AC141)=0,"",COUNTIF(Y141:AC141,"Yes")/COUNTA(Y141:AC141))</x:f>
      </x:c>
    </x:row>
    <x:row r="142">
      <x:c r="D142" s="18"/>
      <x:c r="E142" s="18"/>
      <x:c r="N142" s="44"/>
      <x:c r="O142" s="44"/>
      <x:c r="P142" s="44"/>
      <x:c r="Q142" s="44"/>
      <x:c r="R142" s="44"/>
      <x:c r="S142" s="44"/>
      <x:c r="T142" s="44"/>
      <x:c r="U142" s="44"/>
      <x:c r="V142" s="45"/>
      <x:c r="W142" s="45"/>
      <x:c r="X142" s="45"/>
      <x:c r="Y142" s="44"/>
      <x:c r="Z142" s="44"/>
      <x:c r="AA142" s="44"/>
      <x:c r="AB142" s="44"/>
      <x:c r="AC142" s="44"/>
      <x:c r="AD142" s="44"/>
      <x:c r="AE142" s="19" t="str">
        <x:f>IF(COUNTA(Y142:AC142)=0,"",COUNTIF(Y142:AC142,"Yes")/COUNTA(Y142:AC142))</x:f>
      </x:c>
    </x:row>
    <x:row r="143">
      <x:c r="D143" s="18"/>
      <x:c r="E143" s="18"/>
      <x:c r="N143" s="44"/>
      <x:c r="O143" s="44"/>
      <x:c r="P143" s="44"/>
      <x:c r="Q143" s="44"/>
      <x:c r="R143" s="44"/>
      <x:c r="S143" s="44"/>
      <x:c r="T143" s="44"/>
      <x:c r="U143" s="44"/>
      <x:c r="V143" s="45"/>
      <x:c r="W143" s="45"/>
      <x:c r="X143" s="45"/>
      <x:c r="Y143" s="44"/>
      <x:c r="Z143" s="44"/>
      <x:c r="AA143" s="44"/>
      <x:c r="AB143" s="44"/>
      <x:c r="AC143" s="44"/>
      <x:c r="AD143" s="44"/>
      <x:c r="AE143" s="19" t="str">
        <x:f>IF(COUNTA(Y143:AC143)=0,"",COUNTIF(Y143:AC143,"Yes")/COUNTA(Y143:AC143))</x:f>
      </x:c>
    </x:row>
    <x:row r="144">
      <x:c r="D144" s="18"/>
      <x:c r="E144" s="18"/>
      <x:c r="N144" s="44"/>
      <x:c r="O144" s="44"/>
      <x:c r="P144" s="44"/>
      <x:c r="Q144" s="44"/>
      <x:c r="R144" s="44"/>
      <x:c r="S144" s="44"/>
      <x:c r="T144" s="44"/>
      <x:c r="U144" s="44"/>
      <x:c r="V144" s="45"/>
      <x:c r="W144" s="45"/>
      <x:c r="X144" s="45"/>
      <x:c r="Y144" s="44"/>
      <x:c r="Z144" s="44"/>
      <x:c r="AA144" s="44"/>
      <x:c r="AB144" s="44"/>
      <x:c r="AC144" s="44"/>
      <x:c r="AD144" s="44"/>
      <x:c r="AE144" s="19" t="str">
        <x:f>IF(COUNTA(Y144:AC144)=0,"",COUNTIF(Y144:AC144,"Yes")/COUNTA(Y144:AC144))</x:f>
      </x:c>
    </x:row>
    <x:row r="145">
      <x:c r="D145" s="18"/>
      <x:c r="E145" s="18"/>
      <x:c r="N145" s="44"/>
      <x:c r="O145" s="44"/>
      <x:c r="P145" s="44"/>
      <x:c r="Q145" s="44"/>
      <x:c r="R145" s="44"/>
      <x:c r="S145" s="44"/>
      <x:c r="T145" s="44"/>
      <x:c r="U145" s="44"/>
      <x:c r="V145" s="45"/>
      <x:c r="W145" s="45"/>
      <x:c r="X145" s="45"/>
      <x:c r="Y145" s="44"/>
      <x:c r="Z145" s="44"/>
      <x:c r="AA145" s="44"/>
      <x:c r="AB145" s="44"/>
      <x:c r="AC145" s="44"/>
      <x:c r="AD145" s="44"/>
      <x:c r="AE145" s="19" t="str">
        <x:f>IF(COUNTA(Y145:AC145)=0,"",COUNTIF(Y145:AC145,"Yes")/COUNTA(Y145:AC145))</x:f>
      </x:c>
    </x:row>
    <x:row r="146">
      <x:c r="D146" s="18"/>
      <x:c r="E146" s="18"/>
      <x:c r="N146" s="44"/>
      <x:c r="O146" s="44"/>
      <x:c r="P146" s="44"/>
      <x:c r="Q146" s="44"/>
      <x:c r="R146" s="44"/>
      <x:c r="S146" s="44"/>
      <x:c r="T146" s="44"/>
      <x:c r="U146" s="44"/>
      <x:c r="V146" s="45"/>
      <x:c r="W146" s="45"/>
      <x:c r="X146" s="45"/>
      <x:c r="Y146" s="44"/>
      <x:c r="Z146" s="44"/>
      <x:c r="AA146" s="44"/>
      <x:c r="AB146" s="44"/>
      <x:c r="AC146" s="44"/>
      <x:c r="AD146" s="44"/>
      <x:c r="AE146" s="19" t="str">
        <x:f>IF(COUNTA(Y146:AC146)=0,"",COUNTIF(Y146:AC146,"Yes")/COUNTA(Y146:AC146))</x:f>
      </x:c>
    </x:row>
    <x:row r="147">
      <x:c r="D147" s="18"/>
      <x:c r="E147" s="18"/>
      <x:c r="N147" s="44"/>
      <x:c r="O147" s="44"/>
      <x:c r="P147" s="44"/>
      <x:c r="Q147" s="44"/>
      <x:c r="R147" s="44"/>
      <x:c r="S147" s="44"/>
      <x:c r="T147" s="44"/>
      <x:c r="U147" s="44"/>
      <x:c r="V147" s="45"/>
      <x:c r="W147" s="45"/>
      <x:c r="X147" s="45"/>
      <x:c r="Y147" s="44"/>
      <x:c r="Z147" s="44"/>
      <x:c r="AA147" s="44"/>
      <x:c r="AB147" s="44"/>
      <x:c r="AC147" s="44"/>
      <x:c r="AD147" s="44"/>
      <x:c r="AE147" s="19" t="str">
        <x:f>IF(COUNTA(Y147:AC147)=0,"",COUNTIF(Y147:AC147,"Yes")/COUNTA(Y147:AC147))</x:f>
      </x:c>
    </x:row>
    <x:row r="148">
      <x:c r="D148" s="18"/>
      <x:c r="E148" s="18"/>
      <x:c r="N148" s="44"/>
      <x:c r="O148" s="44"/>
      <x:c r="P148" s="44"/>
      <x:c r="Q148" s="44"/>
      <x:c r="R148" s="44"/>
      <x:c r="S148" s="44"/>
      <x:c r="T148" s="44"/>
      <x:c r="U148" s="44"/>
      <x:c r="V148" s="45"/>
      <x:c r="W148" s="45"/>
      <x:c r="X148" s="45"/>
      <x:c r="Y148" s="44"/>
      <x:c r="Z148" s="44"/>
      <x:c r="AA148" s="44"/>
      <x:c r="AB148" s="44"/>
      <x:c r="AC148" s="44"/>
      <x:c r="AD148" s="44"/>
      <x:c r="AE148" s="19" t="str">
        <x:f>IF(COUNTA(Y148:AC148)=0,"",COUNTIF(Y148:AC148,"Yes")/COUNTA(Y148:AC148))</x:f>
      </x:c>
    </x:row>
    <x:row r="149">
      <x:c r="D149" s="18"/>
      <x:c r="E149" s="18"/>
      <x:c r="N149" s="44"/>
      <x:c r="O149" s="44"/>
      <x:c r="P149" s="44"/>
      <x:c r="Q149" s="44"/>
      <x:c r="R149" s="44"/>
      <x:c r="S149" s="44"/>
      <x:c r="T149" s="44"/>
      <x:c r="U149" s="44"/>
      <x:c r="V149" s="45"/>
      <x:c r="W149" s="45"/>
      <x:c r="X149" s="45"/>
      <x:c r="Y149" s="44"/>
      <x:c r="Z149" s="44"/>
      <x:c r="AA149" s="44"/>
      <x:c r="AB149" s="44"/>
      <x:c r="AC149" s="44"/>
      <x:c r="AD149" s="44"/>
      <x:c r="AE149" s="19" t="str">
        <x:f>IF(COUNTA(Y149:AC149)=0,"",COUNTIF(Y149:AC149,"Yes")/COUNTA(Y149:AC149))</x:f>
      </x:c>
    </x:row>
    <x:row r="150">
      <x:c r="D150" s="18"/>
      <x:c r="E150" s="18"/>
      <x:c r="N150" s="44"/>
      <x:c r="O150" s="44"/>
      <x:c r="P150" s="44"/>
      <x:c r="Q150" s="44"/>
      <x:c r="R150" s="44"/>
      <x:c r="S150" s="44"/>
      <x:c r="T150" s="44"/>
      <x:c r="U150" s="44"/>
      <x:c r="V150" s="45"/>
      <x:c r="W150" s="45"/>
      <x:c r="X150" s="45"/>
      <x:c r="Y150" s="44"/>
      <x:c r="Z150" s="44"/>
      <x:c r="AA150" s="44"/>
      <x:c r="AB150" s="44"/>
      <x:c r="AC150" s="44"/>
      <x:c r="AD150" s="44"/>
      <x:c r="AE150" s="19" t="str">
        <x:f>IF(COUNTA(Y150:AC150)=0,"",COUNTIF(Y150:AC150,"Yes")/COUNTA(Y150:AC150))</x:f>
      </x:c>
    </x:row>
    <x:row r="151">
      <x:c r="D151" s="18"/>
      <x:c r="E151" s="18"/>
      <x:c r="N151" s="44"/>
      <x:c r="O151" s="44"/>
      <x:c r="P151" s="44"/>
      <x:c r="Q151" s="44"/>
      <x:c r="R151" s="44"/>
      <x:c r="S151" s="44"/>
      <x:c r="T151" s="44"/>
      <x:c r="U151" s="44"/>
      <x:c r="V151" s="45"/>
      <x:c r="W151" s="45"/>
      <x:c r="X151" s="45"/>
      <x:c r="Y151" s="44"/>
      <x:c r="Z151" s="44"/>
      <x:c r="AA151" s="44"/>
      <x:c r="AB151" s="44"/>
      <x:c r="AC151" s="44"/>
      <x:c r="AD151" s="44"/>
      <x:c r="AE151" s="19" t="str">
        <x:f>IF(COUNTA(Y151:AC151)=0,"",COUNTIF(Y151:AC151,"Yes")/COUNTA(Y151:AC151))</x:f>
      </x:c>
    </x:row>
    <x:row r="152">
      <x:c r="D152" s="18"/>
      <x:c r="E152" s="18"/>
      <x:c r="N152" s="44"/>
      <x:c r="O152" s="44"/>
      <x:c r="P152" s="44"/>
      <x:c r="Q152" s="44"/>
      <x:c r="R152" s="44"/>
      <x:c r="S152" s="44"/>
      <x:c r="T152" s="44"/>
      <x:c r="U152" s="44"/>
      <x:c r="V152" s="45"/>
      <x:c r="W152" s="45"/>
      <x:c r="X152" s="45"/>
      <x:c r="Y152" s="44"/>
      <x:c r="Z152" s="44"/>
      <x:c r="AA152" s="44"/>
      <x:c r="AB152" s="44"/>
      <x:c r="AC152" s="44"/>
      <x:c r="AD152" s="44"/>
      <x:c r="AE152" s="19" t="str">
        <x:f>IF(COUNTA(Y152:AC152)=0,"",COUNTIF(Y152:AC152,"Yes")/COUNTA(Y152:AC152))</x:f>
      </x:c>
    </x:row>
    <x:row r="153">
      <x:c r="D153" s="18"/>
      <x:c r="E153" s="18"/>
      <x:c r="N153" s="44"/>
      <x:c r="O153" s="44"/>
      <x:c r="P153" s="44"/>
      <x:c r="Q153" s="44"/>
      <x:c r="R153" s="44"/>
      <x:c r="S153" s="44"/>
      <x:c r="T153" s="44"/>
      <x:c r="U153" s="44"/>
      <x:c r="V153" s="45"/>
      <x:c r="W153" s="45"/>
      <x:c r="X153" s="45"/>
      <x:c r="Y153" s="44"/>
      <x:c r="Z153" s="44"/>
      <x:c r="AA153" s="44"/>
      <x:c r="AB153" s="44"/>
      <x:c r="AC153" s="44"/>
      <x:c r="AD153" s="44"/>
      <x:c r="AE153" s="19" t="str">
        <x:f>IF(COUNTA(Y153:AC153)=0,"",COUNTIF(Y153:AC153,"Yes")/COUNTA(Y153:AC153))</x:f>
      </x:c>
    </x:row>
    <x:row r="154">
      <x:c r="D154" s="18"/>
      <x:c r="E154" s="18"/>
      <x:c r="N154" s="44"/>
      <x:c r="O154" s="44"/>
      <x:c r="P154" s="44"/>
      <x:c r="Q154" s="44"/>
      <x:c r="R154" s="44"/>
      <x:c r="S154" s="44"/>
      <x:c r="T154" s="44"/>
      <x:c r="U154" s="44"/>
      <x:c r="V154" s="45"/>
      <x:c r="W154" s="45"/>
      <x:c r="X154" s="45"/>
      <x:c r="Y154" s="44"/>
      <x:c r="Z154" s="44"/>
      <x:c r="AA154" s="44"/>
      <x:c r="AB154" s="44"/>
      <x:c r="AC154" s="44"/>
      <x:c r="AD154" s="44"/>
      <x:c r="AE154" s="19" t="str">
        <x:f>IF(COUNTA(Y154:AC154)=0,"",COUNTIF(Y154:AC154,"Yes")/COUNTA(Y154:AC154))</x:f>
      </x:c>
    </x:row>
    <x:row r="155">
      <x:c r="D155" s="18"/>
      <x:c r="E155" s="18"/>
      <x:c r="N155" s="44"/>
      <x:c r="O155" s="44"/>
      <x:c r="P155" s="44"/>
      <x:c r="Q155" s="44"/>
      <x:c r="R155" s="44"/>
      <x:c r="S155" s="44"/>
      <x:c r="T155" s="44"/>
      <x:c r="U155" s="44"/>
      <x:c r="V155" s="45"/>
      <x:c r="W155" s="45"/>
      <x:c r="X155" s="45"/>
      <x:c r="Y155" s="44"/>
      <x:c r="Z155" s="44"/>
      <x:c r="AA155" s="44"/>
      <x:c r="AB155" s="44"/>
      <x:c r="AC155" s="44"/>
      <x:c r="AD155" s="44"/>
      <x:c r="AE155" s="19" t="str">
        <x:f>IF(COUNTA(Y155:AC155)=0,"",COUNTIF(Y155:AC155,"Yes")/COUNTA(Y155:AC155))</x:f>
      </x:c>
    </x:row>
    <x:row r="156">
      <x:c r="D156" s="18"/>
      <x:c r="E156" s="18"/>
      <x:c r="N156" s="44"/>
      <x:c r="O156" s="44"/>
      <x:c r="P156" s="44"/>
      <x:c r="Q156" s="44"/>
      <x:c r="R156" s="44"/>
      <x:c r="S156" s="44"/>
      <x:c r="T156" s="44"/>
      <x:c r="U156" s="44"/>
      <x:c r="V156" s="45"/>
      <x:c r="W156" s="45"/>
      <x:c r="X156" s="45"/>
      <x:c r="Y156" s="44"/>
      <x:c r="Z156" s="44"/>
      <x:c r="AA156" s="44"/>
      <x:c r="AB156" s="44"/>
      <x:c r="AC156" s="44"/>
      <x:c r="AD156" s="44"/>
      <x:c r="AE156" s="19" t="str">
        <x:f>IF(COUNTA(Y156:AC156)=0,"",COUNTIF(Y156:AC156,"Yes")/COUNTA(Y156:AC156))</x:f>
      </x:c>
    </x:row>
    <x:row r="157">
      <x:c r="D157" s="18"/>
      <x:c r="E157" s="18"/>
      <x:c r="N157" s="44"/>
      <x:c r="O157" s="44"/>
      <x:c r="P157" s="44"/>
      <x:c r="Q157" s="44"/>
      <x:c r="R157" s="44"/>
      <x:c r="S157" s="44"/>
      <x:c r="T157" s="44"/>
      <x:c r="U157" s="44"/>
      <x:c r="V157" s="45"/>
      <x:c r="W157" s="45"/>
      <x:c r="X157" s="45"/>
      <x:c r="Y157" s="44"/>
      <x:c r="Z157" s="44"/>
      <x:c r="AA157" s="44"/>
      <x:c r="AB157" s="44"/>
      <x:c r="AC157" s="44"/>
      <x:c r="AD157" s="44"/>
      <x:c r="AE157" s="19" t="str">
        <x:f>IF(COUNTA(Y157:AC157)=0,"",COUNTIF(Y157:AC157,"Yes")/COUNTA(Y157:AC157))</x:f>
      </x:c>
    </x:row>
    <x:row r="158">
      <x:c r="D158" s="18"/>
      <x:c r="E158" s="18"/>
      <x:c r="N158" s="44"/>
      <x:c r="O158" s="44"/>
      <x:c r="P158" s="44"/>
      <x:c r="Q158" s="44"/>
      <x:c r="R158" s="44"/>
      <x:c r="S158" s="44"/>
      <x:c r="T158" s="44"/>
      <x:c r="U158" s="44"/>
      <x:c r="V158" s="45"/>
      <x:c r="W158" s="45"/>
      <x:c r="X158" s="45"/>
      <x:c r="Y158" s="44"/>
      <x:c r="Z158" s="44"/>
      <x:c r="AA158" s="44"/>
      <x:c r="AB158" s="44"/>
      <x:c r="AC158" s="44"/>
      <x:c r="AD158" s="44"/>
      <x:c r="AE158" s="19" t="str">
        <x:f>IF(COUNTA(Y158:AC158)=0,"",COUNTIF(Y158:AC158,"Yes")/COUNTA(Y158:AC158))</x:f>
      </x:c>
    </x:row>
    <x:row r="159">
      <x:c r="D159" s="18"/>
      <x:c r="E159" s="18"/>
      <x:c r="N159" s="44"/>
      <x:c r="O159" s="44"/>
      <x:c r="P159" s="44"/>
      <x:c r="Q159" s="44"/>
      <x:c r="R159" s="44"/>
      <x:c r="S159" s="44"/>
      <x:c r="T159" s="44"/>
      <x:c r="U159" s="44"/>
      <x:c r="V159" s="45"/>
      <x:c r="W159" s="45"/>
      <x:c r="X159" s="45"/>
      <x:c r="Y159" s="44"/>
      <x:c r="Z159" s="44"/>
      <x:c r="AA159" s="44"/>
      <x:c r="AB159" s="44"/>
      <x:c r="AC159" s="44"/>
      <x:c r="AD159" s="44"/>
      <x:c r="AE159" s="19" t="str">
        <x:f>IF(COUNTA(Y159:AC159)=0,"",COUNTIF(Y159:AC159,"Yes")/COUNTA(Y159:AC159))</x:f>
      </x:c>
    </x:row>
    <x:row r="160">
      <x:c r="D160" s="18"/>
      <x:c r="E160" s="18"/>
      <x:c r="N160" s="44"/>
      <x:c r="O160" s="44"/>
      <x:c r="P160" s="44"/>
      <x:c r="Q160" s="44"/>
      <x:c r="R160" s="44"/>
      <x:c r="S160" s="44"/>
      <x:c r="T160" s="44"/>
      <x:c r="U160" s="44"/>
      <x:c r="V160" s="45"/>
      <x:c r="W160" s="45"/>
      <x:c r="X160" s="45"/>
      <x:c r="Y160" s="44"/>
      <x:c r="Z160" s="44"/>
      <x:c r="AA160" s="44"/>
      <x:c r="AB160" s="44"/>
      <x:c r="AC160" s="44"/>
      <x:c r="AD160" s="44"/>
      <x:c r="AE160" s="19" t="str">
        <x:f>IF(COUNTA(Y160:AC160)=0,"",COUNTIF(Y160:AC160,"Yes")/COUNTA(Y160:AC160))</x:f>
      </x:c>
    </x:row>
    <x:row r="161">
      <x:c r="D161" s="18"/>
      <x:c r="E161" s="18"/>
      <x:c r="N161" s="44"/>
      <x:c r="O161" s="44"/>
      <x:c r="P161" s="44"/>
      <x:c r="Q161" s="44"/>
      <x:c r="R161" s="44"/>
      <x:c r="S161" s="44"/>
      <x:c r="T161" s="44"/>
      <x:c r="U161" s="44"/>
      <x:c r="V161" s="45"/>
      <x:c r="W161" s="45"/>
      <x:c r="X161" s="45"/>
      <x:c r="Y161" s="44"/>
      <x:c r="Z161" s="44"/>
      <x:c r="AA161" s="44"/>
      <x:c r="AB161" s="44"/>
      <x:c r="AC161" s="44"/>
      <x:c r="AD161" s="44"/>
      <x:c r="AE161" s="19" t="str">
        <x:f>IF(COUNTA(Y161:AC161)=0,"",COUNTIF(Y161:AC161,"Yes")/COUNTA(Y161:AC161))</x:f>
      </x:c>
    </x:row>
    <x:row r="162">
      <x:c r="D162" s="18"/>
      <x:c r="E162" s="18"/>
      <x:c r="N162" s="44"/>
      <x:c r="O162" s="44"/>
      <x:c r="P162" s="44"/>
      <x:c r="Q162" s="44"/>
      <x:c r="R162" s="44"/>
      <x:c r="S162" s="44"/>
      <x:c r="T162" s="44"/>
      <x:c r="U162" s="44"/>
      <x:c r="V162" s="45"/>
      <x:c r="W162" s="45"/>
      <x:c r="X162" s="45"/>
      <x:c r="Y162" s="44"/>
      <x:c r="Z162" s="44"/>
      <x:c r="AA162" s="44"/>
      <x:c r="AB162" s="44"/>
      <x:c r="AC162" s="44"/>
      <x:c r="AD162" s="44"/>
      <x:c r="AE162" s="19" t="str">
        <x:f>IF(COUNTA(Y162:AC162)=0,"",COUNTIF(Y162:AC162,"Yes")/COUNTA(Y162:AC162))</x:f>
      </x:c>
    </x:row>
    <x:row r="163">
      <x:c r="D163" s="18"/>
      <x:c r="E163" s="18"/>
      <x:c r="N163" s="44"/>
      <x:c r="O163" s="44"/>
      <x:c r="P163" s="44"/>
      <x:c r="Q163" s="44"/>
      <x:c r="R163" s="44"/>
      <x:c r="S163" s="44"/>
      <x:c r="T163" s="44"/>
      <x:c r="U163" s="44"/>
      <x:c r="V163" s="45"/>
      <x:c r="W163" s="45"/>
      <x:c r="X163" s="45"/>
      <x:c r="Y163" s="44"/>
      <x:c r="Z163" s="44"/>
      <x:c r="AA163" s="44"/>
      <x:c r="AB163" s="44"/>
      <x:c r="AC163" s="44"/>
      <x:c r="AD163" s="44"/>
      <x:c r="AE163" s="19" t="str">
        <x:f>IF(COUNTA(Y163:AC163)=0,"",COUNTIF(Y163:AC163,"Yes")/COUNTA(Y163:AC163))</x:f>
      </x:c>
    </x:row>
    <x:row r="164">
      <x:c r="D164" s="18"/>
      <x:c r="E164" s="18"/>
      <x:c r="N164" s="44"/>
      <x:c r="O164" s="44"/>
      <x:c r="P164" s="44"/>
      <x:c r="Q164" s="44"/>
      <x:c r="R164" s="44"/>
      <x:c r="S164" s="44"/>
      <x:c r="T164" s="44"/>
      <x:c r="U164" s="44"/>
      <x:c r="V164" s="45"/>
      <x:c r="W164" s="45"/>
      <x:c r="X164" s="45"/>
      <x:c r="Y164" s="44"/>
      <x:c r="Z164" s="44"/>
      <x:c r="AA164" s="44"/>
      <x:c r="AB164" s="44"/>
      <x:c r="AC164" s="44"/>
      <x:c r="AD164" s="44"/>
      <x:c r="AE164" s="19" t="str">
        <x:f>IF(COUNTA(Y164:AC164)=0,"",COUNTIF(Y164:AC164,"Yes")/COUNTA(Y164:AC164))</x:f>
      </x:c>
    </x:row>
    <x:row r="165">
      <x:c r="D165" s="18"/>
      <x:c r="E165" s="18"/>
      <x:c r="N165" s="44"/>
      <x:c r="O165" s="44"/>
      <x:c r="P165" s="44"/>
      <x:c r="Q165" s="44"/>
      <x:c r="R165" s="44"/>
      <x:c r="S165" s="44"/>
      <x:c r="T165" s="44"/>
      <x:c r="U165" s="44"/>
      <x:c r="V165" s="45"/>
      <x:c r="W165" s="45"/>
      <x:c r="X165" s="45"/>
      <x:c r="Y165" s="44"/>
      <x:c r="Z165" s="44"/>
      <x:c r="AA165" s="44"/>
      <x:c r="AB165" s="44"/>
      <x:c r="AC165" s="44"/>
      <x:c r="AD165" s="44"/>
      <x:c r="AE165" s="19" t="str">
        <x:f>IF(COUNTA(Y165:AC165)=0,"",COUNTIF(Y165:AC165,"Yes")/COUNTA(Y165:AC165))</x:f>
      </x:c>
    </x:row>
    <x:row r="166">
      <x:c r="D166" s="18"/>
      <x:c r="E166" s="18"/>
      <x:c r="N166" s="44"/>
      <x:c r="O166" s="44"/>
      <x:c r="P166" s="44"/>
      <x:c r="Q166" s="44"/>
      <x:c r="R166" s="44"/>
      <x:c r="S166" s="44"/>
      <x:c r="T166" s="44"/>
      <x:c r="U166" s="44"/>
      <x:c r="V166" s="45"/>
      <x:c r="W166" s="45"/>
      <x:c r="X166" s="45"/>
      <x:c r="Y166" s="44"/>
      <x:c r="Z166" s="44"/>
      <x:c r="AA166" s="44"/>
      <x:c r="AB166" s="44"/>
      <x:c r="AC166" s="44"/>
      <x:c r="AD166" s="44"/>
      <x:c r="AE166" s="19" t="str">
        <x:f>IF(COUNTA(Y166:AC166)=0,"",COUNTIF(Y166:AC166,"Yes")/COUNTA(Y166:AC166))</x:f>
      </x:c>
    </x:row>
    <x:row r="167">
      <x:c r="D167" s="18"/>
      <x:c r="E167" s="18"/>
      <x:c r="N167" s="44"/>
      <x:c r="O167" s="44"/>
      <x:c r="P167" s="44"/>
      <x:c r="Q167" s="44"/>
      <x:c r="R167" s="44"/>
      <x:c r="S167" s="44"/>
      <x:c r="T167" s="44"/>
      <x:c r="U167" s="44"/>
      <x:c r="V167" s="45"/>
      <x:c r="W167" s="45"/>
      <x:c r="X167" s="45"/>
      <x:c r="Y167" s="44"/>
      <x:c r="Z167" s="44"/>
      <x:c r="AA167" s="44"/>
      <x:c r="AB167" s="44"/>
      <x:c r="AC167" s="44"/>
      <x:c r="AD167" s="44"/>
      <x:c r="AE167" s="19" t="str">
        <x:f>IF(COUNTA(Y167:AC167)=0,"",COUNTIF(Y167:AC167,"Yes")/COUNTA(Y167:AC167))</x:f>
      </x:c>
    </x:row>
    <x:row r="168">
      <x:c r="D168" s="18"/>
      <x:c r="E168" s="18"/>
      <x:c r="N168" s="44"/>
      <x:c r="O168" s="44"/>
      <x:c r="P168" s="44"/>
      <x:c r="Q168" s="44"/>
      <x:c r="R168" s="44"/>
      <x:c r="S168" s="44"/>
      <x:c r="T168" s="44"/>
      <x:c r="U168" s="44"/>
      <x:c r="V168" s="45"/>
      <x:c r="W168" s="45"/>
      <x:c r="X168" s="45"/>
      <x:c r="Y168" s="44"/>
      <x:c r="Z168" s="44"/>
      <x:c r="AA168" s="44"/>
      <x:c r="AB168" s="44"/>
      <x:c r="AC168" s="44"/>
      <x:c r="AD168" s="44"/>
      <x:c r="AE168" s="19" t="str">
        <x:f>IF(COUNTA(Y168:AC168)=0,"",COUNTIF(Y168:AC168,"Yes")/COUNTA(Y168:AC168))</x:f>
      </x:c>
    </x:row>
    <x:row r="169">
      <x:c r="D169" s="18"/>
      <x:c r="E169" s="18"/>
      <x:c r="N169" s="44"/>
      <x:c r="O169" s="44"/>
      <x:c r="P169" s="44"/>
      <x:c r="Q169" s="44"/>
      <x:c r="R169" s="44"/>
      <x:c r="S169" s="44"/>
      <x:c r="T169" s="44"/>
      <x:c r="U169" s="44"/>
      <x:c r="V169" s="45"/>
      <x:c r="W169" s="45"/>
      <x:c r="X169" s="45"/>
      <x:c r="Y169" s="44"/>
      <x:c r="Z169" s="44"/>
      <x:c r="AA169" s="44"/>
      <x:c r="AB169" s="44"/>
      <x:c r="AC169" s="44"/>
      <x:c r="AD169" s="44"/>
      <x:c r="AE169" s="19" t="str">
        <x:f>IF(COUNTA(Y169:AC169)=0,"",COUNTIF(Y169:AC169,"Yes")/COUNTA(Y169:AC169))</x:f>
      </x:c>
    </x:row>
    <x:row r="170">
      <x:c r="D170" s="18"/>
      <x:c r="E170" s="18"/>
      <x:c r="N170" s="44"/>
      <x:c r="O170" s="44"/>
      <x:c r="P170" s="44"/>
      <x:c r="Q170" s="44"/>
      <x:c r="R170" s="44"/>
      <x:c r="S170" s="44"/>
      <x:c r="T170" s="44"/>
      <x:c r="U170" s="44"/>
      <x:c r="V170" s="45"/>
      <x:c r="W170" s="45"/>
      <x:c r="X170" s="45"/>
      <x:c r="Y170" s="44"/>
      <x:c r="Z170" s="44"/>
      <x:c r="AA170" s="44"/>
      <x:c r="AB170" s="44"/>
      <x:c r="AC170" s="44"/>
      <x:c r="AD170" s="44"/>
      <x:c r="AE170" s="19" t="str">
        <x:f>IF(COUNTA(Y170:AC170)=0,"",COUNTIF(Y170:AC170,"Yes")/COUNTA(Y170:AC170))</x:f>
      </x:c>
    </x:row>
    <x:row r="171">
      <x:c r="D171" s="18"/>
      <x:c r="E171" s="18"/>
      <x:c r="N171" s="44"/>
      <x:c r="O171" s="44"/>
      <x:c r="P171" s="44"/>
      <x:c r="Q171" s="44"/>
      <x:c r="R171" s="44"/>
      <x:c r="S171" s="44"/>
      <x:c r="T171" s="44"/>
      <x:c r="U171" s="44"/>
      <x:c r="V171" s="45"/>
      <x:c r="W171" s="45"/>
      <x:c r="X171" s="45"/>
      <x:c r="Y171" s="44"/>
      <x:c r="Z171" s="44"/>
      <x:c r="AA171" s="44"/>
      <x:c r="AB171" s="44"/>
      <x:c r="AC171" s="44"/>
      <x:c r="AD171" s="44"/>
      <x:c r="AE171" s="19" t="str">
        <x:f>IF(COUNTA(Y171:AC171)=0,"",COUNTIF(Y171:AC171,"Yes")/COUNTA(Y171:AC171))</x:f>
      </x:c>
    </x:row>
    <x:row r="172">
      <x:c r="D172" s="18"/>
      <x:c r="E172" s="18"/>
      <x:c r="N172" s="44"/>
      <x:c r="O172" s="44"/>
      <x:c r="P172" s="44"/>
      <x:c r="Q172" s="44"/>
      <x:c r="R172" s="44"/>
      <x:c r="S172" s="44"/>
      <x:c r="T172" s="44"/>
      <x:c r="U172" s="44"/>
      <x:c r="V172" s="45"/>
      <x:c r="W172" s="45"/>
      <x:c r="X172" s="45"/>
      <x:c r="Y172" s="44"/>
      <x:c r="Z172" s="44"/>
      <x:c r="AA172" s="44"/>
      <x:c r="AB172" s="44"/>
      <x:c r="AC172" s="44"/>
      <x:c r="AD172" s="44"/>
      <x:c r="AE172" s="19" t="str">
        <x:f>IF(COUNTA(Y172:AC172)=0,"",COUNTIF(Y172:AC172,"Yes")/COUNTA(Y172:AC172))</x:f>
      </x:c>
    </x:row>
    <x:row r="173">
      <x:c r="D173" s="18"/>
      <x:c r="E173" s="18"/>
      <x:c r="N173" s="44"/>
      <x:c r="O173" s="44"/>
      <x:c r="P173" s="44"/>
      <x:c r="Q173" s="44"/>
      <x:c r="R173" s="44"/>
      <x:c r="S173" s="44"/>
      <x:c r="T173" s="44"/>
      <x:c r="U173" s="44"/>
      <x:c r="V173" s="45"/>
      <x:c r="W173" s="45"/>
      <x:c r="X173" s="45"/>
      <x:c r="Y173" s="44"/>
      <x:c r="Z173" s="44"/>
      <x:c r="AA173" s="44"/>
      <x:c r="AB173" s="44"/>
      <x:c r="AC173" s="44"/>
      <x:c r="AD173" s="44"/>
      <x:c r="AE173" s="19" t="str">
        <x:f>IF(COUNTA(Y173:AC173)=0,"",COUNTIF(Y173:AC173,"Yes")/COUNTA(Y173:AC173))</x:f>
      </x:c>
    </x:row>
    <x:row r="174">
      <x:c r="D174" s="18"/>
      <x:c r="E174" s="18"/>
      <x:c r="N174" s="44"/>
      <x:c r="O174" s="44"/>
      <x:c r="P174" s="44"/>
      <x:c r="Q174" s="44"/>
      <x:c r="R174" s="44"/>
      <x:c r="S174" s="44"/>
      <x:c r="T174" s="44"/>
      <x:c r="U174" s="44"/>
      <x:c r="V174" s="45"/>
      <x:c r="W174" s="45"/>
      <x:c r="X174" s="45"/>
      <x:c r="Y174" s="44"/>
      <x:c r="Z174" s="44"/>
      <x:c r="AA174" s="44"/>
      <x:c r="AB174" s="44"/>
      <x:c r="AC174" s="44"/>
      <x:c r="AD174" s="44"/>
      <x:c r="AE174" s="19" t="str">
        <x:f>IF(COUNTA(Y174:AC174)=0,"",COUNTIF(Y174:AC174,"Yes")/COUNTA(Y174:AC174))</x:f>
      </x:c>
    </x:row>
    <x:row r="175">
      <x:c r="D175" s="18"/>
      <x:c r="E175" s="18"/>
      <x:c r="N175" s="44"/>
      <x:c r="O175" s="44"/>
      <x:c r="P175" s="44"/>
      <x:c r="Q175" s="44"/>
      <x:c r="R175" s="44"/>
      <x:c r="S175" s="44"/>
      <x:c r="T175" s="44"/>
      <x:c r="U175" s="44"/>
      <x:c r="V175" s="45"/>
      <x:c r="W175" s="45"/>
      <x:c r="X175" s="45"/>
      <x:c r="Y175" s="44"/>
      <x:c r="Z175" s="44"/>
      <x:c r="AA175" s="44"/>
      <x:c r="AB175" s="44"/>
      <x:c r="AC175" s="44"/>
      <x:c r="AD175" s="44"/>
      <x:c r="AE175" s="19" t="str">
        <x:f>IF(COUNTA(Y175:AC175)=0,"",COUNTIF(Y175:AC175,"Yes")/COUNTA(Y175:AC175))</x:f>
      </x:c>
    </x:row>
    <x:row r="176">
      <x:c r="D176" s="18"/>
      <x:c r="E176" s="18"/>
      <x:c r="N176" s="44"/>
      <x:c r="O176" s="44"/>
      <x:c r="P176" s="44"/>
      <x:c r="Q176" s="44"/>
      <x:c r="R176" s="44"/>
      <x:c r="S176" s="44"/>
      <x:c r="T176" s="44"/>
      <x:c r="U176" s="44"/>
      <x:c r="V176" s="45"/>
      <x:c r="W176" s="45"/>
      <x:c r="X176" s="45"/>
      <x:c r="Y176" s="44"/>
      <x:c r="Z176" s="44"/>
      <x:c r="AA176" s="44"/>
      <x:c r="AB176" s="44"/>
      <x:c r="AC176" s="44"/>
      <x:c r="AD176" s="44"/>
      <x:c r="AE176" s="19" t="str">
        <x:f>IF(COUNTA(Y176:AC176)=0,"",COUNTIF(Y176:AC176,"Yes")/COUNTA(Y176:AC176))</x:f>
      </x:c>
    </x:row>
    <x:row r="177">
      <x:c r="D177" s="18"/>
      <x:c r="E177" s="18"/>
      <x:c r="N177" s="44"/>
      <x:c r="O177" s="44"/>
      <x:c r="P177" s="44"/>
      <x:c r="Q177" s="44"/>
      <x:c r="R177" s="44"/>
      <x:c r="S177" s="44"/>
      <x:c r="T177" s="44"/>
      <x:c r="U177" s="44"/>
      <x:c r="V177" s="45"/>
      <x:c r="W177" s="45"/>
      <x:c r="X177" s="45"/>
      <x:c r="Y177" s="44"/>
      <x:c r="Z177" s="44"/>
      <x:c r="AA177" s="44"/>
      <x:c r="AB177" s="44"/>
      <x:c r="AC177" s="44"/>
      <x:c r="AD177" s="44"/>
      <x:c r="AE177" s="19" t="str">
        <x:f>IF(COUNTA(Y177:AC177)=0,"",COUNTIF(Y177:AC177,"Yes")/COUNTA(Y177:AC177))</x:f>
      </x:c>
    </x:row>
    <x:row r="178">
      <x:c r="D178" s="18"/>
      <x:c r="E178" s="18"/>
      <x:c r="N178" s="44"/>
      <x:c r="O178" s="44"/>
      <x:c r="P178" s="44"/>
      <x:c r="Q178" s="44"/>
      <x:c r="R178" s="44"/>
      <x:c r="S178" s="44"/>
      <x:c r="T178" s="44"/>
      <x:c r="U178" s="44"/>
      <x:c r="V178" s="45"/>
      <x:c r="W178" s="45"/>
      <x:c r="X178" s="45"/>
      <x:c r="Y178" s="44"/>
      <x:c r="Z178" s="44"/>
      <x:c r="AA178" s="44"/>
      <x:c r="AB178" s="44"/>
      <x:c r="AC178" s="44"/>
      <x:c r="AD178" s="44"/>
      <x:c r="AE178" s="19" t="str">
        <x:f>IF(COUNTA(Y178:AC178)=0,"",COUNTIF(Y178:AC178,"Yes")/COUNTA(Y178:AC178))</x:f>
      </x:c>
    </x:row>
    <x:row r="179">
      <x:c r="D179" s="18"/>
      <x:c r="E179" s="18"/>
      <x:c r="N179" s="44"/>
      <x:c r="O179" s="44"/>
      <x:c r="P179" s="44"/>
      <x:c r="Q179" s="44"/>
      <x:c r="R179" s="44"/>
      <x:c r="S179" s="44"/>
      <x:c r="T179" s="44"/>
      <x:c r="U179" s="44"/>
      <x:c r="V179" s="45"/>
      <x:c r="W179" s="45"/>
      <x:c r="X179" s="45"/>
      <x:c r="Y179" s="44"/>
      <x:c r="Z179" s="44"/>
      <x:c r="AA179" s="44"/>
      <x:c r="AB179" s="44"/>
      <x:c r="AC179" s="44"/>
      <x:c r="AD179" s="44"/>
      <x:c r="AE179" s="19" t="str">
        <x:f>IF(COUNTA(Y179:AC179)=0,"",COUNTIF(Y179:AC179,"Yes")/COUNTA(Y179:AC179))</x:f>
      </x:c>
    </x:row>
    <x:row r="180">
      <x:c r="D180" s="18"/>
      <x:c r="E180" s="18"/>
      <x:c r="N180" s="44"/>
      <x:c r="O180" s="44"/>
      <x:c r="P180" s="44"/>
      <x:c r="Q180" s="44"/>
      <x:c r="R180" s="44"/>
      <x:c r="S180" s="44"/>
      <x:c r="T180" s="44"/>
      <x:c r="U180" s="44"/>
      <x:c r="V180" s="45"/>
      <x:c r="W180" s="45"/>
      <x:c r="X180" s="45"/>
      <x:c r="Y180" s="44"/>
      <x:c r="Z180" s="44"/>
      <x:c r="AA180" s="44"/>
      <x:c r="AB180" s="44"/>
      <x:c r="AC180" s="44"/>
      <x:c r="AD180" s="44"/>
      <x:c r="AE180" s="19" t="str">
        <x:f>IF(COUNTA(Y180:AC180)=0,"",COUNTIF(Y180:AC180,"Yes")/COUNTA(Y180:AC180))</x:f>
      </x:c>
    </x:row>
    <x:row r="181">
      <x:c r="D181" s="18"/>
      <x:c r="E181" s="18"/>
      <x:c r="N181" s="44"/>
      <x:c r="O181" s="44"/>
      <x:c r="P181" s="44"/>
      <x:c r="Q181" s="44"/>
      <x:c r="R181" s="44"/>
      <x:c r="S181" s="44"/>
      <x:c r="T181" s="44"/>
      <x:c r="U181" s="44"/>
      <x:c r="V181" s="45"/>
      <x:c r="W181" s="45"/>
      <x:c r="X181" s="45"/>
      <x:c r="Y181" s="44"/>
      <x:c r="Z181" s="44"/>
      <x:c r="AA181" s="44"/>
      <x:c r="AB181" s="44"/>
      <x:c r="AC181" s="44"/>
      <x:c r="AD181" s="44"/>
      <x:c r="AE181" s="19" t="str">
        <x:f>IF(COUNTA(Y181:AC181)=0,"",COUNTIF(Y181:AC181,"Yes")/COUNTA(Y181:AC181))</x:f>
      </x:c>
    </x:row>
    <x:row r="182">
      <x:c r="D182" s="18"/>
      <x:c r="E182" s="18"/>
      <x:c r="N182" s="44"/>
      <x:c r="O182" s="44"/>
      <x:c r="P182" s="44"/>
      <x:c r="Q182" s="44"/>
      <x:c r="R182" s="44"/>
      <x:c r="S182" s="44"/>
      <x:c r="T182" s="44"/>
      <x:c r="U182" s="44"/>
      <x:c r="V182" s="45"/>
      <x:c r="W182" s="45"/>
      <x:c r="X182" s="45"/>
      <x:c r="Y182" s="44"/>
      <x:c r="Z182" s="44"/>
      <x:c r="AA182" s="44"/>
      <x:c r="AB182" s="44"/>
      <x:c r="AC182" s="44"/>
      <x:c r="AD182" s="44"/>
      <x:c r="AE182" s="19" t="str">
        <x:f>IF(COUNTA(Y182:AC182)=0,"",COUNTIF(Y182:AC182,"Yes")/COUNTA(Y182:AC182))</x:f>
      </x:c>
    </x:row>
    <x:row r="183">
      <x:c r="D183" s="18"/>
      <x:c r="E183" s="18"/>
      <x:c r="N183" s="44"/>
      <x:c r="O183" s="44"/>
      <x:c r="P183" s="44"/>
      <x:c r="Q183" s="44"/>
      <x:c r="R183" s="44"/>
      <x:c r="S183" s="44"/>
      <x:c r="T183" s="44"/>
      <x:c r="U183" s="44"/>
      <x:c r="V183" s="45"/>
      <x:c r="W183" s="45"/>
      <x:c r="X183" s="45"/>
      <x:c r="Y183" s="44"/>
      <x:c r="Z183" s="44"/>
      <x:c r="AA183" s="44"/>
      <x:c r="AB183" s="44"/>
      <x:c r="AC183" s="44"/>
      <x:c r="AD183" s="44"/>
      <x:c r="AE183" s="19" t="str">
        <x:f>IF(COUNTA(Y183:AC183)=0,"",COUNTIF(Y183:AC183,"Yes")/COUNTA(Y183:AC183))</x:f>
      </x:c>
    </x:row>
    <x:row r="184">
      <x:c r="D184" s="18"/>
      <x:c r="E184" s="18"/>
      <x:c r="N184" s="44"/>
      <x:c r="O184" s="44"/>
      <x:c r="P184" s="44"/>
      <x:c r="Q184" s="44"/>
      <x:c r="R184" s="44"/>
      <x:c r="S184" s="44"/>
      <x:c r="T184" s="44"/>
      <x:c r="U184" s="44"/>
      <x:c r="V184" s="45"/>
      <x:c r="W184" s="45"/>
      <x:c r="X184" s="45"/>
      <x:c r="Y184" s="44"/>
      <x:c r="Z184" s="44"/>
      <x:c r="AA184" s="44"/>
      <x:c r="AB184" s="44"/>
      <x:c r="AC184" s="44"/>
      <x:c r="AD184" s="44"/>
      <x:c r="AE184" s="19" t="str">
        <x:f>IF(COUNTA(Y184:AC184)=0,"",COUNTIF(Y184:AC184,"Yes")/COUNTA(Y184:AC184))</x:f>
      </x:c>
    </x:row>
    <x:row r="185">
      <x:c r="D185" s="18"/>
      <x:c r="E185" s="18"/>
      <x:c r="N185" s="44"/>
      <x:c r="O185" s="44"/>
      <x:c r="P185" s="44"/>
      <x:c r="Q185" s="44"/>
      <x:c r="R185" s="44"/>
      <x:c r="S185" s="44"/>
      <x:c r="T185" s="44"/>
      <x:c r="U185" s="44"/>
      <x:c r="V185" s="45"/>
      <x:c r="W185" s="45"/>
      <x:c r="X185" s="45"/>
      <x:c r="Y185" s="44"/>
      <x:c r="Z185" s="44"/>
      <x:c r="AA185" s="44"/>
      <x:c r="AB185" s="44"/>
      <x:c r="AC185" s="44"/>
      <x:c r="AD185" s="44"/>
      <x:c r="AE185" s="19" t="str">
        <x:f>IF(COUNTA(Y185:AC185)=0,"",COUNTIF(Y185:AC185,"Yes")/COUNTA(Y185:AC185))</x:f>
      </x:c>
    </x:row>
    <x:row r="186">
      <x:c r="D186" s="18"/>
      <x:c r="E186" s="18"/>
      <x:c r="N186" s="44"/>
      <x:c r="O186" s="44"/>
      <x:c r="P186" s="44"/>
      <x:c r="Q186" s="44"/>
      <x:c r="R186" s="44"/>
      <x:c r="S186" s="44"/>
      <x:c r="T186" s="44"/>
      <x:c r="U186" s="44"/>
      <x:c r="V186" s="45"/>
      <x:c r="W186" s="45"/>
      <x:c r="X186" s="45"/>
      <x:c r="Y186" s="44"/>
      <x:c r="Z186" s="44"/>
      <x:c r="AA186" s="44"/>
      <x:c r="AB186" s="44"/>
      <x:c r="AC186" s="44"/>
      <x:c r="AD186" s="44"/>
      <x:c r="AE186" s="19" t="str">
        <x:f>IF(COUNTA(Y186:AC186)=0,"",COUNTIF(Y186:AC186,"Yes")/COUNTA(Y186:AC186))</x:f>
      </x:c>
    </x:row>
    <x:row r="187">
      <x:c r="D187" s="18"/>
      <x:c r="E187" s="18"/>
      <x:c r="N187" s="44"/>
      <x:c r="O187" s="44"/>
      <x:c r="P187" s="44"/>
      <x:c r="Q187" s="44"/>
      <x:c r="R187" s="44"/>
      <x:c r="S187" s="44"/>
      <x:c r="T187" s="44"/>
      <x:c r="U187" s="44"/>
      <x:c r="V187" s="45"/>
      <x:c r="W187" s="45"/>
      <x:c r="X187" s="45"/>
      <x:c r="Y187" s="44"/>
      <x:c r="Z187" s="44"/>
      <x:c r="AA187" s="44"/>
      <x:c r="AB187" s="44"/>
      <x:c r="AC187" s="44"/>
      <x:c r="AD187" s="44"/>
      <x:c r="AE187" s="19" t="str">
        <x:f>IF(COUNTA(Y187:AC187)=0,"",COUNTIF(Y187:AC187,"Yes")/COUNTA(Y187:AC187))</x:f>
      </x:c>
    </x:row>
    <x:row r="188">
      <x:c r="D188" s="18"/>
      <x:c r="E188" s="18"/>
      <x:c r="N188" s="44"/>
      <x:c r="O188" s="44"/>
      <x:c r="P188" s="44"/>
      <x:c r="Q188" s="44"/>
      <x:c r="R188" s="44"/>
      <x:c r="S188" s="44"/>
      <x:c r="T188" s="44"/>
      <x:c r="U188" s="44"/>
      <x:c r="V188" s="45"/>
      <x:c r="W188" s="45"/>
      <x:c r="X188" s="45"/>
      <x:c r="Y188" s="44"/>
      <x:c r="Z188" s="44"/>
      <x:c r="AA188" s="44"/>
      <x:c r="AB188" s="44"/>
      <x:c r="AC188" s="44"/>
      <x:c r="AD188" s="44"/>
      <x:c r="AE188" s="19" t="str">
        <x:f>IF(COUNTA(Y188:AC188)=0,"",COUNTIF(Y188:AC188,"Yes")/COUNTA(Y188:AC188))</x:f>
      </x:c>
    </x:row>
    <x:row r="189">
      <x:c r="D189" s="18"/>
      <x:c r="E189" s="18"/>
      <x:c r="N189" s="44"/>
      <x:c r="O189" s="44"/>
      <x:c r="P189" s="44"/>
      <x:c r="Q189" s="44"/>
      <x:c r="R189" s="44"/>
      <x:c r="S189" s="44"/>
      <x:c r="T189" s="44"/>
      <x:c r="U189" s="44"/>
      <x:c r="V189" s="45"/>
      <x:c r="W189" s="45"/>
      <x:c r="X189" s="45"/>
      <x:c r="Y189" s="44"/>
      <x:c r="Z189" s="44"/>
      <x:c r="AA189" s="44"/>
      <x:c r="AB189" s="44"/>
      <x:c r="AC189" s="44"/>
      <x:c r="AD189" s="44"/>
      <x:c r="AE189" s="19" t="str">
        <x:f>IF(COUNTA(Y189:AC189)=0,"",COUNTIF(Y189:AC189,"Yes")/COUNTA(Y189:AC189))</x:f>
      </x:c>
    </x:row>
    <x:row r="190">
      <x:c r="D190" s="18"/>
      <x:c r="E190" s="18"/>
      <x:c r="N190" s="44"/>
      <x:c r="O190" s="44"/>
      <x:c r="P190" s="44"/>
      <x:c r="Q190" s="44"/>
      <x:c r="R190" s="44"/>
      <x:c r="S190" s="44"/>
      <x:c r="T190" s="44"/>
      <x:c r="U190" s="44"/>
      <x:c r="V190" s="45"/>
      <x:c r="W190" s="45"/>
      <x:c r="X190" s="45"/>
      <x:c r="Y190" s="44"/>
      <x:c r="Z190" s="44"/>
      <x:c r="AA190" s="44"/>
      <x:c r="AB190" s="44"/>
      <x:c r="AC190" s="44"/>
      <x:c r="AD190" s="44"/>
      <x:c r="AE190" s="19" t="str">
        <x:f>IF(COUNTA(Y190:AC190)=0,"",COUNTIF(Y190:AC190,"Yes")/COUNTA(Y190:AC190))</x:f>
      </x:c>
    </x:row>
    <x:row r="191">
      <x:c r="D191" s="18"/>
      <x:c r="E191" s="18"/>
      <x:c r="N191" s="44"/>
      <x:c r="O191" s="44"/>
      <x:c r="P191" s="44"/>
      <x:c r="Q191" s="44"/>
      <x:c r="R191" s="44"/>
      <x:c r="S191" s="44"/>
      <x:c r="T191" s="44"/>
      <x:c r="U191" s="44"/>
      <x:c r="V191" s="45"/>
      <x:c r="W191" s="45"/>
      <x:c r="X191" s="45"/>
      <x:c r="Y191" s="44"/>
      <x:c r="Z191" s="44"/>
      <x:c r="AA191" s="44"/>
      <x:c r="AB191" s="44"/>
      <x:c r="AC191" s="44"/>
      <x:c r="AD191" s="44"/>
      <x:c r="AE191" s="19" t="str">
        <x:f>IF(COUNTA(Y191:AC191)=0,"",COUNTIF(Y191:AC191,"Yes")/COUNTA(Y191:AC191))</x:f>
      </x:c>
    </x:row>
    <x:row r="192">
      <x:c r="D192" s="18"/>
      <x:c r="E192" s="18"/>
      <x:c r="N192" s="44"/>
      <x:c r="O192" s="44"/>
      <x:c r="P192" s="44"/>
      <x:c r="Q192" s="44"/>
      <x:c r="R192" s="44"/>
      <x:c r="S192" s="44"/>
      <x:c r="T192" s="44"/>
      <x:c r="U192" s="44"/>
      <x:c r="V192" s="45"/>
      <x:c r="W192" s="45"/>
      <x:c r="X192" s="45"/>
      <x:c r="Y192" s="44"/>
      <x:c r="Z192" s="44"/>
      <x:c r="AA192" s="44"/>
      <x:c r="AB192" s="44"/>
      <x:c r="AC192" s="44"/>
      <x:c r="AD192" s="44"/>
      <x:c r="AE192" s="19" t="str">
        <x:f>IF(COUNTA(Y192:AC192)=0,"",COUNTIF(Y192:AC192,"Yes")/COUNTA(Y192:AC192))</x:f>
      </x:c>
    </x:row>
    <x:row r="193">
      <x:c r="D193" s="18"/>
      <x:c r="E193" s="18"/>
      <x:c r="N193" s="44"/>
      <x:c r="O193" s="44"/>
      <x:c r="P193" s="44"/>
      <x:c r="Q193" s="44"/>
      <x:c r="R193" s="44"/>
      <x:c r="S193" s="44"/>
      <x:c r="T193" s="44"/>
      <x:c r="U193" s="44"/>
      <x:c r="V193" s="45"/>
      <x:c r="W193" s="45"/>
      <x:c r="X193" s="45"/>
      <x:c r="Y193" s="44"/>
      <x:c r="Z193" s="44"/>
      <x:c r="AA193" s="44"/>
      <x:c r="AB193" s="44"/>
      <x:c r="AC193" s="44"/>
      <x:c r="AD193" s="44"/>
      <x:c r="AE193" s="19" t="str">
        <x:f>IF(COUNTA(Y193:AC193)=0,"",COUNTIF(Y193:AC193,"Yes")/COUNTA(Y193:AC193))</x:f>
      </x:c>
    </x:row>
    <x:row r="194">
      <x:c r="D194" s="18"/>
      <x:c r="E194" s="18"/>
      <x:c r="N194" s="44"/>
      <x:c r="O194" s="44"/>
      <x:c r="P194" s="44"/>
      <x:c r="Q194" s="44"/>
      <x:c r="R194" s="44"/>
      <x:c r="S194" s="44"/>
      <x:c r="T194" s="44"/>
      <x:c r="U194" s="44"/>
      <x:c r="V194" s="45"/>
      <x:c r="W194" s="45"/>
      <x:c r="X194" s="45"/>
      <x:c r="Y194" s="44"/>
      <x:c r="Z194" s="44"/>
      <x:c r="AA194" s="44"/>
      <x:c r="AB194" s="44"/>
      <x:c r="AC194" s="44"/>
      <x:c r="AD194" s="44"/>
      <x:c r="AE194" s="19" t="str">
        <x:f>IF(COUNTA(Y194:AC194)=0,"",COUNTIF(Y194:AC194,"Yes")/COUNTA(Y194:AC194))</x:f>
      </x:c>
    </x:row>
    <x:row r="195">
      <x:c r="D195" s="18"/>
      <x:c r="E195" s="18"/>
      <x:c r="N195" s="44"/>
      <x:c r="O195" s="44"/>
      <x:c r="P195" s="44"/>
      <x:c r="Q195" s="44"/>
      <x:c r="R195" s="44"/>
      <x:c r="S195" s="44"/>
      <x:c r="T195" s="44"/>
      <x:c r="U195" s="44"/>
      <x:c r="V195" s="45"/>
      <x:c r="W195" s="45"/>
      <x:c r="X195" s="45"/>
      <x:c r="Y195" s="44"/>
      <x:c r="Z195" s="44"/>
      <x:c r="AA195" s="44"/>
      <x:c r="AB195" s="44"/>
      <x:c r="AC195" s="44"/>
      <x:c r="AD195" s="44"/>
      <x:c r="AE195" s="19" t="str">
        <x:f>IF(COUNTA(Y195:AC195)=0,"",COUNTIF(Y195:AC195,"Yes")/COUNTA(Y195:AC195))</x:f>
      </x:c>
    </x:row>
    <x:row r="196">
      <x:c r="D196" s="18"/>
      <x:c r="E196" s="18"/>
      <x:c r="N196" s="44"/>
      <x:c r="O196" s="44"/>
      <x:c r="P196" s="44"/>
      <x:c r="Q196" s="44"/>
      <x:c r="R196" s="44"/>
      <x:c r="S196" s="44"/>
      <x:c r="T196" s="44"/>
      <x:c r="U196" s="44"/>
      <x:c r="V196" s="45"/>
      <x:c r="W196" s="45"/>
      <x:c r="X196" s="45"/>
      <x:c r="Y196" s="44"/>
      <x:c r="Z196" s="44"/>
      <x:c r="AA196" s="44"/>
      <x:c r="AB196" s="44"/>
      <x:c r="AC196" s="44"/>
      <x:c r="AD196" s="44"/>
      <x:c r="AE196" s="19" t="str">
        <x:f>IF(COUNTA(Y196:AC196)=0,"",COUNTIF(Y196:AC196,"Yes")/COUNTA(Y196:AC196))</x:f>
      </x:c>
    </x:row>
    <x:row r="197">
      <x:c r="D197" s="18"/>
      <x:c r="E197" s="18"/>
      <x:c r="N197" s="44"/>
      <x:c r="O197" s="44"/>
      <x:c r="P197" s="44"/>
      <x:c r="Q197" s="44"/>
      <x:c r="R197" s="44"/>
      <x:c r="S197" s="44"/>
      <x:c r="T197" s="44"/>
      <x:c r="U197" s="44"/>
      <x:c r="V197" s="45"/>
      <x:c r="W197" s="45"/>
      <x:c r="X197" s="45"/>
      <x:c r="Y197" s="44"/>
      <x:c r="Z197" s="44"/>
      <x:c r="AA197" s="44"/>
      <x:c r="AB197" s="44"/>
      <x:c r="AC197" s="44"/>
      <x:c r="AD197" s="44"/>
      <x:c r="AE197" s="19" t="str">
        <x:f>IF(COUNTA(Y197:AC197)=0,"",COUNTIF(Y197:AC197,"Yes")/COUNTA(Y197:AC197))</x:f>
      </x:c>
    </x:row>
    <x:row r="198">
      <x:c r="D198" s="18"/>
      <x:c r="E198" s="18"/>
      <x:c r="N198" s="44"/>
      <x:c r="O198" s="44"/>
      <x:c r="P198" s="44"/>
      <x:c r="Q198" s="44"/>
      <x:c r="R198" s="44"/>
      <x:c r="S198" s="44"/>
      <x:c r="T198" s="44"/>
      <x:c r="U198" s="44"/>
      <x:c r="V198" s="45"/>
      <x:c r="W198" s="45"/>
      <x:c r="X198" s="45"/>
      <x:c r="Y198" s="44"/>
      <x:c r="Z198" s="44"/>
      <x:c r="AA198" s="44"/>
      <x:c r="AB198" s="44"/>
      <x:c r="AC198" s="44"/>
      <x:c r="AD198" s="44"/>
      <x:c r="AE198" s="19" t="str">
        <x:f>IF(COUNTA(Y198:AC198)=0,"",COUNTIF(Y198:AC198,"Yes")/COUNTA(Y198:AC198))</x:f>
      </x:c>
    </x:row>
    <x:row r="199">
      <x:c r="D199" s="18"/>
      <x:c r="E199" s="18"/>
      <x:c r="N199" s="44"/>
      <x:c r="O199" s="44"/>
      <x:c r="P199" s="44"/>
      <x:c r="Q199" s="44"/>
      <x:c r="R199" s="44"/>
      <x:c r="S199" s="44"/>
      <x:c r="T199" s="44"/>
      <x:c r="U199" s="44"/>
      <x:c r="V199" s="45"/>
      <x:c r="W199" s="45"/>
      <x:c r="X199" s="45"/>
      <x:c r="Y199" s="44"/>
      <x:c r="Z199" s="44"/>
      <x:c r="AA199" s="44"/>
      <x:c r="AB199" s="44"/>
      <x:c r="AC199" s="44"/>
      <x:c r="AD199" s="44"/>
      <x:c r="AE199" s="19" t="str">
        <x:f>IF(COUNTA(Y199:AC199)=0,"",COUNTIF(Y199:AC199,"Yes")/COUNTA(Y199:AC199))</x:f>
      </x:c>
    </x:row>
    <x:row r="200">
      <x:c r="D200" s="18"/>
      <x:c r="E200" s="18"/>
      <x:c r="N200" s="44"/>
      <x:c r="O200" s="44"/>
      <x:c r="P200" s="44"/>
      <x:c r="Q200" s="44"/>
      <x:c r="R200" s="44"/>
      <x:c r="S200" s="44"/>
      <x:c r="T200" s="44"/>
      <x:c r="U200" s="44"/>
      <x:c r="V200" s="45"/>
      <x:c r="W200" s="45"/>
      <x:c r="X200" s="45"/>
      <x:c r="Y200" s="44"/>
      <x:c r="Z200" s="44"/>
      <x:c r="AA200" s="44"/>
      <x:c r="AB200" s="44"/>
      <x:c r="AC200" s="44"/>
      <x:c r="AD200" s="44"/>
      <x:c r="AE200" s="19" t="str">
        <x:f>IF(COUNTA(Y200:AC200)=0,"",COUNTIF(Y200:AC200,"Yes")/COUNTA(Y200:AC200))</x:f>
      </x:c>
    </x:row>
    <x:row r="201">
      <x:c r="D201" s="18"/>
      <x:c r="E201" s="18"/>
      <x:c r="N201" s="44"/>
      <x:c r="O201" s="44"/>
      <x:c r="P201" s="44"/>
      <x:c r="Q201" s="44"/>
      <x:c r="R201" s="44"/>
      <x:c r="S201" s="44"/>
      <x:c r="T201" s="44"/>
      <x:c r="U201" s="44"/>
      <x:c r="V201" s="45"/>
      <x:c r="W201" s="45"/>
      <x:c r="X201" s="45"/>
      <x:c r="Y201" s="44"/>
      <x:c r="Z201" s="44"/>
      <x:c r="AA201" s="44"/>
      <x:c r="AB201" s="44"/>
      <x:c r="AC201" s="44"/>
      <x:c r="AD201" s="44"/>
      <x:c r="AE201" s="19" t="str">
        <x:f>IF(COUNTA(Y201:AC201)=0,"",COUNTIF(Y201:AC201,"Yes")/COUNTA(Y201:AC201))</x:f>
      </x:c>
    </x:row>
    <x:row r="202">
      <x:c r="D202" s="18"/>
      <x:c r="E202" s="18"/>
      <x:c r="N202" s="44"/>
      <x:c r="O202" s="44"/>
      <x:c r="P202" s="44"/>
      <x:c r="Q202" s="44"/>
      <x:c r="R202" s="44"/>
      <x:c r="S202" s="44"/>
      <x:c r="T202" s="44"/>
      <x:c r="U202" s="44"/>
      <x:c r="V202" s="45"/>
      <x:c r="W202" s="45"/>
      <x:c r="X202" s="45"/>
      <x:c r="Y202" s="44"/>
      <x:c r="Z202" s="44"/>
      <x:c r="AA202" s="44"/>
      <x:c r="AB202" s="44"/>
      <x:c r="AC202" s="44"/>
      <x:c r="AD202" s="44"/>
      <x:c r="AE202" s="19" t="str">
        <x:f>IF(COUNTA(Y202:AC202)=0,"",COUNTIF(Y202:AC202,"Yes")/COUNTA(Y202:AC202))</x:f>
      </x:c>
    </x:row>
    <x:row r="203">
      <x:c r="D203" s="18"/>
      <x:c r="E203" s="18"/>
      <x:c r="N203" s="44"/>
      <x:c r="O203" s="44"/>
      <x:c r="P203" s="44"/>
      <x:c r="Q203" s="44"/>
      <x:c r="R203" s="44"/>
      <x:c r="S203" s="44"/>
      <x:c r="T203" s="44"/>
      <x:c r="U203" s="44"/>
      <x:c r="V203" s="45"/>
      <x:c r="W203" s="45"/>
      <x:c r="X203" s="45"/>
      <x:c r="Y203" s="44"/>
      <x:c r="Z203" s="44"/>
      <x:c r="AA203" s="44"/>
      <x:c r="AB203" s="44"/>
      <x:c r="AC203" s="44"/>
      <x:c r="AD203" s="44"/>
      <x:c r="AE203" s="19" t="str">
        <x:f>IF(COUNTA(Y203:AC203)=0,"",COUNTIF(Y203:AC203,"Yes")/COUNTA(Y203:AC203))</x:f>
      </x:c>
    </x:row>
    <x:row r="204">
      <x:c r="D204" s="18"/>
      <x:c r="E204" s="18"/>
      <x:c r="N204" s="44"/>
      <x:c r="O204" s="44"/>
      <x:c r="P204" s="44"/>
      <x:c r="Q204" s="44"/>
      <x:c r="R204" s="44"/>
      <x:c r="S204" s="44"/>
      <x:c r="T204" s="44"/>
      <x:c r="U204" s="44"/>
      <x:c r="V204" s="45"/>
      <x:c r="W204" s="45"/>
      <x:c r="X204" s="45"/>
      <x:c r="Y204" s="44"/>
      <x:c r="Z204" s="44"/>
      <x:c r="AA204" s="44"/>
      <x:c r="AB204" s="44"/>
      <x:c r="AC204" s="44"/>
      <x:c r="AD204" s="44"/>
      <x:c r="AE204" s="19" t="str">
        <x:f>IF(COUNTA(Y204:AC204)=0,"",COUNTIF(Y204:AC204,"Yes")/COUNTA(Y204:AC204))</x:f>
      </x:c>
    </x:row>
    <x:row r="205">
      <x:c r="D205" s="18"/>
      <x:c r="E205" s="18"/>
      <x:c r="N205" s="44"/>
      <x:c r="O205" s="44"/>
      <x:c r="P205" s="44"/>
      <x:c r="Q205" s="44"/>
      <x:c r="R205" s="44"/>
      <x:c r="S205" s="44"/>
      <x:c r="T205" s="44"/>
      <x:c r="U205" s="44"/>
      <x:c r="V205" s="45"/>
      <x:c r="W205" s="45"/>
      <x:c r="X205" s="45"/>
      <x:c r="Y205" s="44"/>
      <x:c r="Z205" s="44"/>
      <x:c r="AA205" s="44"/>
      <x:c r="AB205" s="44"/>
      <x:c r="AC205" s="44"/>
      <x:c r="AD205" s="44"/>
      <x:c r="AE205" s="19" t="str">
        <x:f>IF(COUNTA(Y205:AC205)=0,"",COUNTIF(Y205:AC205,"Yes")/COUNTA(Y205:AC205))</x:f>
      </x:c>
    </x:row>
  </x:sheetData>
  <x:mergeCells>
    <x:mergeCell ref="A2:AE2"/>
  </x:mergeCells>
  <x:conditionalFormatting sqref="M6:M205">
    <x:cfRule type="containsText" dxfId="0" priority="1" operator="containsText" text="WAIT"/>
    <x:cfRule type="containsText" dxfId="1" priority="2" operator="containsText" text="ACCEPTABLE"/>
    <x:cfRule type="containsText" dxfId="2" priority="3" operator="containsText" text="PREFERRED"/>
  </x:conditionalFormatting>
  <x:conditionalFormatting sqref="F6:F205">
    <x:cfRule type="containsText" dxfId="3" priority="4" operator="containsText" text="Invalidated"/>
  </x:conditionalFormatting>
  <x:pageMargins left="0.7" right="0.7" top="0.75" bottom="0.75" header="0.3" footer="0.3"/>
  <x:tableParts count="1">
    <x:tablePart xmlns:r="http://schemas.openxmlformats.org/officeDocument/2006/relationships" r:id="Ra54f85e8df1749ee"/>
  </x:tableParts>
</x:worksheet>
</file>

<file path=xl/worksheets/sheet3.xml><?xml version="1.0" encoding="utf-8"?>
<x:worksheet xmlns:x="http://schemas.openxmlformats.org/spreadsheetml/2006/main">
  <x:sheetPr>
    <x:tabColor rgb="FF27C2D1"/>
  </x:sheetPr>
  <x:sheetViews>
    <x:sheetView showGridLines="0" workbookViewId="0">
      <x:pane ySplit="5" topLeftCell="A6" activePane="bottomLeft" state="frozen"/>
    </x:sheetView>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30" hidden="0" customWidth="1"/>
    <x:col min="8" max="8" width="30" hidden="0" customWidth="1"/>
    <x:col min="9" max="9" width="16" hidden="0" customWidth="1"/>
    <x:col min="10" max="10" width="16" hidden="0" customWidth="1"/>
    <x:col min="11" max="11" width="30" hidden="0" customWidth="1"/>
  </x:cols>
  <x:sheetData>
    <x:row r="1">
      <x:c r="A1" s="1"/>
      <x:c r="B1" s="1"/>
      <x:c r="C1" s="1"/>
      <x:c r="D1" s="1"/>
      <x:c r="E1" s="1"/>
      <x:c r="F1" s="1"/>
      <x:c r="G1" s="1"/>
      <x:c r="H1" s="1"/>
      <x:c r="I1" s="1"/>
      <x:c r="J1" s="1"/>
      <x:c r="K1" s="1"/>
    </x:row>
    <x:row r="2">
      <x:c r="A2" s="2" t="str">
        <x:v>Evidence Log</x:v>
      </x:c>
      <x:c r="B2" s="1"/>
      <x:c r="C2" s="1"/>
      <x:c r="D2" s="1"/>
      <x:c r="E2" s="1"/>
      <x:c r="F2" s="1"/>
      <x:c r="G2" s="1"/>
      <x:c r="H2" s="1"/>
      <x:c r="I2" s="1"/>
      <x:c r="J2" s="1"/>
      <x:c r="K2" s="1"/>
    </x:row>
    <x:row r="3">
      <x:c r="A3" s="3"/>
      <x:c r="B3" s="3"/>
      <x:c r="C3" s="3"/>
      <x:c r="D3" s="3"/>
      <x:c r="E3" s="3"/>
      <x:c r="F3" s="3"/>
      <x:c r="G3" s="3"/>
      <x:c r="H3" s="3"/>
      <x:c r="I3" s="3"/>
      <x:c r="J3" s="3"/>
      <x:c r="K3" s="3"/>
    </x:row>
    <x:row r="4">
      <x:c r="A4" s="1"/>
      <x:c r="B4" s="1"/>
      <x:c r="C4" s="1"/>
      <x:c r="D4" s="1"/>
      <x:c r="E4" s="1"/>
      <x:c r="F4" s="1"/>
      <x:c r="G4" s="1"/>
      <x:c r="H4" s="1"/>
      <x:c r="I4" s="1"/>
      <x:c r="J4" s="1"/>
      <x:c r="K4" s="1"/>
    </x:row>
    <x:row r="5">
      <x:c r="A5" s="24" t="str">
        <x:v>Observation ID</x:v>
      </x:c>
      <x:c r="B5" s="25" t="str">
        <x:v>Thesis ID</x:v>
      </x:c>
      <x:c r="C5" s="25" t="str">
        <x:v>Observed At</x:v>
      </x:c>
      <x:c r="D5" s="25" t="str">
        <x:v>Evidence Type</x:v>
      </x:c>
      <x:c r="E5" s="25" t="str">
        <x:v>Source</x:v>
      </x:c>
      <x:c r="F5" s="25" t="str">
        <x:v>Source Class</x:v>
      </x:c>
      <x:c r="G5" s="25" t="str">
        <x:v>URL</x:v>
      </x:c>
      <x:c r="H5" s="25" t="str">
        <x:v>Factual Claim</x:v>
      </x:c>
      <x:c r="I5" s="25" t="str">
        <x:v>Effect</x:v>
      </x:c>
      <x:c r="J5" s="25" t="str">
        <x:v>Reliability 1 to 5</x:v>
      </x:c>
      <x:c r="K5" s="26" t="str">
        <x:v>Notes</x:v>
      </x:c>
    </x:row>
    <x:row r="6">
      <x:c r="A6" s="27" t="str">
        <x:v>EV-2026-001</x:v>
      </x:c>
      <x:c r="B6" s="27" t="str">
        <x:v>EEI-2026-001</x:v>
      </x:c>
      <x:c r="C6" s="28" t="n">
        <x:v>46276.51043981482</x:v>
      </x:c>
      <x:c r="D6" s="27" t="str">
        <x:v>Supporting</x:v>
      </x:c>
      <x:c r="E6" s="27" t="str">
        <x:v>Associated Press</x:v>
      </x:c>
      <x:c r="F6" s="27" t="str">
        <x:v>High quality reporting</x:v>
      </x:c>
      <x:c r="G6" s="29" t="str">
        <x:v>https://apnews.com/article/yemen-houthis-iran-mokha-mandeb-shipping-saudi-025d052a14d9481258d51009a76d0bd6</x:v>
      </x:c>
      <x:c r="H6" s="29" t="str">
        <x:v>Houthi forces captured Mayun Island in the Bab el-Mandeb Strait, threatening a major alternative route for Saudi crude exports.</x:v>
      </x:c>
      <x:c r="I6" s="29" t="str">
        <x:v>Strengthens</x:v>
      </x:c>
      <x:c r="J6" s="29" t="n">
        <x:v>4</x:v>
      </x:c>
      <x:c r="K6" s="29" t="str">
        <x:v>Two opposing Yemeni officials confirmed the capture to AP; shipping through the strait was already about 60% below prior levels.</x:v>
      </x:c>
    </x:row>
    <x:row r="7">
      <x:c r="A7" s="27" t="str">
        <x:v>EV-2026-002</x:v>
      </x:c>
      <x:c r="B7" s="27" t="str">
        <x:v>EEI-2026-001</x:v>
      </x:c>
      <x:c r="C7" s="28" t="n">
        <x:v>46276.51043981482</x:v>
      </x:c>
      <x:c r="D7" s="27" t="str">
        <x:v>Supporting</x:v>
      </x:c>
      <x:c r="E7" s="27" t="str">
        <x:v>Reuters / IEA</x:v>
      </x:c>
      <x:c r="F7" s="27" t="str">
        <x:v>High quality reporting</x:v>
      </x:c>
      <x:c r="G7" s="29" t="str">
        <x:v>https://www.reuters.com/world/middle-east/saudi-oil-supply-hits-more-than-three-decade-low-after-houthi-attacks-iea-says-2026-09-11/</x:v>
      </x:c>
      <x:c r="H7" s="29" t="str">
        <x:v>The IEA estimated Saudi August supply at 6 million bpd, down 2.3 million bpd month over month, with crude loadings down 1.1 million bpd.</x:v>
      </x:c>
      <x:c r="I7" s="29" t="str">
        <x:v>Strengthens</x:v>
      </x:c>
      <x:c r="J7" s="29" t="n">
        <x:v>4</x:v>
      </x:c>
      <x:c r="K7" s="29" t="str">
        <x:v>Saudi self-reported figures were higher, creating a measurement contradiction; the IEA emphasized barrels reaching the market.</x:v>
      </x:c>
    </x:row>
    <x:row r="8">
      <x:c r="A8" s="27" t="str">
        <x:v>EV-2026-003</x:v>
      </x:c>
      <x:c r="B8" s="27" t="str">
        <x:v>EEI-2026-001</x:v>
      </x:c>
      <x:c r="C8" s="28" t="n">
        <x:v>46276.51043981482</x:v>
      </x:c>
      <x:c r="D8" s="27" t="str">
        <x:v>Market confirmation</x:v>
      </x:c>
      <x:c r="E8" s="27" t="str">
        <x:v>Reuters</x:v>
      </x:c>
      <x:c r="F8" s="27" t="str">
        <x:v>High quality reporting</x:v>
      </x:c>
      <x:c r="G8" s="29" t="str">
        <x:v>https://www.reuters.com/business/energy/oil-prices-set-end-week-over-100-first-time-nearly-4-months-2026-09-11/</x:v>
      </x:c>
      <x:c r="H8" s="29" t="str">
        <x:v>Brent and WTI remained on course for gains above 8% for the week, while U.S. diesel reached a record above $6 per gallon.</x:v>
      </x:c>
      <x:c r="I8" s="29" t="str">
        <x:v>Strengthens thesis; weakens entry</x:v>
      </x:c>
      <x:c r="J8" s="29" t="n">
        <x:v>4</x:v>
      </x:c>
      <x:c r="K8" s="29" t="str">
        <x:v>Crude fell from Friday highs as possible diplomatic efforts were reported, reinforcing the WAIT classification.</x:v>
      </x:c>
    </x:row>
    <x:row r="9">
      <x:c r="A9" s="27" t="str">
        <x:v>EV-2026-004</x:v>
      </x:c>
      <x:c r="B9" s="27" t="str">
        <x:v>EEI-2026-004</x:v>
      </x:c>
      <x:c r="C9" s="28" t="n">
        <x:v>46276.51043981482</x:v>
      </x:c>
      <x:c r="D9" s="27" t="str">
        <x:v>Supporting</x:v>
      </x:c>
      <x:c r="E9" s="27" t="str">
        <x:v>U.S. Bureau of Labor Statistics</x:v>
      </x:c>
      <x:c r="F9" s="27" t="str">
        <x:v>Primary government data</x:v>
      </x:c>
      <x:c r="G9" s="29" t="str">
        <x:v>https://www.bls.gov/news.release/ppi.nr0.htm</x:v>
      </x:c>
      <x:c r="H9" s="29" t="str">
        <x:v>August final-demand PPI rose 0.4% month over month and 5.4% year over year; final-demand energy rose 4.2% and diesel rose 24.1%.</x:v>
      </x:c>
      <x:c r="I9" s="29" t="str">
        <x:v>Strengthens</x:v>
      </x:c>
      <x:c r="J9" s="29" t="n">
        <x:v>5</x:v>
      </x:c>
      <x:c r="K9" s="29" t="str">
        <x:v>Core final demand excluding food, energy and trade services still rose 4.7% year over year.</x:v>
      </x:c>
    </x:row>
    <x:row r="10">
      <x:c r="A10" s="27" t="str">
        <x:v>EV-2026-005</x:v>
      </x:c>
      <x:c r="B10" s="27" t="str">
        <x:v>EEI-2026-004</x:v>
      </x:c>
      <x:c r="C10" s="28" t="n">
        <x:v>46276.51043981482</x:v>
      </x:c>
      <x:c r="D10" s="27" t="str">
        <x:v>Market confirmation</x:v>
      </x:c>
      <x:c r="E10" s="27" t="str">
        <x:v>Reuters</x:v>
      </x:c>
      <x:c r="F10" s="27" t="str">
        <x:v>High quality reporting</x:v>
      </x:c>
      <x:c r="G10" s="29" t="str">
        <x:v>https://www.reuters.com/world/europe/global-bond-selloff-pushes-10-year-us-yield-toward-5-oil-rate-hike-fears-2026-09-11/</x:v>
      </x:c>
      <x:c r="H10" s="29" t="str">
        <x:v>The U.S. 10-year yield reached 4.979%, G7 10-year yields rose about 19 bps on the week, and Fed-hike pricing rose to 72% from 49% a week earlier.</x:v>
      </x:c>
      <x:c r="I10" s="29" t="str">
        <x:v>Strengthens</x:v>
      </x:c>
      <x:c r="J10" s="29" t="n">
        <x:v>4</x:v>
      </x:c>
      <x:c r="K10" s="29" t="str">
        <x:v>The September 11 CPI release remained a major near-term binary modifier.</x:v>
      </x:c>
    </x:row>
    <x:row r="11">
      <x:c r="A11" s="27" t="str">
        <x:v>EV-2026-006</x:v>
      </x:c>
      <x:c r="B11" s="27" t="str">
        <x:v>EEI-2026-004</x:v>
      </x:c>
      <x:c r="C11" s="28" t="n">
        <x:v>46276.51043981482</x:v>
      </x:c>
      <x:c r="D11" s="27" t="str">
        <x:v>Supporting</x:v>
      </x:c>
      <x:c r="E11" s="27" t="str">
        <x:v>Reuters</x:v>
      </x:c>
      <x:c r="F11" s="27" t="str">
        <x:v>High quality reporting</x:v>
      </x:c>
      <x:c r="G11" s="29" t="str">
        <x:v>https://www.reuters.com/business/barclays-expects-ecb-deliver-another-rate-hike-december-inflation-pressures-2026-09-11/</x:v>
      </x:c>
      <x:c r="H11" s="29" t="str">
        <x:v>The ECB raised rates 25 bps and warned inflation could remain above target; markets priced a 94% chance of another December hike.</x:v>
      </x:c>
      <x:c r="I11" s="29" t="str">
        <x:v>Strengthens</x:v>
      </x:c>
      <x:c r="J11" s="29" t="n">
        <x:v>4</x:v>
      </x:c>
      <x:c r="K11" s="29" t="str">
        <x:v>This confirms the mechanism globally but does not guarantee identical Federal Reserve action.</x:v>
      </x:c>
    </x:row>
    <x:row r="12">
      <x:c r="A12" s="27" t="str">
        <x:v>EV-2026-007</x:v>
      </x:c>
      <x:c r="B12" s="27" t="str">
        <x:v>EEI-2026-003</x:v>
      </x:c>
      <x:c r="C12" s="28" t="n">
        <x:v>46276.51043981482</x:v>
      </x:c>
      <x:c r="D12" s="27" t="str">
        <x:v>Contradictory</x:v>
      </x:c>
      <x:c r="E12" s="27" t="str">
        <x:v>U.S. Bureau of Labor Statistics</x:v>
      </x:c>
      <x:c r="F12" s="27" t="str">
        <x:v>Primary government data</x:v>
      </x:c>
      <x:c r="G12" s="29" t="str">
        <x:v>https://www.bls.gov/news.release/ppi.nr0.htm</x:v>
      </x:c>
      <x:c r="H12" s="29" t="str">
        <x:v>Producer inflation was 5.4% year over year in August and energy accounted for most of the monthly goods increase.</x:v>
      </x:c>
      <x:c r="I12" s="29" t="str">
        <x:v>Weakens</x:v>
      </x:c>
      <x:c r="J12" s="29" t="n">
        <x:v>5</x:v>
      </x:c>
      <x:c r="K12" s="29" t="str">
        <x:v>Higher inflation and rates may impair broad market breadth around the midterms even if political control shifts.</x:v>
      </x:c>
    </x:row>
    <x:row r="13">
      <x:c r="A13" s="27" t="str">
        <x:v>EV-2026-008</x:v>
      </x:c>
      <x:c r="B13" s="27" t="str">
        <x:v>EEI-2026-003</x:v>
      </x:c>
      <x:c r="C13" s="28" t="n">
        <x:v>46276.51043981482</x:v>
      </x:c>
      <x:c r="D13" s="27" t="str">
        <x:v>Contradictory</x:v>
      </x:c>
      <x:c r="E13" s="27" t="str">
        <x:v>Reuters</x:v>
      </x:c>
      <x:c r="F13" s="27" t="str">
        <x:v>High quality reporting</x:v>
      </x:c>
      <x:c r="G13" s="29" t="str">
        <x:v>https://www.reuters.com/world/europe/global-bond-selloff-pushes-10-year-us-yield-toward-5-oil-rate-hike-fears-2026-09-11/</x:v>
      </x:c>
      <x:c r="H13" s="29" t="str">
        <x:v>Long yields approached 5% and Fed-hike odds rose before CPI, increasing the discount-rate risk to a broad equity rebound.</x:v>
      </x:c>
      <x:c r="I13" s="29" t="str">
        <x:v>Weakens</x:v>
      </x:c>
      <x:c r="J13" s="29" t="n">
        <x:v>4</x:v>
      </x:c>
      <x:c r="K13" s="29" t="str">
        <x:v>Treat as a modifier, not a full invalidation; sector leadership could still differ from the broad index.</x:v>
      </x:c>
    </x:row>
    <x:row r="14">
      <x:c r="A14" s="27" t="str">
        <x:v>EV-2026-009</x:v>
      </x:c>
      <x:c r="B14" s="27" t="str">
        <x:v>EEI-2026-003</x:v>
      </x:c>
      <x:c r="C14" s="28" t="n">
        <x:v>46276.65429398148</x:v>
      </x:c>
      <x:c r="D14" s="27" t="str">
        <x:v>Contradictory</x:v>
      </x:c>
      <x:c r="E14" s="27" t="str">
        <x:v>U.S. Bureau of Labor Statistics</x:v>
      </x:c>
      <x:c r="F14" s="27" t="str">
        <x:v>Primary government data</x:v>
      </x:c>
      <x:c r="G14" s="29" t="str">
        <x:v>https://www.bls.gov/news.release/cpi.nr0.htm</x:v>
      </x:c>
      <x:c r="H14" s="29" t="str">
        <x:v>August CPI rose 0.4% month over month and 3.4% year over year. Energy rose 2.1%, gasoline rose 3.9%, and core CPI rose 0.3% month over month.</x:v>
      </x:c>
      <x:c r="I14" s="29" t="str">
        <x:v>Weakens</x:v>
      </x:c>
      <x:c r="J14" s="29" t="n">
        <x:v>5</x:v>
      </x:c>
      <x:c r="K14" s="29" t="str">
        <x:v>The report confirms that inflation remains a material modifier to any uncertainty-relief or breadth thesis.</x:v>
      </x:c>
    </x:row>
    <x:row r="15">
      <x:c r="A15" s="27" t="str">
        <x:v>EV-2026-010</x:v>
      </x:c>
      <x:c r="B15" s="27" t="str">
        <x:v>EEI-2026-003</x:v>
      </x:c>
      <x:c r="C15" s="28" t="n">
        <x:v>46276.65429398148</x:v>
      </x:c>
      <x:c r="D15" s="27" t="str">
        <x:v>Market confirmation</x:v>
      </x:c>
      <x:c r="E15" s="27" t="str">
        <x:v>Reuters and market price data</x:v>
      </x:c>
      <x:c r="F15" s="27" t="str">
        <x:v>High quality reporting and market data</x:v>
      </x:c>
      <x:c r="G15" s="29" t="str">
        <x:v>https://www.reuters.com/business/wall-st-futures-recover-oil-slides-ahead-inflation-test-2026-09-11/</x:v>
      </x:c>
      <x:c r="H15" s="29" t="str">
        <x:v>U.S. equities rose with positive exchange breadth and VIX at 16.16, but intraday ETF data showed SPY up 1.07% versus RSP 0.73% and IWM 0.68%.</x:v>
      </x:c>
      <x:c r="I15" s="29" t="str">
        <x:v>Mixed</x:v>
      </x:c>
      <x:c r="J15" s="29" t="n">
        <x:v>4</x:v>
      </x:c>
      <x:c r="K15" s="29" t="str">
        <x:v>A broad one-day rebound is constructive, but relative performance still does not confirm sustained equal-weight or small-cap leadership.</x:v>
      </x:c>
    </x:row>
    <x:row r="16">
      <x:c r="A16" s="27" t="str">
        <x:v>EV-2026-011</x:v>
      </x:c>
      <x:c r="B16" s="27" t="str">
        <x:v>EEI-2026-003</x:v>
      </x:c>
      <x:c r="C16" s="28" t="n">
        <x:v>46276.65429398148</x:v>
      </x:c>
      <x:c r="D16" s="27" t="str">
        <x:v>Contradictory</x:v>
      </x:c>
      <x:c r="E16" s="27" t="str">
        <x:v>Reuters / University of Michigan</x:v>
      </x:c>
      <x:c r="F16" s="27" t="str">
        <x:v>High quality reporting</x:v>
      </x:c>
      <x:c r="G16" s="29" t="str">
        <x:v>https://www.reuters.com/business/us-consumer-sentiment-deteriorates-september-inflation-expectations-rise-2026-09-11/</x:v>
      </x:c>
      <x:c r="H16" s="29" t="str">
        <x:v>Preliminary September consumer sentiment fell to 47.8 from 51.7, while one-year inflation expectations rose to 4.6% from 4.0%.</x:v>
      </x:c>
      <x:c r="I16" s="29" t="str">
        <x:v>Weakens</x:v>
      </x:c>
      <x:c r="J16" s="29" t="n">
        <x:v>4</x:v>
      </x:c>
      <x:c r="K16" s="29" t="str">
        <x:v>The deterioration challenges the risk-appetite and domestic-cyclical mechanism, especially for small caps and financials.</x:v>
      </x:c>
    </x:row>
    <x:row r="17">
      <x:c r="A17" s="27" t="str">
        <x:v>EV-2026-012</x:v>
      </x:c>
      <x:c r="B17" s="27" t="str">
        <x:v>EEI-2026-003</x:v>
      </x:c>
      <x:c r="C17" s="28" t="n">
        <x:v>46276.65429398148</x:v>
      </x:c>
      <x:c r="D17" s="27" t="str">
        <x:v>Neutral</x:v>
      </x:c>
      <x:c r="E17" s="27" t="str">
        <x:v>Reuters</x:v>
      </x:c>
      <x:c r="F17" s="27" t="str">
        <x:v>High quality reporting</x:v>
      </x:c>
      <x:c r="G17" s="29" t="str">
        <x:v>https://www.reuters.com/legal/government/trump-musk-super-pacs-unleash-millions-boost-republicans-battleground-races-2026-09-11/</x:v>
      </x:c>
      <x:c r="H17" s="29" t="str">
        <x:v>Major political committees increased spending across several competitive House and Senate states with less than eight weeks before the election.</x:v>
      </x:c>
      <x:c r="I17" s="29" t="str">
        <x:v>Neutral</x:v>
      </x:c>
      <x:c r="J17" s="29" t="n">
        <x:v>4</x:v>
      </x:c>
      <x:c r="K17" s="29" t="str">
        <x:v>This supports the conclusion that congressional-control uncertainty remains unresolved. Campaign spending does not establish which party will win.</x:v>
      </x:c>
    </x:row>
    <x:row r="18" ht="60" hidden="0" customHeight="1">
      <x:c r="A18" s="29" t="str">
        <x:v>EV-2026-013</x:v>
      </x:c>
      <x:c r="B18" s="29" t="str">
        <x:v>EEI-2026-001</x:v>
      </x:c>
      <x:c r="C18" s="50" t="n">
        <x:v>46276.833333333336</x:v>
      </x:c>
      <x:c r="D18" s="29" t="str">
        <x:v>Market confirmation</x:v>
      </x:c>
      <x:c r="E18" s="29" t="str">
        <x:v>Reuters</x:v>
      </x:c>
      <x:c r="F18" s="29" t="str">
        <x:v>High quality reporting</x:v>
      </x:c>
      <x:c r="G18" s="29" t="str">
        <x:v>https://www.reuters.com/business/energy/oil-prices-set-end-week-over-100-first-time-nearly-4-months-2026-09-11/</x:v>
      </x:c>
      <x:c r="H18" s="29" t="str">
        <x:v>Brent settled at $104.61 and WTI at $100.05 on September 11. Both still posted weekly gains above 8% despite a Friday retreat after reports of possible talks over Hormuz shipping.</x:v>
      </x:c>
      <x:c r="I18" s="29" t="str">
        <x:v>Strengthens thesis; weakens entry</x:v>
      </x:c>
      <x:c r="J18" s="29" t="n">
        <x:v>4</x:v>
      </x:c>
      <x:c r="K18" s="29" t="str">
        <x:v>The supply shock remained visible in prices, but the reaction to diplomatic headlines confirms that de-escalation is a live invalidation risk.</x:v>
      </x:c>
    </x:row>
    <x:row r="19" ht="36" hidden="0" customHeight="1">
      <x:c r="A19" s="29" t="str">
        <x:v>EV-2026-014</x:v>
      </x:c>
      <x:c r="B19" s="29" t="str">
        <x:v>EEI-2026-001</x:v>
      </x:c>
      <x:c r="C19" s="50" t="n">
        <x:v>46276.833333333336</x:v>
      </x:c>
      <x:c r="D19" s="29" t="str">
        <x:v>Paper-trade outcome</x:v>
      </x:c>
      <x:c r="E19" s="29" t="str">
        <x:v>Nasdaq market data</x:v>
      </x:c>
      <x:c r="F19" s="29" t="str">
        <x:v>Primary market data</x:v>
      </x:c>
      <x:c r="G19" s="29" t="str">
        <x:v>https://www.nasdaq.com/market-activity/etf/bno/historical</x:v>
      </x:c>
      <x:c r="H19" s="29" t="str">
        <x:v>BNO closed at $61.36 on September 11 versus the $57.21 September 8 opening entry, a 7.25% paper gain.</x:v>
      </x:c>
      <x:c r="I19" s="29" t="str">
        <x:v>Strengthens expression</x:v>
      </x:c>
      <x:c r="J19" s="29" t="n">
        <x:v>5</x:v>
      </x:c>
      <x:c r="K19" s="29" t="str">
        <x:v>The Brent-linked fund was the cleanest expression of the global seaborne crude-supply thesis.</x:v>
      </x:c>
    </x:row>
    <x:row r="20" ht="36" hidden="0" customHeight="1">
      <x:c r="A20" s="29" t="str">
        <x:v>EV-2026-015</x:v>
      </x:c>
      <x:c r="B20" s="29" t="str">
        <x:v>EEI-2026-001</x:v>
      </x:c>
      <x:c r="C20" s="50" t="n">
        <x:v>46276.833333333336</x:v>
      </x:c>
      <x:c r="D20" s="29" t="str">
        <x:v>Paper-trade outcome</x:v>
      </x:c>
      <x:c r="E20" s="29" t="str">
        <x:v>Nasdaq market data</x:v>
      </x:c>
      <x:c r="F20" s="29" t="str">
        <x:v>Primary market data</x:v>
      </x:c>
      <x:c r="G20" s="29" t="str">
        <x:v>https://www.nasdaq.com/market-activity/etf/uso/historical</x:v>
      </x:c>
      <x:c r="H20" s="29" t="str">
        <x:v>USO closed at $154.86 on September 11 versus the $144.60 September 8 opening entry, a 7.10% paper gain.</x:v>
      </x:c>
      <x:c r="I20" s="29" t="str">
        <x:v>Strengthens expression</x:v>
      </x:c>
      <x:c r="J20" s="29" t="n">
        <x:v>5</x:v>
      </x:c>
      <x:c r="K20" s="29" t="str">
        <x:v>WTI-linked exposure tracked the direction nearly as well as the Brent-linked fund over this short window.</x:v>
      </x:c>
    </x:row>
    <x:row r="21" ht="48" hidden="0" customHeight="1">
      <x:c r="A21" s="29" t="str">
        <x:v>EV-2026-016</x:v>
      </x:c>
      <x:c r="B21" s="29" t="str">
        <x:v>EEI-2026-001</x:v>
      </x:c>
      <x:c r="C21" s="50" t="n">
        <x:v>46276.833333333336</x:v>
      </x:c>
      <x:c r="D21" s="29" t="str">
        <x:v>Paper-trade outcome</x:v>
      </x:c>
      <x:c r="E21" s="29" t="str">
        <x:v>Nasdaq market data</x:v>
      </x:c>
      <x:c r="F21" s="29" t="str">
        <x:v>Primary market data</x:v>
      </x:c>
      <x:c r="G21" s="29" t="str">
        <x:v>https://www.nasdaq.com/market-activity/etf/xop/historical</x:v>
      </x:c>
      <x:c r="H21" s="29" t="str">
        <x:v>XOP closed at $195.75 on September 11 versus the $193.84 September 8 opening entry, a 0.99% paper gain.</x:v>
      </x:c>
      <x:c r="I21" s="29" t="str">
        <x:v>Mixed expression</x:v>
      </x:c>
      <x:c r="J21" s="29" t="n">
        <x:v>5</x:v>
      </x:c>
      <x:c r="K21" s="29" t="str">
        <x:v>Producer equities substantially lagged direct crude funds, confirming the methodology's need to score expression performance separately.</x:v>
      </x:c>
    </x:row>
    <x:row r="22">
      <x:c r="A22" s="27" t="str">
        <x:v>EV-2026-017</x:v>
      </x:c>
      <x:c r="B22" s="27" t="str">
        <x:v>EEI-2026-001</x:v>
      </x:c>
      <x:c r="C22" s="49" t="n">
        <x:v>46277.49940972222</x:v>
      </x:c>
      <x:c r="D22" s="27" t="str">
        <x:v>Supporting</x:v>
      </x:c>
      <x:c r="E22" s="27" t="str">
        <x:v>Reuters</x:v>
      </x:c>
      <x:c r="F22" s="27" t="str">
        <x:v>High quality reporting</x:v>
      </x:c>
      <x:c r="G22" s="29" t="str">
        <x:v>https://www.reuters.com/business/energy/saudis-shut-down-oil-pipeline-houthis-tighten-grip-red-sea-shipping-2026-09-12/</x:v>
      </x:c>
      <x:c r="H22" s="29" t="str">
        <x:v>Saudi Arabia temporarily shut its 1,200-km East-West pipeline after a drone attack. Reuters reported the route had been transporting roughly 4-5 million bpd, or 4%-5% of global supply, as a bypass around constrained Hormuz.</x:v>
      </x:c>
      <x:c r="I22" s="29" t="str">
        <x:v>Strengthens</x:v>
      </x:c>
      <x:c r="J22" s="29" t="n">
        <x:v>4</x:v>
      </x:c>
      <x:c r="K22" s="29" t="str">
        <x:v>A new physical disruption to the principal Saudi bypass route; reported while markets were closed, so price confirmation is pending.</x:v>
      </x:c>
    </x:row>
    <x:row r="23">
      <x:c r="A23" s="27" t="str">
        <x:v>EV-2026-018</x:v>
      </x:c>
      <x:c r="B23" s="27" t="str">
        <x:v>EEI-2026-001</x:v>
      </x:c>
      <x:c r="C23" s="49" t="n">
        <x:v>46277.49940972222</x:v>
      </x:c>
      <x:c r="D23" s="27" t="str">
        <x:v>Supporting</x:v>
      </x:c>
      <x:c r="E23" s="27" t="str">
        <x:v>Associated Press</x:v>
      </x:c>
      <x:c r="F23" s="27" t="str">
        <x:v>High quality reporting</x:v>
      </x:c>
      <x:c r="G23" s="29" t="str">
        <x:v>https://apnews.com/article/324485fad65647d4a897d5bfdcb7849c</x:v>
      </x:c>
      <x:c r="H23" s="29" t="str">
        <x:v>Iraq confirmed the pipeline attack originated from Iraqi territory, dismissed a local commander and opened an investigation; the attack forced the East-West pipeline shutdown.</x:v>
      </x:c>
      <x:c r="I23" s="29" t="str">
        <x:v>Strengthens</x:v>
      </x:c>
      <x:c r="J23" s="29" t="n">
        <x:v>4</x:v>
      </x:c>
      <x:c r="K23" s="29" t="str">
        <x:v>Independent confirmation of origin and shutdown. The attacker and ultimate sponsor remain unconfirmed.</x:v>
      </x:c>
    </x:row>
    <x:row r="24">
      <x:c r="A24" s="27" t="str">
        <x:v>EV-2026-019</x:v>
      </x:c>
      <x:c r="B24" s="27" t="str">
        <x:v>EEI-2026-001</x:v>
      </x:c>
      <x:c r="C24" s="49" t="n">
        <x:v>46277.49940972222</x:v>
      </x:c>
      <x:c r="D24" s="27" t="str">
        <x:v>Contradictory</x:v>
      </x:c>
      <x:c r="E24" s="27" t="str">
        <x:v>Reuters</x:v>
      </x:c>
      <x:c r="F24" s="27" t="str">
        <x:v>High quality reporting</x:v>
      </x:c>
      <x:c r="G24" s="29" t="str">
        <x:v>https://www.reuters.com/business/energy/trump-says-iran-probably-responsible-attack-saudi-pipeline-2026-09-12/</x:v>
      </x:c>
      <x:c r="H24" s="29" t="str">
        <x:v>No group claimed responsibility; President Trump said Iran was probably responsible while also reporting Houthi contacts and describing some continuing traffic allowances.</x:v>
      </x:c>
      <x:c r="I24" s="29" t="str">
        <x:v>Weakens entry; limits attribution</x:v>
      </x:c>
      <x:c r="J24" s="29" t="n">
        <x:v>4</x:v>
      </x:c>
      <x:c r="K24" s="29" t="str">
        <x:v>Supports escalation risk but prevents treating attribution as established fact and preserves a possible diplomatic off-ramp.</x:v>
      </x:c>
    </x:row>
    <x:row r="25">
      <x:c r="A25" s="27" t="str">
        <x:v>EV-2026-020</x:v>
      </x:c>
      <x:c r="B25" s="27" t="str">
        <x:v>EEI-2026-004</x:v>
      </x:c>
      <x:c r="C25" s="49" t="n">
        <x:v>46277.49940972222</x:v>
      </x:c>
      <x:c r="D25" s="27" t="str">
        <x:v>Supporting</x:v>
      </x:c>
      <x:c r="E25" s="27" t="str">
        <x:v>Financial Times</x:v>
      </x:c>
      <x:c r="F25" s="27" t="str">
        <x:v>High quality reporting</x:v>
      </x:c>
      <x:c r="G25" s="29" t="str">
        <x:v>https://www.ft.com/content/a83e620a-bb72-478a-ac77-10635ec653bd</x:v>
      </x:c>
      <x:c r="H25" s="29" t="str">
        <x:v>Austrian central-bank governor Martin Kocher warned that oil near $100 through year-end could require further ECB hikes; the ECB adverse scenario associates $99 oil and EUR77/MWh gas with 3.2% inflation in 2027.</x:v>
      </x:c>
      <x:c r="I25" s="29" t="str">
        <x:v>Strengthens</x:v>
      </x:c>
      <x:c r="J25" s="29" t="n">
        <x:v>4</x:v>
      </x:c>
      <x:c r="K25" s="29" t="str">
        <x:v>Kocher also said broad second-round wage and price effects are not yet evident, which remains the strongest near-term contradiction.</x:v>
      </x:c>
    </x:row>
    <x:row r="26">
      <x:c r="A26" s="27" t="str">
        <x:v>EV-2026-021</x:v>
      </x:c>
      <x:c r="B26" s="27" t="str">
        <x:v>EEI-2026-003</x:v>
      </x:c>
      <x:c r="C26" s="28" t="n">
        <x:v>46277.63582175926</x:v>
      </x:c>
      <x:c r="D26" s="27" t="str">
        <x:v>Contradictory</x:v>
      </x:c>
      <x:c r="E26" s="27" t="str">
        <x:v>Reuters</x:v>
      </x:c>
      <x:c r="F26" s="27" t="str">
        <x:v>High quality reporting</x:v>
      </x:c>
      <x:c r="G26" s="29" t="str">
        <x:v>https://www.reuters.com/business/energy/saudis-shut-down-oil-pipeline-houthis-tighten-grip-red-sea-shipping-2026-09-12/</x:v>
      </x:c>
      <x:c r="H26" s="29" t="str">
        <x:v>Saudi Arabia temporarily closed its East-West pipeline after a drone attack. The route had carried about 4-5 million barrels per day while Hormuz was constrained.</x:v>
      </x:c>
      <x:c r="I26" s="29" t="str">
        <x:v>Weakens timing and trading edge</x:v>
      </x:c>
      <x:c r="J26" s="29" t="n">
        <x:v>4</x:v>
      </x:c>
      <x:c r="K26" s="29" t="str">
        <x:v>This is an oil-thesis trigger but only a macro modifier here: higher energy and transport costs can lift inflation and yields, delaying broad equity participation.</x:v>
      </x:c>
    </x:row>
    <x:row r="27">
      <x:c r="A27" s="27" t="str">
        <x:v>EV-2026-022</x:v>
      </x:c>
      <x:c r="B27" s="27" t="str">
        <x:v>EEI-2026-003</x:v>
      </x:c>
      <x:c r="C27" s="28" t="n">
        <x:v>46277.63582175926</x:v>
      </x:c>
      <x:c r="D27" s="27" t="str">
        <x:v>Contradictory</x:v>
      </x:c>
      <x:c r="E27" s="27" t="str">
        <x:v>Associated Press</x:v>
      </x:c>
      <x:c r="F27" s="27" t="str">
        <x:v>High quality reporting</x:v>
      </x:c>
      <x:c r="G27" s="29" t="str">
        <x:v>https://apnews.com/article/324485fad65647d4a897d5bfdcb7849c</x:v>
      </x:c>
      <x:c r="H27" s="29" t="str">
        <x:v>Iraq independently confirmed that the pipeline attack originated from Iraqi territory and opened an investigation after the shutdown.</x:v>
      </x:c>
      <x:c r="I27" s="29" t="str">
        <x:v>Confirms modifier</x:v>
      </x:c>
      <x:c r="J27" s="29" t="n">
        <x:v>4</x:v>
      </x:c>
      <x:c r="K27" s="29" t="str">
        <x:v>The attacker and sponsor remain unconfirmed. The pipeline closure is described as temporary and markets were closed when the news arrived.</x:v>
      </x:c>
    </x:row>
    <x:row r="28">
      <x:c r="A28" s="27" t="str">
        <x:v>EV-2026-023</x:v>
      </x:c>
      <x:c r="B28" s="27" t="str">
        <x:v>EEI-2026-003</x:v>
      </x:c>
      <x:c r="C28" s="28" t="n">
        <x:v>46277.63582175926</x:v>
      </x:c>
      <x:c r="D28" s="27" t="str">
        <x:v>Market confirmation</x:v>
      </x:c>
      <x:c r="E28" s="27" t="str">
        <x:v>Reuters and market price data</x:v>
      </x:c>
      <x:c r="F28" s="27" t="str">
        <x:v>High quality reporting and market data</x:v>
      </x:c>
      <x:c r="G28" s="29" t="str">
        <x:v>https://www.reuters.com/business/wall-st-futures-recover-oil-slides-ahead-inflation-test-2026-09-11/</x:v>
      </x:c>
      <x:c r="H28" s="29" t="str">
        <x:v>Friday's close showed SPY up 0.87%, RSP 0.79%, IWM 0.40% and XLI 1.07%; XLV and XBI fell. S&amp;P 500 breadth was positive, VIX closed at 15.88, and the index lost 0.8% for the week.</x:v>
      </x:c>
      <x:c r="I28" s="29" t="str">
        <x:v>Mixed</x:v>
      </x:c>
      <x:c r="J28" s="29" t="n">
        <x:v>4</x:v>
      </x:c>
      <x:c r="K28" s="29" t="str">
        <x:v>The rebound was broad within the S&amp;P 500, but small caps and health care did not confirm and the market has not reacted to the weekend energy disruption.</x:v>
      </x:c>
    </x:row>
    <x:row r="29">
      <x:c r="A29" s="27" t="str">
        <x:v>EV-2026-024</x:v>
      </x:c>
      <x:c r="B29" s="27" t="str">
        <x:v>EEI-2026-001</x:v>
      </x:c>
      <x:c r="C29" s="49" t="n">
        <x:v>46278.49491898148</x:v>
      </x:c>
      <x:c r="D29" s="27" t="str">
        <x:v>Supporting</x:v>
      </x:c>
      <x:c r="E29" s="27" t="str">
        <x:v>Reuters / UKMTO</x:v>
      </x:c>
      <x:c r="F29" s="27" t="str">
        <x:v>High quality reporting and official maritime notice</x:v>
      </x:c>
      <x:c r="G29" s="29" t="str">
        <x:v>https://www.reuters.com/business/energy/new-report-attack-strait-hormuz-shipping-fans-fears-threats-oil-supplies-2026-09-13/</x:v>
      </x:c>
      <x:c r="H29" s="29" t="str">
        <x:v>UKMTO reported that a projectile struck a vessel in the Strait of Hormuz, causing a fire; local authorities evacuated the crew.</x:v>
      </x:c>
      <x:c r="I29" s="29" t="str">
        <x:v>Strengthens</x:v>
      </x:c>
      <x:c r="J29" s="29" t="n">
        <x:v>4</x:v>
      </x:c>
      <x:c r="K29" s="29" t="str">
        <x:v>Direct evidence that active attacks continue to deter shipping. Reuters did not identify the attacker.</x:v>
      </x:c>
    </x:row>
    <x:row r="30">
      <x:c r="A30" s="27" t="str">
        <x:v>EV-2026-025</x:v>
      </x:c>
      <x:c r="B30" s="27" t="str">
        <x:v>EEI-2026-001</x:v>
      </x:c>
      <x:c r="C30" s="49" t="n">
        <x:v>46278.49491898148</x:v>
      </x:c>
      <x:c r="D30" s="27" t="str">
        <x:v>Supporting</x:v>
      </x:c>
      <x:c r="E30" s="27" t="str">
        <x:v>Associated Press</x:v>
      </x:c>
      <x:c r="F30" s="27" t="str">
        <x:v>High quality reporting</x:v>
      </x:c>
      <x:c r="G30" s="29" t="str">
        <x:v>https://apnews.com/article/aa034da0d8226f5a3b4794b10afb8b3b</x:v>
      </x:c>
      <x:c r="H30" s="29" t="str">
        <x:v>AP reported that an Iranian cargo ship was struck near Qeshm Island early Sunday, killing one person and injuring four; UKMTO reported a projectile impact and fire.</x:v>
      </x:c>
      <x:c r="I30" s="29" t="str">
        <x:v>Strengthens</x:v>
      </x:c>
      <x:c r="J30" s="29" t="n">
        <x:v>4</x:v>
      </x:c>
      <x:c r="K30" s="29" t="str">
        <x:v>Independent confirmation of the incident and casualties; responsibility remains unknown.</x:v>
      </x:c>
    </x:row>
    <x:row r="31">
      <x:c r="A31" s="27" t="str">
        <x:v>EV-2026-026</x:v>
      </x:c>
      <x:c r="B31" s="27" t="str">
        <x:v>EEI-2026-001</x:v>
      </x:c>
      <x:c r="C31" s="49" t="n">
        <x:v>46278.49491898148</x:v>
      </x:c>
      <x:c r="D31" s="27" t="str">
        <x:v>Market confirmation</x:v>
      </x:c>
      <x:c r="E31" s="27" t="str">
        <x:v>Reuters and Saudi market data</x:v>
      </x:c>
      <x:c r="F31" s="27" t="str">
        <x:v>High quality reporting and market data</x:v>
      </x:c>
      <x:c r="G31" s="29" t="str">
        <x:v>https://www.reuters.com/world/middle-east/saudi-shares-drop-after-drone-attacks-target-key-oil-pipeline-2026-09-13/</x:v>
      </x:c>
      <x:c r="H31" s="29" t="str">
        <x:v>Saudi Arabia's benchmark fell 1.0% in early Sunday trade; Aramco fell 1.1%, Saudi Arabian Mining 2.4% and Rabigh Refining 7.3% after the pipeline attacks.</x:v>
      </x:c>
      <x:c r="I31" s="29" t="str">
        <x:v>Confirms regional risk; no crude confirmation</x:v>
      </x:c>
      <x:c r="J31" s="29" t="n">
        <x:v>4</x:v>
      </x:c>
      <x:c r="K31" s="29" t="str">
        <x:v>This is the first regional market reaction, but direct crude and U.S. candidate expressions have not traded since the weekend attacks.</x:v>
      </x:c>
    </x:row>
    <x:row r="32">
      <x:c r="A32" s="27" t="str">
        <x:v>EV-2026-027</x:v>
      </x:c>
      <x:c r="B32" s="27" t="str">
        <x:v>EEI-2026-001</x:v>
      </x:c>
      <x:c r="C32" s="49" t="n">
        <x:v>46278.49491898148</x:v>
      </x:c>
      <x:c r="D32" s="27" t="str">
        <x:v>Neutral</x:v>
      </x:c>
      <x:c r="E32" s="27" t="str">
        <x:v>Reuters</x:v>
      </x:c>
      <x:c r="F32" s="27" t="str">
        <x:v>High quality reporting</x:v>
      </x:c>
      <x:c r="G32" s="29" t="str">
        <x:v>https://www.reuters.com/world/middle-east/no-signed-hormuz-deal-expected-yet-oman-meeting-monday-iranian-official-says-2026-09-12/</x:v>
      </x:c>
      <x:c r="H32" s="29" t="str">
        <x:v>Iran and Gulf states plan to discuss Hormuz in Oman on Monday, but a senior Iranian official said no signed agreement is expected and Iran continues to seek transit-fee authority.</x:v>
      </x:c>
      <x:c r="I32" s="29" t="str">
        <x:v>Supports persistence; preserves diplomatic off-ramp</x:v>
      </x:c>
      <x:c r="J32" s="29" t="n">
        <x:v>4</x:v>
      </x:c>
      <x:c r="K32" s="29" t="str">
        <x:v>The meeting is a live event-risk modifier. A surprise interim deal could reverse risk premiums quickly.</x:v>
      </x:c>
    </x:row>
    <x:row r="33">
      <x:c r="A33" s="27" t="str">
        <x:v>EV-2026-028</x:v>
      </x:c>
      <x:c r="B33" s="27" t="str">
        <x:v>EEI-2026-004</x:v>
      </x:c>
      <x:c r="C33" s="49" t="n">
        <x:v>46278.49491898148</x:v>
      </x:c>
      <x:c r="D33" s="27" t="str">
        <x:v>Supporting</x:v>
      </x:c>
      <x:c r="E33" s="27" t="str">
        <x:v>Reuters</x:v>
      </x:c>
      <x:c r="F33" s="27" t="str">
        <x:v>High quality reporting</x:v>
      </x:c>
      <x:c r="G33" s="29" t="str">
        <x:v>https://www.reuters.com/business/energy/white-house-weighs-how-use-defense-production-act-expand-us-oil-refining-2026-09-11/</x:v>
      </x:c>
      <x:c r="H33" s="29" t="str">
        <x:v>Reuters reported U.S. refinery utilization at 98% and White House consideration of Defense Production Act support for refinery efficiency or expansion as diesel exceeded $6 per gallon.</x:v>
      </x:c>
      <x:c r="I33" s="29" t="str">
        <x:v>Strengthens constraint; no policy decision</x:v>
      </x:c>
      <x:c r="J33" s="29" t="n">
        <x:v>4</x:v>
      </x:c>
      <x:c r="K33" s="29" t="str">
        <x:v>No final decision was made, a new refinery would take years, and the April presidential determination already authorized potential support.</x:v>
      </x:c>
    </x:row>
    <x:row r="34">
      <x:c r="A34" s="27" t="str">
        <x:v>EV-2026-029</x:v>
      </x:c>
      <x:c r="B34" s="27" t="str">
        <x:v>EEI-2026-003</x:v>
      </x:c>
      <x:c r="C34" s="28" t="n">
        <x:v>46278.63196759259</x:v>
      </x:c>
      <x:c r="D34" s="27" t="str">
        <x:v>Contradictory</x:v>
      </x:c>
      <x:c r="E34" s="27" t="str">
        <x:v>Reuters</x:v>
      </x:c>
      <x:c r="F34" s="27" t="str">
        <x:v>High quality reporting</x:v>
      </x:c>
      <x:c r="G34" s="29" t="str">
        <x:v>https://www.reuters.com/business/energy/saudi-pipeline-outage-threatens-loss-4-global-oil-supply-2026-09-13/</x:v>
      </x:c>
      <x:c r="H34" s="29" t="str">
        <x:v>Reuters reported that the East-West pipeline had been moving about 4 million barrels per day, roughly 4% of world supply. Yanbu export stocks were estimated at five to seven days, while one repair estimate was five to six weeks.</x:v>
      </x:c>
      <x:c r="I34" s="29" t="str">
        <x:v>Weakens timing and trading edge</x:v>
      </x:c>
      <x:c r="J34" s="29" t="n">
        <x:v>4</x:v>
      </x:c>
      <x:c r="K34" s="29" t="str">
        <x:v>Saudi Arabia has not confirmed the damage or repair duration, and partial pumping could resume sooner. The confirmed shutdown remains an oil-thesis trigger and a macro modifier here.</x:v>
      </x:c>
    </x:row>
    <x:row r="35">
      <x:c r="A35" s="27" t="str">
        <x:v>EV-2026-030</x:v>
      </x:c>
      <x:c r="B35" s="27" t="str">
        <x:v>EEI-2026-003</x:v>
      </x:c>
      <x:c r="C35" s="28" t="n">
        <x:v>46278.63196759259</x:v>
      </x:c>
      <x:c r="D35" s="27" t="str">
        <x:v>Market confirmation</x:v>
      </x:c>
      <x:c r="E35" s="27" t="str">
        <x:v>Reuters and Saudi market data</x:v>
      </x:c>
      <x:c r="F35" s="27" t="str">
        <x:v>High quality reporting and market data</x:v>
      </x:c>
      <x:c r="G35" s="29" t="str">
        <x:v>https://www.reuters.com/world/middle-east/saudi-shares-drop-after-drone-attacks-target-key-oil-pipeline-2026-09-13/</x:v>
      </x:c>
      <x:c r="H35" s="29" t="str">
        <x:v>Saudi Arabia's benchmark fell 1.3% on Sunday; Aramco fell 1.6% and Saudi Arabian Mining fell 3.2% after the pipeline and Gulf shipping attacks.</x:v>
      </x:c>
      <x:c r="I35" s="29" t="str">
        <x:v>Confirms regional risk; U.S. confirmation pending</x:v>
      </x:c>
      <x:c r="J35" s="29" t="n">
        <x:v>4</x:v>
      </x:c>
      <x:c r="K35" s="29" t="str">
        <x:v>The regional reaction supports the adverse macro modifier. U.S. equity breadth, volatility, rates and candidate funds have not traded since the new weekend evidence.</x:v>
      </x:c>
    </x:row>
    <x:row r="36">
      <x:c r="A36" s="27" t="str">
        <x:v>EV-2026-031</x:v>
      </x:c>
      <x:c r="B36" s="27" t="str">
        <x:v>EEI-2026-003</x:v>
      </x:c>
      <x:c r="C36" s="28" t="n">
        <x:v>46278.63196759259</x:v>
      </x:c>
      <x:c r="D36" s="27" t="str">
        <x:v>Neutral</x:v>
      </x:c>
      <x:c r="E36" s="27" t="str">
        <x:v>Reuters</x:v>
      </x:c>
      <x:c r="F36" s="27" t="str">
        <x:v>High quality reporting</x:v>
      </x:c>
      <x:c r="G36" s="29" t="str">
        <x:v>https://www.reuters.com/world/us/dallas-convention-some-loyalists-question-trump-centric-midterms-strategy-2026-09-11/</x:v>
      </x:c>
      <x:c r="H36" s="29" t="str">
        <x:v>Reuters reported debate within the Republican campaign over using President Trump as the central midterm messenger, with inflation and the Iran war prominent in voter concerns.</x:v>
      </x:c>
      <x:c r="I36" s="29" t="str">
        <x:v>No thesis-stage change</x:v>
      </x:c>
      <x:c r="J36" s="29" t="n">
        <x:v>4</x:v>
      </x:c>
      <x:c r="K36" s="29" t="str">
        <x:v>This is campaign-strategy evidence, not independent confirmation of congressional control or a specific investable policy outcome.</x:v>
      </x:c>
    </x:row>
    <x:row r="37">
      <x:c r="A37" s="27" t="str">
        <x:v>EV-2026-032</x:v>
      </x:c>
      <x:c r="B37" s="27" t="str">
        <x:v>EEI-2026-001</x:v>
      </x:c>
      <x:c r="C37" s="28" t="n">
        <x:v>46279.38055555556</x:v>
      </x:c>
      <x:c r="D37" s="27" t="str">
        <x:v>Market confirmation</x:v>
      </x:c>
      <x:c r="E37" s="27" t="str">
        <x:v>Reuters</x:v>
      </x:c>
      <x:c r="F37" s="27" t="str">
        <x:v>High quality reporting</x:v>
      </x:c>
      <x:c r="G37" s="29" t="str">
        <x:v>https://www.reuters.com/business/energy/oil-prices-jump-more-than-3-after-new-strikes-saudi-strait-hormuz-2026-09-13/</x:v>
      </x:c>
      <x:c r="H37" s="29" t="str">
        <x:v>Brent rose 3.1% to $107.82 and WTI to $102.82, with Brent reaching $108.65, after weekend pipeline and shipping attacks.</x:v>
      </x:c>
      <x:c r="I37" s="29" t="str">
        <x:v>Strengthens thesis; weakens entry</x:v>
      </x:c>
      <x:c r="J37" s="29" t="n">
        <x:v>4</x:v>
      </x:c>
      <x:c r="K37" s="29" t="str">
        <x:v>The missing liquid-market confirmation arrived, but after a 9% prior-week rally and a gap, so Entry Window remains WAIT.</x:v>
      </x:c>
    </x:row>
    <x:row r="38">
      <x:c r="A38" s="27" t="str">
        <x:v>EV-2026-033</x:v>
      </x:c>
      <x:c r="B38" s="27" t="str">
        <x:v>EEI-2026-001</x:v>
      </x:c>
      <x:c r="C38" s="28" t="n">
        <x:v>46279.38055555556</x:v>
      </x:c>
      <x:c r="D38" s="27" t="str">
        <x:v>Physical confirmation</x:v>
      </x:c>
      <x:c r="E38" s="27" t="str">
        <x:v>Reuters</x:v>
      </x:c>
      <x:c r="F38" s="27" t="str">
        <x:v>High quality reporting</x:v>
      </x:c>
      <x:c r="G38" s="29" t="str">
        <x:v>https://www.reuters.com/business/energy/asias-oil-traders-seeing-no-quick-end-middle-east-war-stay-bullish-prices-2026-09-14/</x:v>
      </x:c>
      <x:c r="H38" s="29" t="str">
        <x:v>Dubai/Oman spot premiums reached the highest levels since March; South Korean refiners paid about $24 per barrel premiums for U.S. crude and Iraqi Basrah Medium traded near a $20 premium as Hormuz flows remained constrained.</x:v>
      </x:c>
      <x:c r="I38" s="29" t="str">
        <x:v>Strengthens</x:v>
      </x:c>
      <x:c r="J38" s="29" t="n">
        <x:v>4</x:v>
      </x:c>
      <x:c r="K38" s="29" t="str">
        <x:v>Physical replacement-barrel costs confirm scarcity beyond futures prices; prolonged disruption and rapid-recovery scenarios remain wide.</x:v>
      </x:c>
    </x:row>
    <x:row r="39">
      <x:c r="A39" s="27" t="str">
        <x:v>EV-2026-034</x:v>
      </x:c>
      <x:c r="B39" s="27" t="str">
        <x:v>EEI-2026-001</x:v>
      </x:c>
      <x:c r="C39" s="28" t="n">
        <x:v>46279.38055555556</x:v>
      </x:c>
      <x:c r="D39" s="27" t="str">
        <x:v>Modifier</x:v>
      </x:c>
      <x:c r="E39" s="27" t="str">
        <x:v>Reuters</x:v>
      </x:c>
      <x:c r="F39" s="27" t="str">
        <x:v>High quality reporting</x:v>
      </x:c>
      <x:c r="G39" s="29" t="str">
        <x:v>https://www.reuters.com/world/middle-east/oman-meeting-between-gulf-states-iran-postponed-omani-foreign-minister-says-2026-09-13/</x:v>
      </x:c>
      <x:c r="H39" s="29" t="str">
        <x:v>Oman said the planned Gulf-Iran meeting was postponed.</x:v>
      </x:c>
      <x:c r="I39" s="29" t="str">
        <x:v>Mixed</x:v>
      </x:c>
      <x:c r="J39" s="29" t="n">
        <x:v>4</x:v>
      </x:c>
      <x:c r="K39" s="29" t="str">
        <x:v>The delay weakens the immediate diplomatic off-ramp but does not eliminate future negotiations or reversal risk.</x:v>
      </x:c>
    </x:row>
    <x:row r="40">
      <x:c r="A40" s="27" t="str">
        <x:v>EV-2026-035</x:v>
      </x:c>
      <x:c r="B40" s="27" t="str">
        <x:v>EEI-2026-005</x:v>
      </x:c>
      <x:c r="C40" s="28" t="n">
        <x:v>46279.38055555556</x:v>
      </x:c>
      <x:c r="D40" s="27" t="str">
        <x:v>Trigger</x:v>
      </x:c>
      <x:c r="E40" s="27" t="str">
        <x:v>The Motley Fool — Thomas Niel</x:v>
      </x:c>
      <x:c r="F40" s="27" t="str">
        <x:v>Idea generator only</x:v>
      </x:c>
      <x:c r="G40" s="29" t="str">
        <x:v>https://www.fool.com/investing/2026/09/13/should-you-buy-bristol-myers-squibb-stock-yield/</x:v>
      </x:c>
      <x:c r="H40" s="29" t="str">
        <x:v>A free September 13 editorial argued that BMY's growth portfolio and roughly 4% dividend yield may offset patent-cliff concerns.</x:v>
      </x:c>
      <x:c r="I40" s="29" t="str">
        <x:v>Research trigger only</x:v>
      </x:c>
      <x:c r="J40" s="29" t="n">
        <x:v>2</x:v>
      </x:c>
      <x:c r="K40" s="29" t="str">
        <x:v>Not an official paid-service recommendation. Author disclosed no position; Motley Fool disclosed positions in/recommendations involving BMY. Promotional framing is not evidence.</x:v>
      </x:c>
    </x:row>
    <x:row r="41">
      <x:c r="A41" s="27" t="str">
        <x:v>EV-2026-036</x:v>
      </x:c>
      <x:c r="B41" s="27" t="str">
        <x:v>EEI-2026-005</x:v>
      </x:c>
      <x:c r="C41" s="28" t="n">
        <x:v>46279.38055555556</x:v>
      </x:c>
      <x:c r="D41" s="27" t="str">
        <x:v>Supporting</x:v>
      </x:c>
      <x:c r="E41" s="27" t="str">
        <x:v>Bristol Myers Squibb SEC exhibit</x:v>
      </x:c>
      <x:c r="F41" s="27" t="str">
        <x:v>Primary company filing</x:v>
      </x:c>
      <x:c r="G41" s="29" t="str">
        <x:v>https://www.sec.gov/Archives/edgar/data/14272/000001427226000018/a2026q2ex991-filing.htm</x:v>
      </x:c>
      <x:c r="H41" s="29" t="str">
        <x:v>Q2 revenue was $13.0 billion, up 6%; Growth Portfolio revenue was $7.6 billion, up 15%; 2026 revenue and non-GAAP EPS guidance were raised.</x:v>
      </x:c>
      <x:c r="I41" s="29" t="str">
        <x:v>Strengthens</x:v>
      </x:c>
      <x:c r="J41" s="29" t="n">
        <x:v>5</x:v>
      </x:c>
      <x:c r="K41" s="29" t="str">
        <x:v>Legacy revenue still declined and patent expirations remain the central contradiction; cash flow and leverage require continued tracking.</x:v>
      </x:c>
    </x:row>
    <x:row r="42">
      <x:c r="A42" s="27" t="str">
        <x:v>EV-2026-037</x:v>
      </x:c>
      <x:c r="B42" s="27" t="str">
        <x:v>EEI-2026-006</x:v>
      </x:c>
      <x:c r="C42" s="28" t="n">
        <x:v>46279.38055555556</x:v>
      </x:c>
      <x:c r="D42" s="27" t="str">
        <x:v>Trigger</x:v>
      </x:c>
      <x:c r="E42" s="27" t="str">
        <x:v>The Motley Fool — Catie Hogan</x:v>
      </x:c>
      <x:c r="F42" s="27" t="str">
        <x:v>Idea generator only</x:v>
      </x:c>
      <x:c r="G42" s="29" t="str">
        <x:v>https://www.fool.com/investing/2026/09/13/is-lululemon-nearing-its-bottom/</x:v>
      </x:c>
      <x:c r="H42" s="29" t="str">
        <x:v>A free September 13 editorial argued LULU may be near a bottom as new leadership begins a turnaround.</x:v>
      </x:c>
      <x:c r="I42" s="29" t="str">
        <x:v>Research trigger only</x:v>
      </x:c>
      <x:c r="J42" s="29" t="n">
        <x:v>2</x:v>
      </x:c>
      <x:c r="K42" s="29" t="str">
        <x:v>Not an official paid-service recommendation. Valuation and a fallen share price do not confirm operating stabilization.</x:v>
      </x:c>
    </x:row>
    <x:row r="43">
      <x:c r="A43" s="27" t="str">
        <x:v>EV-2026-038</x:v>
      </x:c>
      <x:c r="B43" s="27" t="str">
        <x:v>EEI-2026-006</x:v>
      </x:c>
      <x:c r="C43" s="28" t="n">
        <x:v>46279.38055555556</x:v>
      </x:c>
      <x:c r="D43" s="27" t="str">
        <x:v>Contradictory</x:v>
      </x:c>
      <x:c r="E43" s="27" t="str">
        <x:v>lululemon / reported Q2 results</x:v>
      </x:c>
      <x:c r="F43" s="27" t="str">
        <x:v>Primary company results and independent reporting</x:v>
      </x:c>
      <x:c r="G43" s="29" t="str">
        <x:v>https://corporate.lululemon.com/investors</x:v>
      </x:c>
      <x:c r="H43" s="29" t="str">
        <x:v>Q2 revenue fell about 4% to $2.42 billion, global comparable sales fell 9%, Americas comparable sales fell 12%, and full-year revenue guidance was cut to a 5%-7% decline.</x:v>
      </x:c>
      <x:c r="I43" s="29" t="str">
        <x:v>Weakens</x:v>
      </x:c>
      <x:c r="J43" s="29" t="n">
        <x:v>4</x:v>
      </x:c>
      <x:c r="K43" s="29" t="str">
        <x:v>The turnaround variable is still moving the wrong way; next-quarter comps, inventory and underlying gross margin are required.</x:v>
      </x:c>
    </x:row>
    <x:row r="44">
      <x:c r="A44" s="27" t="str">
        <x:v>EV-2026-039</x:v>
      </x:c>
      <x:c r="B44" s="27" t="str">
        <x:v>EEI-2026-007</x:v>
      </x:c>
      <x:c r="C44" s="28" t="n">
        <x:v>46279.38055555556</x:v>
      </x:c>
      <x:c r="D44" s="27" t="str">
        <x:v>Trigger</x:v>
      </x:c>
      <x:c r="E44" s="27" t="str">
        <x:v>The Motley Fool — Danny Vena</x:v>
      </x:c>
      <x:c r="F44" s="27" t="str">
        <x:v>Idea generator only</x:v>
      </x:c>
      <x:c r="G44" s="29" t="str">
        <x:v>https://www.fool.com/investing/2026/09/09/aerovironment-just-delivered-historic-results-wall-street-says-it-s-a-buy/</x:v>
      </x:c>
      <x:c r="H44" s="29" t="str">
        <x:v>A free September 9 editorial highlighted AVAV's bookings, backlog and counter-drone demand.</x:v>
      </x:c>
      <x:c r="I44" s="29" t="str">
        <x:v>Research trigger only</x:v>
      </x:c>
      <x:c r="J44" s="29" t="n">
        <x:v>2</x:v>
      </x:c>
      <x:c r="K44" s="29" t="str">
        <x:v>Not treated as confirmation or an expert enhancer; disclosed-position detail was not visible in the accessible excerpt.</x:v>
      </x:c>
    </x:row>
    <x:row r="45">
      <x:c r="A45" s="27" t="str">
        <x:v>EV-2026-040</x:v>
      </x:c>
      <x:c r="B45" s="27" t="str">
        <x:v>EEI-2026-007</x:v>
      </x:c>
      <x:c r="C45" s="28" t="n">
        <x:v>46279.38055555556</x:v>
      </x:c>
      <x:c r="D45" s="27" t="str">
        <x:v>Supporting</x:v>
      </x:c>
      <x:c r="E45" s="27" t="str">
        <x:v>AeroVironment SEC Form 10-Q</x:v>
      </x:c>
      <x:c r="F45" s="27" t="str">
        <x:v>Primary company filing</x:v>
      </x:c>
      <x:c r="G45" s="29" t="str">
        <x:v>https://www.sec.gov/Archives/edgar/data/1368622/000110465926106423/avav-20260801x10q.htm</x:v>
      </x:c>
      <x:c r="H45" s="29" t="str">
        <x:v>Q1 revenue was $480.5 million; Autonomous Systems revenue rose 21% to $346 million; funded backlog was about $1.46 billion, with 78% expected in fiscal 2027.</x:v>
      </x:c>
      <x:c r="I45" s="29" t="str">
        <x:v>Strengthens</x:v>
      </x:c>
      <x:c r="J45" s="29" t="n">
        <x:v>5</x:v>
      </x:c>
      <x:c r="K45" s="29" t="str">
        <x:v>Space, Cyber and Directed Energy revenue declined 21%, inventory increased and material weaknesses remained.</x:v>
      </x:c>
    </x:row>
    <x:row r="46">
      <x:c r="A46" s="27" t="str">
        <x:v>EV-2026-041</x:v>
      </x:c>
      <x:c r="B46" s="27" t="str">
        <x:v>EEI-2026-001</x:v>
      </x:c>
      <x:c r="C46" s="28" t="n">
        <x:v>46279.850694444445</x:v>
      </x:c>
      <x:c r="D46" s="27" t="str">
        <x:v>Market confirmation</x:v>
      </x:c>
      <x:c r="E46" s="27" t="str">
        <x:v>Reuters</x:v>
      </x:c>
      <x:c r="F46" s="27" t="str">
        <x:v>High quality reporting</x:v>
      </x:c>
      <x:c r="G46" s="29" t="str">
        <x:v>https://www.reuters.com/business/energy/oil-prices-jump-more-than-3-after-new-strikes-saudi-strait-hormuz-2026-09-13/</x:v>
      </x:c>
      <x:c r="H46" s="29" t="str">
        <x:v>Brent settled at $105.68 and WTI at $101.39 on September 14. Hormuz commodity-vessel transits fell to single digits per day, and the Saudi East-West pipeline remained out of service after an attack.</x:v>
      </x:c>
      <x:c r="I46" s="29" t="str">
        <x:v>Strengthens thesis; confirms event sensitivity</x:v>
      </x:c>
      <x:c r="J46" s="29" t="n">
        <x:v>4</x:v>
      </x:c>
      <x:c r="K46" s="29" t="str">
        <x:v>Both benchmarks gained about 1%, but they surrendered most of an almost 5% intraday rise after President Trump said Iran wanted a deal. The physical supply mechanism remains active while the rapid reversal confirms the de-escalation risk and supports keeping the Entry Window at WAIT.</x:v>
      </x:c>
    </x:row>
    <x:row r="47">
      <x:c r="A47" s="27" t="str">
        <x:v>EV-2026-042</x:v>
      </x:c>
      <x:c r="B47" s="27" t="str">
        <x:v>EEI-2026-001</x:v>
      </x:c>
      <x:c r="C47" s="28" t="n">
        <x:v>46279.850694444445</x:v>
      </x:c>
      <x:c r="D47" s="27" t="str">
        <x:v>Paper-trade outcome</x:v>
      </x:c>
      <x:c r="E47" s="27" t="str">
        <x:v>StockAnalysis / S&amp;P Global Market Intelligence</x:v>
      </x:c>
      <x:c r="F47" s="27" t="str">
        <x:v>Market data</x:v>
      </x:c>
      <x:c r="G47" s="29" t="str">
        <x:v>https://stockanalysis.com/etf/bno/</x:v>
      </x:c>
      <x:c r="H47" s="29" t="str">
        <x:v>BNO closed at $62.15 on September 14 versus the $57.21 September 8 opening entry, valuing the $1,000 paper position at $1,086.35 for an $86.35 gain, or 8.63%.</x:v>
      </x:c>
      <x:c r="I47" s="29" t="str">
        <x:v>Strengthens expression</x:v>
      </x:c>
      <x:c r="J47" s="29" t="n">
        <x:v>5</x:v>
      </x:c>
      <x:c r="K47" s="29" t="str">
        <x:v>BNO remains the best-performing and cleanest of the three expressions, consistent with the original ranking of Brent-linked exposure for a global seaborne supply shock.</x:v>
      </x:c>
    </x:row>
    <x:row r="48">
      <x:c r="A48" s="27" t="str">
        <x:v>EV-2026-043</x:v>
      </x:c>
      <x:c r="B48" s="27" t="str">
        <x:v>EEI-2026-001</x:v>
      </x:c>
      <x:c r="C48" s="28" t="n">
        <x:v>46279.850694444445</x:v>
      </x:c>
      <x:c r="D48" s="27" t="str">
        <x:v>Paper-trade outcome</x:v>
      </x:c>
      <x:c r="E48" s="27" t="str">
        <x:v>StockAnalysis / S&amp;P Global Market Intelligence</x:v>
      </x:c>
      <x:c r="F48" s="27" t="str">
        <x:v>Market data</x:v>
      </x:c>
      <x:c r="G48" s="29" t="str">
        <x:v>https://stockanalysis.com/etf/uso/history/</x:v>
      </x:c>
      <x:c r="H48" s="29" t="str">
        <x:v>USO closed at $156.67 on September 14 versus the $144.60 September 8 opening entry, valuing the $1,000 paper position at $1,083.47 for an $83.47 gain, or 8.35%.</x:v>
      </x:c>
      <x:c r="I48" s="29" t="str">
        <x:v>Strengthens expression</x:v>
      </x:c>
      <x:c r="J48" s="29" t="n">
        <x:v>5</x:v>
      </x:c>
      <x:c r="K48" s="29" t="str">
        <x:v>WTI-linked exposure continues to track the predicted crude-price direction nearly as well as BNO.</x:v>
      </x:c>
    </x:row>
    <x:row r="49">
      <x:c r="A49" s="27" t="str">
        <x:v>EV-2026-044</x:v>
      </x:c>
      <x:c r="B49" s="27" t="str">
        <x:v>EEI-2026-001</x:v>
      </x:c>
      <x:c r="C49" s="28" t="n">
        <x:v>46279.850694444445</x:v>
      </x:c>
      <x:c r="D49" s="27" t="str">
        <x:v>Paper-trade outcome</x:v>
      </x:c>
      <x:c r="E49" s="27" t="str">
        <x:v>Nasdaq market data</x:v>
      </x:c>
      <x:c r="F49" s="27" t="str">
        <x:v>Primary market data</x:v>
      </x:c>
      <x:c r="G49" s="29" t="str">
        <x:v>https://www.nasdaq.com/market-activity/etf/xop/historical</x:v>
      </x:c>
      <x:c r="H49" s="29" t="str">
        <x:v>XOP closed near $193.55 on September 14 versus the $193.84 September 8 opening entry, valuing the $1,000 paper position at $998.50 for a $1.50 loss, or 0.15%.</x:v>
      </x:c>
      <x:c r="I49" s="29" t="str">
        <x:v>Weakens indirect expression</x:v>
      </x:c>
      <x:c r="J49" s="29" t="n">
        <x:v>5</x:v>
      </x:c>
      <x:c r="K49" s="29" t="str">
        <x:v>Producer equities diverged from direct crude exposure and erased their small prior gain. This does not invalidate the crude-supply thesis; it shows company, equity-market and instrument-mapping risks in XOP.</x:v>
      </x:c>
    </x:row>
    <x:row r="50">
      <x:c r="A50" s="27" t="str">
        <x:v>EV-2026-045</x:v>
      </x:c>
      <x:c r="B50" s="27"/>
      <x:c r="C50" s="28" t="n">
        <x:v>46279.38055555556</x:v>
      </x:c>
      <x:c r="D50" s="27" t="str">
        <x:v>Rejected Motley Fool trigger</x:v>
      </x:c>
      <x:c r="E50" s="27" t="str">
        <x:v>The Motley Fool — Dave Kovaleski</x:v>
      </x:c>
      <x:c r="F50" s="27" t="str">
        <x:v>Idea generator only</x:v>
      </x:c>
      <x:c r="G50" s="29" t="str">
        <x:v>https://www.fool.com/investing/2026/09/14/this-memory-sector-sleeper-stock-hits-a-profitabil/</x:v>
      </x:c>
      <x:c r="H50" s="29" t="str">
        <x:v>A September 14 Everspin article recycled a $40 million defense contract announced in April while the company remained loss-making.</x:v>
      </x:c>
      <x:c r="I50" s="29" t="str">
        <x:v>Rejected</x:v>
      </x:c>
      <x:c r="J50" s="29" t="n">
        <x:v>2</x:v>
      </x:c>
      <x:c r="K50" s="29" t="str">
        <x:v>No new thesis created: the catalyst was not new, profitability was not established and cash-flow improvement was insufficient. Reopen only on new primary evidence.</x:v>
      </x:c>
    </x:row>
    <x:row r="51">
      <x:c r="A51" s="27" t="str">
        <x:v>EV-2026-046</x:v>
      </x:c>
      <x:c r="B51" s="27"/>
      <x:c r="C51" s="28" t="n">
        <x:v>46279.38055555556</x:v>
      </x:c>
      <x:c r="D51" s="27" t="str">
        <x:v>Rejected Motley Fool trigger</x:v>
      </x:c>
      <x:c r="E51" s="27" t="str">
        <x:v>The Motley Fool</x:v>
      </x:c>
      <x:c r="F51" s="27" t="str">
        <x:v>Idea generator only</x:v>
      </x:c>
      <x:c r="G51" s="29" t="str">
        <x:v>https://www.fool.com/investing/2026/09/14/next-gen-defense-stock-down-screaming-buy-krknf/</x:v>
      </x:c>
      <x:c r="H51" s="29" t="str">
        <x:v>A September 14 article promoted Kraken Robotics despite acknowledging weak recent results and high risk.</x:v>
      </x:c>
      <x:c r="I51" s="29" t="str">
        <x:v>Rejected</x:v>
      </x:c>
      <x:c r="J51" s="29" t="n">
        <x:v>2</x:v>
      </x:c>
      <x:c r="K51" s="29" t="str">
        <x:v>Did not clear the basic relevance/materiality threshold: no discrete new catalyst and elevated microcap, foreign-market and liquidity risk. No thesis created.</x:v>
      </x:c>
    </x:row>
    <x:row r="52">
      <x:c r="A52" s="27" t="str">
        <x:v>EV-2026-047</x:v>
      </x:c>
      <x:c r="B52" s="27" t="str">
        <x:v>EEI-2026-007</x:v>
      </x:c>
      <x:c r="C52" s="28" t="n">
        <x:v>46279.38055555556</x:v>
      </x:c>
      <x:c r="D52" s="27" t="str">
        <x:v>Contradictory</x:v>
      </x:c>
      <x:c r="E52" s="27" t="str">
        <x:v>AeroVironment SEC Form 8-K</x:v>
      </x:c>
      <x:c r="F52" s="27" t="str">
        <x:v>Primary company filing</x:v>
      </x:c>
      <x:c r="G52" s="29" t="str">
        <x:v>https://www.sec.gov/Archives/edgar/data/1368622/000110465926076140/avav-20260616x8k.htm</x:v>
      </x:c>
      <x:c r="H52" s="29" t="str">
        <x:v>The audit committee determined that the January 31, 2026 quarterly statements required restatement because of an error in the Space reporting-unit goodwill impairment analysis.</x:v>
      </x:c>
      <x:c r="I52" s="29" t="str">
        <x:v>Weakens</x:v>
      </x:c>
      <x:c r="J52" s="29" t="n">
        <x:v>5</x:v>
      </x:c>
      <x:c r="K52" s="29" t="str">
        <x:v>This restores a primary-source contradiction that had dropped out of the prior ledger version. It supports continued accounting-control and profitability caution despite demand strength.</x:v>
      </x:c>
    </x:row>
    <x:row r="53">
      <x:c r="A53" s="27" t="str">
        <x:v>EV-2026-048</x:v>
      </x:c>
      <x:c r="B53" s="27" t="str">
        <x:v>EEI-2026-008</x:v>
      </x:c>
      <x:c r="C53" s="28" t="n">
        <x:v>46279.38055555556</x:v>
      </x:c>
      <x:c r="D53" s="27" t="str">
        <x:v>Trigger</x:v>
      </x:c>
      <x:c r="E53" s="27" t="str">
        <x:v>Reuters</x:v>
      </x:c>
      <x:c r="F53" s="27" t="str">
        <x:v>High quality reporting</x:v>
      </x:c>
      <x:c r="G53" s="29" t="str">
        <x:v>https://www.reuters.com/world/china/elmet-group-wins-2-billion-us-tungsten-stockpile-contract-2026-09-14/</x:v>
      </x:c>
      <x:c r="H53" s="29" t="str">
        <x:v>Reuters reported that an Elmet subsidiary won a Defense Logistics Agency tungsten stockpile award with a $150 million guaranteed commitment and a potential value near $2 billion.</x:v>
      </x:c>
      <x:c r="I53" s="29" t="str">
        <x:v>Strengthens</x:v>
      </x:c>
      <x:c r="J53" s="29" t="n">
        <x:v>4</x:v>
      </x:c>
      <x:c r="K53" s="29" t="str">
        <x:v>New award as reported, not a routine modification. Recipient subsidiary, award identifier, PSC/NAICS, competition, period and obligated schedule remain unavailable pending primary award indexing.</x:v>
      </x:c>
    </x:row>
    <x:row r="54">
      <x:c r="A54" s="27" t="str">
        <x:v>EV-2026-049</x:v>
      </x:c>
      <x:c r="B54" s="27" t="str">
        <x:v>EEI-2026-008</x:v>
      </x:c>
      <x:c r="C54" s="28" t="n">
        <x:v>46279.38055555556</x:v>
      </x:c>
      <x:c r="D54" s="27" t="str">
        <x:v>Supporting</x:v>
      </x:c>
      <x:c r="E54" s="27" t="str">
        <x:v>U.S. Department of War</x:v>
      </x:c>
      <x:c r="F54" s="27" t="str">
        <x:v>Primary government source</x:v>
      </x:c>
      <x:c r="G54" s="29" t="str">
        <x:v>https://www.war.gov/News/Releases/Release/Article/4599882/department-of-war-announces-a-450-million-investment-in-the-elmet-group-to-secu/</x:v>
      </x:c>
      <x:c r="H54" s="29" t="str">
        <x:v>The Department announced a $450 million redeemable preferred-equity investment in Elmet through the Industrial Base Analysis and Sustainment program and said Elmet supports more than 100 defense programs.</x:v>
      </x:c>
      <x:c r="I54" s="29" t="str">
        <x:v>Strengthens</x:v>
      </x:c>
      <x:c r="J54" s="29" t="n">
        <x:v>5</x:v>
      </x:c>
      <x:c r="K54" s="29" t="str">
        <x:v>Confirms a separate government capital commitment and the domestic tungsten-capacity mechanism. It is not the DLA award record and should not be merged with that award's value.</x:v>
      </x:c>
    </x:row>
    <x:row r="55">
      <x:c r="A55" s="27" t="str">
        <x:v>EV-2026-050</x:v>
      </x:c>
      <x:c r="B55" s="27" t="str">
        <x:v>EEI-2026-008</x:v>
      </x:c>
      <x:c r="C55" s="28" t="n">
        <x:v>46279.38055555556</x:v>
      </x:c>
      <x:c r="D55" s="27" t="str">
        <x:v>Contradictory</x:v>
      </x:c>
      <x:c r="E55" s="27" t="str">
        <x:v>Elmet Group SEC filing</x:v>
      </x:c>
      <x:c r="F55" s="27" t="str">
        <x:v>Primary company filing</x:v>
      </x:c>
      <x:c r="G55" s="29" t="str">
        <x:v>https://www.sec.gov/Archives/edgar/data/2101698/000162828026056460/elmt-20260703.htm</x:v>
      </x:c>
      <x:c r="H55" s="29" t="str">
        <x:v>Elmet's latest quarterly filing shows a newly public company with limited operating history, material project-execution needs and financing dependence.</x:v>
      </x:c>
      <x:c r="I55" s="29" t="str">
        <x:v>Mixed</x:v>
      </x:c>
      <x:c r="J55" s="29" t="n">
        <x:v>5</x:v>
      </x:c>
      <x:c r="K55" s="29" t="str">
        <x:v>The reported government commitments are very large relative to Elmet's roughly $400 million market capitalization, which increases both materiality and execution/dilution risk.</x:v>
      </x:c>
    </x:row>
    <x:row r="56">
      <x:c r="A56" s="27" t="str">
        <x:v>EV-2026-051</x:v>
      </x:c>
      <x:c r="B56" s="27" t="str">
        <x:v>EEI-2026-008</x:v>
      </x:c>
      <x:c r="C56" s="28" t="n">
        <x:v>46280.34236111111</x:v>
      </x:c>
      <x:c r="D56" s="27" t="str">
        <x:v>Market confirmation</x:v>
      </x:c>
      <x:c r="E56" s="27" t="str">
        <x:v>Barron's</x:v>
      </x:c>
      <x:c r="F56" s="27" t="str">
        <x:v>Independent financial reporting</x:v>
      </x:c>
      <x:c r="G56" s="29" t="str">
        <x:v>https://www.barrons.com/articles/elmet-stock-pentagon-tungsten-deal-5c0ce250</x:v>
      </x:c>
      <x:c r="H56" s="29" t="str">
        <x:v>Elmet closed September 14 at $21.56, up about 33%. Barron's reported an initial $200 million disbursement, milestone-tied remaining capital and government warrants for up to 19.9% of shares.</x:v>
      </x:c>
      <x:c r="I56" s="29" t="str">
        <x:v>Strengthens thesis; weakens entry</x:v>
      </x:c>
      <x:c r="J56" s="29" t="n">
        <x:v>4</x:v>
      </x:c>
      <x:c r="K56" s="29" t="str">
        <x:v>The reaction confirms materiality and market recognition, but the gap and dilution terms reduce remaining trading edge. Entry Window stays WAIT.</x:v>
      </x:c>
    </x:row>
    <x:row r="57">
      <x:c r="A57" s="27" t="str">
        <x:v>EV-2026-052</x:v>
      </x:c>
      <x:c r="B57" s="27" t="str">
        <x:v>EEI-2026-001</x:v>
      </x:c>
      <x:c r="C57" s="28" t="n">
        <x:v>46280.34236111111</x:v>
      </x:c>
      <x:c r="D57" s="27" t="str">
        <x:v>Market and physical confirmation</x:v>
      </x:c>
      <x:c r="E57" s="27" t="str">
        <x:v>Reuters</x:v>
      </x:c>
      <x:c r="F57" s="27" t="str">
        <x:v>High quality reporting</x:v>
      </x:c>
      <x:c r="G57" s="29" t="str">
        <x:v>https://www.reuters.com/business/energy/oil-prices-rise-saudi-pipeline-outage-fresh-attacks-raise-supply-concerns-2026-09-15/</x:v>
      </x:c>
      <x:c r="H57" s="29" t="str">
        <x:v>Brent traded above $107 while Saudi Arabia's East-West pipeline remained out of service and attacks continued, leaving a material share of global supply exposed.</x:v>
      </x:c>
      <x:c r="I57" s="29" t="str">
        <x:v>Strengthens thesis; entry unchanged</x:v>
      </x:c>
      <x:c r="J57" s="29" t="n">
        <x:v>4</x:v>
      </x:c>
      <x:c r="K57" s="29" t="str">
        <x:v>The physical mechanism remains intact, but the prior rally and repeated headline gaps leave trading edge at 1/5 and Entry Window WAIT.</x:v>
      </x:c>
    </x:row>
    <x:row r="58">
      <x:c r="A58" s="27" t="str">
        <x:v>EV-2026-053</x:v>
      </x:c>
      <x:c r="B58" s="27" t="str">
        <x:v>EEI-2026-001</x:v>
      </x:c>
      <x:c r="C58" s="28" t="n">
        <x:v>46280.34236111111</x:v>
      </x:c>
      <x:c r="D58" s="27" t="str">
        <x:v>Contradictory</x:v>
      </x:c>
      <x:c r="E58" s="27" t="str">
        <x:v>Reuters</x:v>
      </x:c>
      <x:c r="F58" s="27" t="str">
        <x:v>High quality reporting</x:v>
      </x:c>
      <x:c r="G58" s="29" t="str">
        <x:v>https://www.reuters.com/world/middle-east/saudi-civil-defence-says-danger-has-passed-six-cities-including-yanbu-2026-09-15/</x:v>
      </x:c>
      <x:c r="H58" s="29" t="str">
        <x:v>Saudi Civil Defence said the immediate danger had passed in six cities including Yanbu.</x:v>
      </x:c>
      <x:c r="I58" s="29" t="str">
        <x:v>Mixed</x:v>
      </x:c>
      <x:c r="J58" s="29" t="n">
        <x:v>4</x:v>
      </x:c>
      <x:c r="K58" s="29" t="str">
        <x:v>This reduces immediate escalation risk but does not by itself confirm pipeline restoration or normalized Hormuz shipping.</x:v>
      </x:c>
    </x:row>
    <x:row r="59">
      <x:c r="A59" s="27" t="str">
        <x:v>EV-2026-054</x:v>
      </x:c>
      <x:c r="B59" s="27" t="str"/>
      <x:c r="C59" s="28" t="n">
        <x:v>46280.34236111111</x:v>
      </x:c>
      <x:c r="D59" s="27" t="str">
        <x:v>Rejected Motley Fool trigger</x:v>
      </x:c>
      <x:c r="E59" s="27" t="str">
        <x:v>The Motley Fool — Sara Appino</x:v>
      </x:c>
      <x:c r="F59" s="27" t="str">
        <x:v>Idea generator only</x:v>
      </x:c>
      <x:c r="G59" s="29" t="str">
        <x:v>https://www.fool.com/coverage/better-buy/2026/09/15/lucid-vs-rtx-which-stock-is-a-better-buy-in-2026/</x:v>
      </x:c>
      <x:c r="H59" s="29" t="str">
        <x:v>Free public editorial preferred RTX to Lucid based on backlog, profitability and defense/aerospace demand. The author disclosed no position; Motley Fool disclosed positions in and recommendations for RTX.</x:v>
      </x:c>
      <x:c r="I59" s="29" t="str">
        <x:v>Rejected</x:v>
      </x:c>
      <x:c r="J59" s="29" t="n">
        <x:v>2</x:v>
      </x:c>
      <x:c r="K59" s="29" t="str">
        <x:v>No new company-specific catalyst beyond already public results and defense-demand themes. Did not clear the distinct-thesis relevance threshold.</x:v>
      </x:c>
    </x:row>
    <x:row r="60">
      <x:c r="A60" s="27" t="str">
        <x:v>EV-2026-055</x:v>
      </x:c>
      <x:c r="B60" s="27" t="str"/>
      <x:c r="C60" s="28" t="n">
        <x:v>46280.34236111111</x:v>
      </x:c>
      <x:c r="D60" s="27" t="str">
        <x:v>Rejected Motley Fool trigger</x:v>
      </x:c>
      <x:c r="E60" s="27" t="str">
        <x:v>The Motley Fool — Erin Kennedy</x:v>
      </x:c>
      <x:c r="F60" s="27" t="str">
        <x:v>Idea generator only</x:v>
      </x:c>
      <x:c r="G60" s="29" t="str">
        <x:v>https://www.fool.com/coverage/better-buy/2026/09/15/applied-materials-vs-qualcomm-which-tech-stock-is-a-better-buy-in-2026/</x:v>
      </x:c>
      <x:c r="H60" s="29" t="str">
        <x:v>Free public comparison article evaluated AMAT and QCOM using reported financial metrics and long-running semiconductor themes.</x:v>
      </x:c>
      <x:c r="I60" s="29" t="str">
        <x:v>Rejected</x:v>
      </x:c>
      <x:c r="J60" s="29" t="n">
        <x:v>2</x:v>
      </x:c>
      <x:c r="K60" s="29" t="str">
        <x:v>No newly verified catalyst or material non-consensus change. Promotional or comparative opinion was not treated as evidence.</x:v>
      </x:c>
    </x:row>
    <x:row r="61">
      <x:c r="A61" s="27" t="str">
        <x:v>EV-2026-056</x:v>
      </x:c>
      <x:c r="B61" s="27" t="str">
        <x:v>EEI-2026-001</x:v>
      </x:c>
      <x:c r="C61" s="28" t="n">
        <x:v>46280.84722222222</x:v>
      </x:c>
      <x:c r="D61" s="27" t="str">
        <x:v>Market and physical confirmation</x:v>
      </x:c>
      <x:c r="E61" s="27" t="str">
        <x:v>Reuters</x:v>
      </x:c>
      <x:c r="F61" s="27" t="str">
        <x:v>High quality reporting</x:v>
      </x:c>
      <x:c r="G61" s="29" t="str">
        <x:v>https://www.reuters.com/business/energy/oil-prices-rise-saudi-pipeline-outage-fresh-attacks-raise-supply-concerns-2026-09-15/</x:v>
      </x:c>
      <x:c r="H61" s="29" t="str">
        <x:v>Brent settled at $108.75 and WTI at $105.83 on September 15. Loadings at Saudi Arabia's Yanbu terminal were suspended and some European cargoes were cancelled after the East-West pipeline disruption.</x:v>
      </x:c>
      <x:c r="I61" s="29" t="str">
        <x:v>Strengthens thesis; entry unchanged</x:v>
      </x:c>
      <x:c r="J61" s="29" t="n">
        <x:v>4</x:v>
      </x:c>
      <x:c r="K61" s="29" t="str">
        <x:v>The predicted mechanism is operating: constrained Gulf and bypass-route supply is raising crude prices. Libya and Russia added confirming supply pressure. A quick Saudi repair remains the most important near-term counterweight, so the Entry Window stays WAIT.</x:v>
      </x:c>
    </x:row>
    <x:row r="62">
      <x:c r="A62" s="27" t="str">
        <x:v>EV-2026-057</x:v>
      </x:c>
      <x:c r="B62" s="27" t="str">
        <x:v>EEI-2026-001</x:v>
      </x:c>
      <x:c r="C62" s="28" t="n">
        <x:v>46280.84722222222</x:v>
      </x:c>
      <x:c r="D62" s="27" t="str">
        <x:v>Paper-trade outcome</x:v>
      </x:c>
      <x:c r="E62" s="27" t="str">
        <x:v>StockAnalysis / S&amp;P Global Market Intelligence</x:v>
      </x:c>
      <x:c r="F62" s="27" t="str">
        <x:v>Market data</x:v>
      </x:c>
      <x:c r="G62" s="29" t="str">
        <x:v>https://stockanalysis.com/etf/bno/history/</x:v>
      </x:c>
      <x:c r="H62" s="29" t="str">
        <x:v>BNO closed at $63.50 on September 15 versus the $57.21 September 8 opening entry, valuing the $1,000 paper position at $1,109.95 for a $109.95 gain, or 10.99%.</x:v>
      </x:c>
      <x:c r="I62" s="29" t="str">
        <x:v>Strengthens expression</x:v>
      </x:c>
      <x:c r="J62" s="29" t="n">
        <x:v>5</x:v>
      </x:c>
      <x:c r="K62" s="29" t="str">
        <x:v>BNO remains the cleanest thesis mapping and continues to confirm the original ranking of Brent-linked exposure for a global seaborne supply shock.</x:v>
      </x:c>
    </x:row>
    <x:row r="63">
      <x:c r="A63" s="27" t="str">
        <x:v>EV-2026-058</x:v>
      </x:c>
      <x:c r="B63" s="27" t="str">
        <x:v>EEI-2026-001</x:v>
      </x:c>
      <x:c r="C63" s="28" t="n">
        <x:v>46280.84722222222</x:v>
      </x:c>
      <x:c r="D63" s="27" t="str">
        <x:v>Paper-trade outcome</x:v>
      </x:c>
      <x:c r="E63" s="27" t="str">
        <x:v>StockAnalysis / S&amp;P Global Market Intelligence</x:v>
      </x:c>
      <x:c r="F63" s="27" t="str">
        <x:v>Market data</x:v>
      </x:c>
      <x:c r="G63" s="29" t="str">
        <x:v>https://stockanalysis.com/etf/uso/history/</x:v>
      </x:c>
      <x:c r="H63" s="29" t="str">
        <x:v>USO closed at $161.73 on September 15 versus the $144.60 September 8 opening entry, valuing the $1,000 paper position at $1,118.46 for a $118.46 gain, or 11.85%.</x:v>
      </x:c>
      <x:c r="I63" s="29" t="str">
        <x:v>Strengthens expression</x:v>
      </x:c>
      <x:c r="J63" s="29" t="n">
        <x:v>5</x:v>
      </x:c>
      <x:c r="K63" s="29" t="str">
        <x:v>USO is the best-performing paper position at this close; WTI-linked exposure is tracking the predicted crude-price direction at least as strongly as BNO over this short test.</x:v>
      </x:c>
    </x:row>
    <x:row r="64">
      <x:c r="A64" s="27" t="str">
        <x:v>EV-2026-059</x:v>
      </x:c>
      <x:c r="B64" s="27" t="str">
        <x:v>EEI-2026-001</x:v>
      </x:c>
      <x:c r="C64" s="28" t="n">
        <x:v>46280.84722222222</x:v>
      </x:c>
      <x:c r="D64" s="27" t="str">
        <x:v>Paper-trade outcome</x:v>
      </x:c>
      <x:c r="E64" s="27" t="str">
        <x:v>StockAnalysis / S&amp;P Global Market Intelligence</x:v>
      </x:c>
      <x:c r="F64" s="27" t="str">
        <x:v>Market data</x:v>
      </x:c>
      <x:c r="G64" s="29" t="str">
        <x:v>https://stockanalysis.com/etf/xop/history/</x:v>
      </x:c>
      <x:c r="H64" s="29" t="str">
        <x:v>XOP closed at $199.70 on September 15 versus the $193.84 September 8 opening entry, valuing the $1,000 paper position at $1,030.23 for a $30.23 gain, or 3.02%.</x:v>
      </x:c>
      <x:c r="I64" s="29" t="str">
        <x:v>Mixed expression</x:v>
      </x:c>
      <x:c r="J64" s="29" t="n">
        <x:v>5</x:v>
      </x:c>
      <x:c r="K64" s="29" t="str">
        <x:v>Producer equities recovered and now confirm the direction, but XOP still materially trails the direct crude funds. The gap isolates expression risk rather than invalidating the supply thesis.</x:v>
      </x:c>
    </x:row>
    <x:row r="65">
      <x:c r="A65" s="27" t="str">
        <x:v>EV-2026-060</x:v>
      </x:c>
      <x:c r="B65" s="27" t="str">
        <x:v>EEI-2026-003</x:v>
      </x:c>
      <x:c r="C65" s="28" t="n">
        <x:v>46280.654594907406</x:v>
      </x:c>
      <x:c r="D65" s="27" t="str">
        <x:v>Contradictory</x:v>
      </x:c>
      <x:c r="E65" s="27" t="str">
        <x:v>Reuters</x:v>
      </x:c>
      <x:c r="F65" s="27" t="str">
        <x:v>High quality reporting</x:v>
      </x:c>
      <x:c r="G65" s="29" t="str">
        <x:v>https://www.reuters.com/business/wells-fargo-trims-sp-500-indexs-year-end-target-7700-2026-09-15/</x:v>
      </x:c>
      <x:c r="H65" s="29" t="str">
        <x:v>Wells Fargo reduced its S&amp;P 500 year-end target to 7,700 from 7,950, citing limited further catalysts and rising political and sector-specific risks.</x:v>
      </x:c>
      <x:c r="I65" s="29" t="str">
        <x:v>Modestly weakens equity backdrop</x:v>
      </x:c>
      <x:c r="J65" s="29" t="n">
        <x:v>3</x:v>
      </x:c>
      <x:c r="K65" s="29" t="str">
        <x:v>This is an analyst opinion and therefore an enhancer or contradiction, not primary proof. It does not override supportive earnings evidence or determine the thesis stage by itself.</x:v>
      </x:c>
    </x:row>
    <x:row r="66">
      <x:c r="A66" s="27" t="str">
        <x:v>EV-2026-061</x:v>
      </x:c>
      <x:c r="B66" s="27" t="str">
        <x:v>EEI-2026-009</x:v>
      </x:c>
      <x:c r="C66" s="28" t="n">
        <x:v>46281.32777777778</x:v>
      </x:c>
      <x:c r="D66" s="27" t="str">
        <x:v>Trigger and market confirmation</x:v>
      </x:c>
      <x:c r="E66" s="27" t="str">
        <x:v>Reuters / LSEG</x:v>
      </x:c>
      <x:c r="F66" s="27" t="str">
        <x:v>High quality reporting and market data</x:v>
      </x:c>
      <x:c r="G66" s="29" t="str">
        <x:v>https://www.reuters.com/business/energy/asia-diesel-refining-margins-record-high-more-than-87-barrel-data-shows-2026-09-16/</x:v>
      </x:c>
      <x:c r="H66" s="29" t="str">
        <x:v>Asian 10ppm diesel refining margins rose above $87 per barrel, an all-time high, while the front-month time spread exceeded $11 and spot cargo availability remained limited.</x:v>
      </x:c>
      <x:c r="I66" s="29" t="str">
        <x:v>Strengthens</x:v>
      </x:c>
      <x:c r="J66" s="29" t="n">
        <x:v>4</x:v>
      </x:c>
      <x:c r="K66" s="29" t="str">
        <x:v>Creates a distinct refined-products thesis rather than merely repeating the crude thesis. Record levels also weaken the Entry Window.</x:v>
      </x:c>
    </x:row>
    <x:row r="67">
      <x:c r="A67" s="27" t="str">
        <x:v>EV-2026-062</x:v>
      </x:c>
      <x:c r="B67" s="27" t="str">
        <x:v>EEI-2026-009</x:v>
      </x:c>
      <x:c r="C67" s="28" t="n">
        <x:v>46281.32777777778</x:v>
      </x:c>
      <x:c r="D67" s="27" t="str">
        <x:v>Supporting and fundamental confirmation</x:v>
      </x:c>
      <x:c r="E67" s="27" t="str">
        <x:v>Reuters</x:v>
      </x:c>
      <x:c r="F67" s="27" t="str">
        <x:v>High quality reporting</x:v>
      </x:c>
      <x:c r="G67" s="29" t="str">
        <x:v>https://www.reuters.com/business/energy/dangote-profits-europe-fuel-crunch-ipo-tests-investor-appetite-2026-09-15/</x:v>
      </x:c>
      <x:c r="H67" s="29" t="str">
        <x:v>Reuters reported that Middle East disruption cut European diesel and jet-fuel supply by roughly one quarter, left inventories at a 12-year low and helped Dangote post $1.82 billion of first-half profit on more than $13 billion of revenue.</x:v>
      </x:c>
      <x:c r="I67" s="29" t="str">
        <x:v>Strengthens</x:v>
      </x:c>
      <x:c r="J67" s="29" t="n">
        <x:v>4</x:v>
      </x:c>
      <x:c r="K67" s="29" t="str">
        <x:v>Confirms both physical scarcity and the causal path from wider cracks to refinery earnings. Dangote is not yet publicly traded.</x:v>
      </x:c>
    </x:row>
    <x:row r="68">
      <x:c r="A68" s="27" t="str">
        <x:v>EV-2026-063</x:v>
      </x:c>
      <x:c r="B68" s="27" t="str">
        <x:v>EEI-2026-001</x:v>
      </x:c>
      <x:c r="C68" s="28" t="n">
        <x:v>46281.32777777778</x:v>
      </x:c>
      <x:c r="D68" s="27" t="str">
        <x:v>Contradictory and modifier</x:v>
      </x:c>
      <x:c r="E68" s="27" t="str">
        <x:v>Reuters</x:v>
      </x:c>
      <x:c r="F68" s="27" t="str">
        <x:v>High quality reporting</x:v>
      </x:c>
      <x:c r="G68" s="29" t="str">
        <x:v>https://www.reuters.com/business/energy/oil-falls-us-crude-inventories-rise-despite-saudi-supply-concerns-2026-09-16/</x:v>
      </x:c>
      <x:c r="H68" s="29" t="str">
        <x:v>Saudi Arabia began offering more crude via Oman's Sohar port while API data showed a 7.1 million-barrel U.S. crude inventory build. Oil prices eased as the market weighed rerouting against continuing disruption.</x:v>
      </x:c>
      <x:c r="I68" s="29" t="str">
        <x:v>Weakens near-term edge</x:v>
      </x:c>
      <x:c r="J68" s="29" t="n">
        <x:v>4</x:v>
      </x:c>
      <x:c r="K68" s="29" t="str">
        <x:v>The bypass is evidence that adaptation is working. It does not yet prove normal Gulf flows, so status and Entry Window remain unchanged.</x:v>
      </x:c>
    </x:row>
    <x:row r="69">
      <x:c r="A69" s="27" t="str">
        <x:v>EV-2026-064</x:v>
      </x:c>
      <x:c r="B69" s="27" t="str">
        <x:v>EEI-2026-001</x:v>
      </x:c>
      <x:c r="C69" s="28" t="n">
        <x:v>46281.32777777778</x:v>
      </x:c>
      <x:c r="D69" s="27" t="str">
        <x:v>Contradictory and modifier</x:v>
      </x:c>
      <x:c r="E69" s="27" t="str">
        <x:v>Reuters via Investing.com</x:v>
      </x:c>
      <x:c r="F69" s="27" t="str">
        <x:v>High quality reporting</x:v>
      </x:c>
      <x:c r="G69" s="29" t="str">
        <x:v>https://www.investing.com/news/commodities-news/us-energy-chief-says-saudi-arabia-oil-pipeline-should-be-back-online-within-days-4902318</x:v>
      </x:c>
      <x:c r="H69" s="29" t="str">
        <x:v>U.S. Energy Secretary Chris Wright said Saudi Arabia's East-West pipeline should return to service within days.</x:v>
      </x:c>
      <x:c r="I69" s="29" t="str">
        <x:v>Weakens near-term edge</x:v>
      </x:c>
      <x:c r="J69" s="29" t="n">
        <x:v>3</x:v>
      </x:c>
      <x:c r="K69" s="29" t="str">
        <x:v>This is an official's expectation rather than Saudi operator confirmation. Verified restoration would be a stronger contradiction and could materially change the thesis.</x:v>
      </x:c>
    </x:row>
    <x:row r="70">
      <x:c r="A70" s="27" t="str">
        <x:v>EV-2026-065</x:v>
      </x:c>
      <x:c r="B70" s="27"/>
      <x:c r="C70" s="28" t="n">
        <x:v>46281.32777777778</x:v>
      </x:c>
      <x:c r="D70" s="27" t="str">
        <x:v>Rejected Motley Fool trigger</x:v>
      </x:c>
      <x:c r="E70" s="27" t="str">
        <x:v>The Motley Fool — Adam Levy</x:v>
      </x:c>
      <x:c r="F70" s="27" t="str">
        <x:v>Idea generator only</x:v>
      </x:c>
      <x:c r="G70" s="29" t="str">
        <x:v>https://www.fool.com/investing/2026/09/16/what-anthropic-ipo-means-amazon-alphabet/</x:v>
      </x:c>
      <x:c r="H70" s="29" t="str">
        <x:v>A free public article framed Anthropic's prospective IPO as a catalyst for Amazon and Alphabet because of their investments and cloud relationships.</x:v>
      </x:c>
      <x:c r="I70" s="29" t="str">
        <x:v>Rejected</x:v>
      </x:c>
      <x:c r="J70" s="29" t="n">
        <x:v>2</x:v>
      </x:c>
      <x:c r="K70" s="29" t="str">
        <x:v>Anthropic's confidential S-1 was announced on June 1 and its cloud relationships were already public. The article added no new verified catalyst or material change for AMZN or GOOG, so no distinct thesis was created.</x:v>
      </x:c>
    </x:row>
    <x:row r="71">
      <x:c r="A71" s="27" t="str">
        <x:v>EV-2026-066</x:v>
      </x:c>
      <x:c r="B71" s="27"/>
      <x:c r="C71" s="28" t="n">
        <x:v>46281.32777777778</x:v>
      </x:c>
      <x:c r="D71" s="27" t="str">
        <x:v>Rejected Motley Fool trigger</x:v>
      </x:c>
      <x:c r="E71" s="27" t="str">
        <x:v>The Motley Fool — John Bromels</x:v>
      </x:c>
      <x:c r="F71" s="27" t="str">
        <x:v>Idea generator only</x:v>
      </x:c>
      <x:c r="G71" s="29" t="str">
        <x:v>https://www.fool.com/investing/2026/09/16/is-it-too-late-to-buy-nvidia-stock/</x:v>
      </x:c>
      <x:c r="H71" s="29" t="str">
        <x:v>A free public article revisited Nvidia's growth and valuation case without identifying a discrete new primary-source catalyst.</x:v>
      </x:c>
      <x:c r="I71" s="29" t="str">
        <x:v>Rejected</x:v>
      </x:c>
      <x:c r="J71" s="29" t="n">
        <x:v>2</x:v>
      </x:c>
      <x:c r="K71" s="29" t="str">
        <x:v>Did not clear the relevance threshold. Existing AI-demand and valuation facts do not create a distinct new thesis without new material evidence.</x:v>
      </x:c>
    </x:row>
    <x:row r="72">
      <x:c r="A72" s="27" t="str">
        <x:v>EV-2026-067</x:v>
      </x:c>
      <x:c r="B72" s="27" t="str">
        <x:v>EEI-2026-003</x:v>
      </x:c>
      <x:c r="C72" s="28" t="n">
        <x:v>46281.65054398148</x:v>
      </x:c>
      <x:c r="D72" s="27" t="str">
        <x:v>Market confirmation</x:v>
      </x:c>
      <x:c r="E72" s="27" t="str">
        <x:v>Reuters and delayed market price data</x:v>
      </x:c>
      <x:c r="F72" s="27" t="str">
        <x:v>High quality reporting and market data</x:v>
      </x:c>
      <x:c r="G72" s="29" t="str">
        <x:v>https://www.reuters.com/business/wall-st-futures-edge-higher-countdown-fed-decision-2026-09-16/</x:v>
      </x:c>
      <x:c r="H72" s="29" t="str">
        <x:v>At about 11:24 a.m. ET, SPY was up 0.41%, RSP 0.13%, IWM 0.43%, XLI 0.76%, XLB 0.61%, XLV 0.38%, XBI 0.55% and CPER 0.98%; XLF was down 0.56%. Reuters reported positive NYSE and Nasdaq breadth.</x:v>
      </x:c>
      <x:c r="I72" s="29" t="str">
        <x:v>Partial confirmation</x:v>
      </x:c>
      <x:c r="J72" s="29" t="n">
        <x:v>4</x:v>
      </x:c>
      <x:c r="K72" s="29" t="str">
        <x:v>The cross-asset pattern improved materially from Tuesday, but RSP still lagged SPY and financials declined. Intraday data and the pending Fed decision prevent treating one session as sustained broadening.</x:v>
      </x:c>
    </x:row>
    <x:row r="73">
      <x:c r="A73" s="27" t="str">
        <x:v>EV-2026-068</x:v>
      </x:c>
      <x:c r="B73" s="27" t="str">
        <x:v>EEI-2026-003</x:v>
      </x:c>
      <x:c r="C73" s="28" t="n">
        <x:v>46281.65054398148</x:v>
      </x:c>
      <x:c r="D73" s="27" t="str">
        <x:v>Contradictory and modifier</x:v>
      </x:c>
      <x:c r="E73" s="27" t="str">
        <x:v>Reuters / Commerce Department / BLS</x:v>
      </x:c>
      <x:c r="F73" s="27" t="str">
        <x:v>High quality reporting and government data</x:v>
      </x:c>
      <x:c r="G73" s="29" t="str">
        <x:v>https://www.reuters.com/business/retail-consumer/us-retail-sales-rebound-sharply-august-2026-09-16/</x:v>
      </x:c>
      <x:c r="H73" s="29" t="str">
        <x:v>August retail sales rose 1.2% and core retail sales 1.4%, confirming resilient demand, while import prices rose 0.7% month over month and 7.0% year over year.</x:v>
      </x:c>
      <x:c r="I73" s="29" t="str">
        <x:v>Mixed; supports earnings but sustains rate risk</x:v>
      </x:c>
      <x:c r="J73" s="29" t="n">
        <x:v>4</x:v>
      </x:c>
      <x:c r="K73" s="29" t="str">
        <x:v>Demand resilience supports corporate revenue, but import inflation and the associated tightening risk remain adverse for small-cap financing, financial conditions and equity multiples.</x:v>
      </x:c>
    </x:row>
    <x:row r="74">
      <x:c r="A74" s="27" t="str">
        <x:v>EV-2026-069</x:v>
      </x:c>
      <x:c r="B74" s="27" t="str">
        <x:v>EEI-2026-003</x:v>
      </x:c>
      <x:c r="C74" s="28" t="n">
        <x:v>46281.65054398148</x:v>
      </x:c>
      <x:c r="D74" s="27" t="str">
        <x:v>Modifier</x:v>
      </x:c>
      <x:c r="E74" s="27" t="str">
        <x:v>Reuters</x:v>
      </x:c>
      <x:c r="F74" s="27" t="str">
        <x:v>High quality reporting</x:v>
      </x:c>
      <x:c r="G74" s="29" t="str">
        <x:v>https://www.reuters.com/business/energy/oil-falls-us-crude-inventories-rise-despite-saudi-supply-concerns-2026-09-16/</x:v>
      </x:c>
      <x:c r="H74" s="29" t="str">
        <x:v>Brent fell about 1.2% to $107.45 as Saudi Arabia offered more crude via Oman and U.S. crude inventories rose, modestly easing the immediate energy-inflation pressure.</x:v>
      </x:c>
      <x:c r="I74" s="29" t="str">
        <x:v>Modestly strengthens timing</x:v>
      </x:c>
      <x:c r="J74" s="29" t="n">
        <x:v>4</x:v>
      </x:c>
      <x:c r="K74" s="29" t="str">
        <x:v>Oil remains above $100 and diesel markets remain tight, so this is relief from the adverse modifier rather than confirmation that the macro risk has cleared.</x:v>
      </x:c>
    </x:row>
    <x:row r="75">
      <x:c r="A75" s="27" t="str">
        <x:v>EV-2026-070</x:v>
      </x:c>
      <x:c r="B75" s="27" t="str">
        <x:v>EEI-2026-003</x:v>
      </x:c>
      <x:c r="C75" s="28" t="n">
        <x:v>46281.65054398148</x:v>
      </x:c>
      <x:c r="D75" s="27" t="str">
        <x:v>Neutral political outlook</x:v>
      </x:c>
      <x:c r="E75" s="27" t="str">
        <x:v>Cook Political Report</x:v>
      </x:c>
      <x:c r="F75" s="27" t="str">
        <x:v>Nonpartisan election analysis</x:v>
      </x:c>
      <x:c r="G75" s="29" t="str">
        <x:v>https://www.cookpolitical.com/</x:v>
      </x:c>
      <x:c r="H75" s="29" t="str">
        <x:v>Cook Political Report published a revised assessment of the New Hampshire Senate race on September 15 while its current House and Senate ratings continued to identify multiple competitive contests.</x:v>
      </x:c>
      <x:c r="I75" s="29" t="str">
        <x:v>Confirms outlook remains unsettled</x:v>
      </x:c>
      <x:c r="J75" s="29"/>
      <x:c r="K75" s="29" t="str">
        <x:v>A change in one race assessment does not establish control of either chamber or a specific investable policy outcome. No election-result prediction is made.</x:v>
      </x:c>
    </x:row>
    <x:row r="76">
      <x:c r="A76" s="27" t="str">
        <x:v>EV-2026-071</x:v>
      </x:c>
      <x:c r="B76" s="27" t="str">
        <x:v>EEI-2026-001</x:v>
      </x:c>
      <x:c r="C76" s="52" t="n">
        <x:v>46281.833333333336</x:v>
      </x:c>
      <x:c r="D76" s="27" t="str">
        <x:v>Market confirmation</x:v>
      </x:c>
      <x:c r="E76" s="27" t="str">
        <x:v>StockAnalysis</x:v>
      </x:c>
      <x:c r="F76" s="27" t="str">
        <x:v>Market data</x:v>
      </x:c>
      <x:c r="G76" s="29" t="str">
        <x:v>https://stockanalysis.com/etf/bno/history/</x:v>
      </x:c>
      <x:c r="H76" s="29" t="str">
        <x:v>BNO closed September 16 at $61.71, down 2.91% for the session but still 7.87% above the September 8 paper entry; the $1,000 position was worth $1,078.66.</x:v>
      </x:c>
      <x:c r="I76" s="29" t="str">
        <x:v>Mixed; direct crude expression remains profitable</x:v>
      </x:c>
      <x:c r="J76" s="29" t="n">
        <x:v>4</x:v>
      </x:c>
      <x:c r="K76" s="29" t="str">
        <x:v>The one-day pullback reduced the paper gain but did not erase the positive result. Entry Window remains WAIT because the paper entry followed a large headline move.</x:v>
      </x:c>
    </x:row>
    <x:row r="77">
      <x:c r="A77" s="27" t="str">
        <x:v>EV-2026-072</x:v>
      </x:c>
      <x:c r="B77" s="27" t="str">
        <x:v>EEI-2026-001</x:v>
      </x:c>
      <x:c r="C77" s="52" t="n">
        <x:v>46281.833333333336</x:v>
      </x:c>
      <x:c r="D77" s="27" t="str">
        <x:v>Market confirmation</x:v>
      </x:c>
      <x:c r="E77" s="27" t="str">
        <x:v>StockAnalysis</x:v>
      </x:c>
      <x:c r="F77" s="27" t="str">
        <x:v>Market data</x:v>
      </x:c>
      <x:c r="G77" s="29" t="str">
        <x:v>https://stockanalysis.com/etf/uso/history/</x:v>
      </x:c>
      <x:c r="H77" s="29" t="str">
        <x:v>USO closed September 16 at $156.17, down 3.52% for the session but still 8.00% above the September 8 paper entry; the $1,000 position was worth $1,080.01.</x:v>
      </x:c>
      <x:c r="I77" s="29" t="str">
        <x:v>Mixed; direct crude expression remains profitable</x:v>
      </x:c>
      <x:c r="J77" s="29" t="n">
        <x:v>4</x:v>
      </x:c>
      <x:c r="K77" s="29" t="str">
        <x:v>USO remained the best paper position by a narrow margin, supporting the predicted crude-price direction despite the sharp daily reversal.</x:v>
      </x:c>
    </x:row>
    <x:row r="78">
      <x:c r="A78" s="27" t="str">
        <x:v>EV-2026-073</x:v>
      </x:c>
      <x:c r="B78" s="27" t="str">
        <x:v>EEI-2026-001</x:v>
      </x:c>
      <x:c r="C78" s="52" t="n">
        <x:v>46281.833333333336</x:v>
      </x:c>
      <x:c r="D78" s="27" t="str">
        <x:v>Market confirmation</x:v>
      </x:c>
      <x:c r="E78" s="27" t="str">
        <x:v>StockAnalysis</x:v>
      </x:c>
      <x:c r="F78" s="27" t="str">
        <x:v>Market data</x:v>
      </x:c>
      <x:c r="G78" s="29" t="str">
        <x:v>https://stockanalysis.com/etf/xop/history/</x:v>
      </x:c>
      <x:c r="H78" s="29" t="str">
        <x:v>XOP closed September 16 at $191.80, down 3.96% for the session and 1.05% below the September 8 paper entry; the $1,000 position was worth $989.48.</x:v>
      </x:c>
      <x:c r="I78" s="29" t="str">
        <x:v>Weakens indirect equity expression</x:v>
      </x:c>
      <x:c r="J78" s="29" t="n">
        <x:v>4</x:v>
      </x:c>
      <x:c r="K78" s="29" t="str">
        <x:v>XOP's loss while BNO and USO remain positive strengthens the methodology lesson that the cleanest direct expression tracked the predicted variable better.</x:v>
      </x:c>
    </x:row>
    <x:row r="79">
      <x:c r="A79" s="27" t="str">
        <x:v>EV-2026-074</x:v>
      </x:c>
      <x:c r="B79" s="27" t="str">
        <x:v>EEI-2026-001</x:v>
      </x:c>
      <x:c r="C79" s="52" t="n">
        <x:v>46281.833333333336</x:v>
      </x:c>
      <x:c r="D79" s="27" t="str">
        <x:v>Market confirmation and modifier</x:v>
      </x:c>
      <x:c r="E79" s="27" t="str">
        <x:v>Reuters / EIA</x:v>
      </x:c>
      <x:c r="F79" s="27" t="str">
        <x:v>High quality reporting and primary government data</x:v>
      </x:c>
      <x:c r="G79" s="29" t="str">
        <x:v>https://www.reuters.com/business/energy/oil-falls-us-crude-inventories-rise-despite-saudi-supply-concerns-2026-09-16/</x:v>
      </x:c>
      <x:c r="H79" s="29" t="str">
        <x:v>Brent settled at $105.83 and WTI at $102.43, both lower on the day as Saudi Arabia offered more crude through Oman and U.S. crude stocks fell only 640,000 barrels versus a 1.62 million-barrel expectation. Visible Hormuz passage was four vessels on September 15 versus a 10-day average of 18.</x:v>
      </x:c>
      <x:c r="I79" s="29" t="str">
        <x:v>Mixed; physical disruption persists but adaptation weakens near-term edge</x:v>
      </x:c>
      <x:c r="J79" s="29" t="n">
        <x:v>5</x:v>
      </x:c>
      <x:c r="K79" s="29" t="str">
        <x:v>This final report supersedes the preliminary API inventory-build signal logged earlier. Official EIA data showed a draw, but it was smaller than expected. Very low Hormuz traffic still confirms disruption; rerouting and inventories explain the day's reversal.</x:v>
      </x:c>
    </x:row>
    <x:row r="80">
      <x:c r="A80" s="27" t="str">
        <x:v>EV-2026-075</x:v>
      </x:c>
      <x:c r="B80" s="27" t="str">
        <x:v>EEI-2026-009</x:v>
      </x:c>
      <x:c r="C80" s="28" t="n">
        <x:v>46282.325</x:v>
      </x:c>
      <x:c r="D80" s="27" t="str">
        <x:v>Supporting and market confirmation</x:v>
      </x:c>
      <x:c r="E80" s="27" t="str">
        <x:v>Reuters</x:v>
      </x:c>
      <x:c r="F80" s="27" t="str">
        <x:v>High quality reporting and market data</x:v>
      </x:c>
      <x:c r="G80" s="29" t="str">
        <x:v>https://www.reuters.com/business/energy/oil-prices-extend-losses-fears-middle-east-supply-disruptions-ease-2026-09-17/</x:v>
      </x:c>
      <x:c r="H80" s="29" t="str">
        <x:v>European gasoil and U.S. ULSD futures reached records even as Brent and WTI eased on Saudi rerouting and expected pipeline repair.</x:v>
      </x:c>
      <x:c r="I80" s="29" t="str">
        <x:v>Strengthens product-specific thesis; contradicts crude scarcity edge</x:v>
      </x:c>
      <x:c r="J80" s="29" t="n">
        <x:v>5</x:v>
      </x:c>
      <x:c r="K80" s="29" t="str">
        <x:v>Distinguishes refined-product scarcity from the broader crude thesis and supplies the market confirmation needed for Actionable status.</x:v>
      </x:c>
    </x:row>
    <x:row r="81">
      <x:c r="A81" s="27" t="str">
        <x:v>EV-2026-076</x:v>
      </x:c>
      <x:c r="B81" s="27" t="str">
        <x:v>EEI-2026-009</x:v>
      </x:c>
      <x:c r="C81" s="28" t="n">
        <x:v>46282.325</x:v>
      </x:c>
      <x:c r="D81" s="27" t="str">
        <x:v>Physical confirmation</x:v>
      </x:c>
      <x:c r="E81" s="27" t="str">
        <x:v>Reuters</x:v>
      </x:c>
      <x:c r="F81" s="27" t="str">
        <x:v>High quality reporting and vessel data</x:v>
      </x:c>
      <x:c r="G81" s="29" t="str">
        <x:v>https://www.reuters.com/world/middle-east/number-ships-transiting-strait-hormuz-falls-three-wednesday-data-shows-2026-09-17/</x:v>
      </x:c>
      <x:c r="H81" s="29" t="str">
        <x:v>Only three commercial ships transited Hormuz on September 16, versus 12 the prior day and a 10-day average of 17.</x:v>
      </x:c>
      <x:c r="I81" s="29" t="str">
        <x:v>Strengthens</x:v>
      </x:c>
      <x:c r="J81" s="29" t="n">
        <x:v>5</x:v>
      </x:c>
      <x:c r="K81" s="29" t="str">
        <x:v>Confirms that logistics disruption remains severe despite crude-price relief from rerouting.</x:v>
      </x:c>
    </x:row>
    <x:row r="82">
      <x:c r="A82" s="27" t="str">
        <x:v>EV-2026-077</x:v>
      </x:c>
      <x:c r="B82" s="27" t="str">
        <x:v>EEI-2026-009</x:v>
      </x:c>
      <x:c r="C82" s="28" t="n">
        <x:v>46282.325</x:v>
      </x:c>
      <x:c r="D82" s="27" t="str">
        <x:v>Supply-chain confirmation</x:v>
      </x:c>
      <x:c r="E82" s="27" t="str">
        <x:v>Reuters</x:v>
      </x:c>
      <x:c r="F82" s="27" t="str">
        <x:v>High quality reporting</x:v>
      </x:c>
      <x:c r="G82" s="29" t="str">
        <x:v>https://www.reuters.com/business/energy/russias-syzran-saratov-oil-refineries-hold-after-drone-attacks-sources-say-2026-09-16/</x:v>
      </x:c>
      <x:c r="H82" s="29" t="str">
        <x:v>Russia's Syzran and Saratov refineries were halted after drone attacks; Syzran repairs were expected to take at least a month.</x:v>
      </x:c>
      <x:c r="I82" s="29" t="str">
        <x:v>Strengthens</x:v>
      </x:c>
      <x:c r="J82" s="29" t="n">
        <x:v>4</x:v>
      </x:c>
      <x:c r="K82" s="29" t="str">
        <x:v>An independent refining outage compounds the Middle East product shortage and supports the global rather than single-region classification.</x:v>
      </x:c>
    </x:row>
    <x:row r="83">
      <x:c r="A83" s="27" t="str">
        <x:v>EV-2026-078</x:v>
      </x:c>
      <x:c r="B83" s="27" t="str">
        <x:v>EEI-2026-009</x:v>
      </x:c>
      <x:c r="C83" s="28" t="n">
        <x:v>46282.325</x:v>
      </x:c>
      <x:c r="D83" s="27" t="str">
        <x:v>Regional supply confirmation</x:v>
      </x:c>
      <x:c r="E83" s="27" t="str">
        <x:v>Reuters</x:v>
      </x:c>
      <x:c r="F83" s="27" t="str">
        <x:v>High quality reporting</x:v>
      </x:c>
      <x:c r="G83" s="29" t="str">
        <x:v>https://www.reuters.com/business/energy/ghanas-bost-cuts-fuel-exports-burkina-faso-mali-protect-local-supply-2026-09-16/</x:v>
      </x:c>
      <x:c r="H83" s="29" t="str">
        <x:v>Ghana's BOST reduced diesel and gasoline exports to Burkina Faso and Mali to protect domestic supply during global shortages.</x:v>
      </x:c>
      <x:c r="I83" s="29" t="str">
        <x:v>Strengthens</x:v>
      </x:c>
      <x:c r="J83" s="29" t="n">
        <x:v>4</x:v>
      </x:c>
      <x:c r="K83" s="29" t="str">
        <x:v>Observable export rationing is downstream evidence that scarcity is reaching additional regions.</x:v>
      </x:c>
    </x:row>
    <x:row r="84">
      <x:c r="A84" s="27" t="str">
        <x:v>EV-2026-079</x:v>
      </x:c>
      <x:c r="B84" s="27" t="str">
        <x:v>EEI-2026-009</x:v>
      </x:c>
      <x:c r="C84" s="28" t="n">
        <x:v>46282.325</x:v>
      </x:c>
      <x:c r="D84" s="27" t="str">
        <x:v>Contradictory policy modifier</x:v>
      </x:c>
      <x:c r="E84" s="27" t="str">
        <x:v>Reuters</x:v>
      </x:c>
      <x:c r="F84" s="27" t="str">
        <x:v>High quality reporting</x:v>
      </x:c>
      <x:c r="G84" s="29" t="str">
        <x:v>https://www.reuters.com/business/energy/petrobras-raises-diesel-price-offsets-increase-with-new-brazil-subsidy-2026-09-17/</x:v>
      </x:c>
      <x:c r="H84" s="29" t="str">
        <x:v>Petrobras raised its diesel distributor price, but Brazil introduced a subsidy that offsets the increase for consumers.</x:v>
      </x:c>
      <x:c r="I84" s="29" t="str">
        <x:v>Caps transmission and edge</x:v>
      </x:c>
      <x:c r="J84" s="29" t="n">
        <x:v>4</x:v>
      </x:c>
      <x:c r="K84" s="29" t="str">
        <x:v>Shows active government intervention that can suppress end-user price transmission, alter demand and weaken clean investable expressions.</x:v>
      </x:c>
    </x:row>
    <x:row r="85">
      <x:c r="A85" s="27" t="str">
        <x:v>EV-2026-080</x:v>
      </x:c>
      <x:c r="B85" s="27" t="str">
        <x:v>EEI-2026-004</x:v>
      </x:c>
      <x:c r="C85" s="28" t="n">
        <x:v>46282.325</x:v>
      </x:c>
      <x:c r="D85" s="27" t="str">
        <x:v>Primary policy confirmation</x:v>
      </x:c>
      <x:c r="E85" s="27" t="str">
        <x:v>Federal Reserve</x:v>
      </x:c>
      <x:c r="F85" s="27" t="str">
        <x:v>Primary official source</x:v>
      </x:c>
      <x:c r="G85" s="29" t="str">
        <x:v>https://www.federalreserve.gov/newsevents/pressreleases/monetary20260916a.htm</x:v>
      </x:c>
      <x:c r="H85" s="29" t="str">
        <x:v>The FOMC raised the federal-funds target range 25 basis points to 3.75%-4.00% on September 16 by a unanimous 12-0 vote and said inflation remains elevated.</x:v>
      </x:c>
      <x:c r="I85" s="29" t="str">
        <x:v>Strengthens economic variable and direction</x:v>
      </x:c>
      <x:c r="J85" s="29" t="n">
        <x:v>5</x:v>
      </x:c>
      <x:c r="K85" s="29" t="str">
        <x:v>Primary confirmation of the predicted policy move. Outcome questions remain blank until the ledger's September 18 evaluation date.</x:v>
      </x:c>
    </x:row>
    <x:row r="86">
      <x:c r="A86" s="27" t="str">
        <x:v>EV-2026-081</x:v>
      </x:c>
      <x:c r="B86" s="27" t="str">
        <x:v>EEI-2026-004</x:v>
      </x:c>
      <x:c r="C86" s="28" t="n">
        <x:v>46282.325</x:v>
      </x:c>
      <x:c r="D86" s="27" t="str">
        <x:v>Market confirmation and contradiction</x:v>
      </x:c>
      <x:c r="E86" s="27" t="str">
        <x:v>Reuters</x:v>
      </x:c>
      <x:c r="F86" s="27" t="str">
        <x:v>High quality reporting and market data</x:v>
      </x:c>
      <x:c r="G86" s="29" t="str">
        <x:v>https://www.reuters.com/commentary/reuters-open-interest/global-markets-view-usa-2026-09-17/</x:v>
      </x:c>
      <x:c r="H86" s="29" t="str">
        <x:v>Short-term Treasury yields rose after the Fed decision, while long-term yields eased and equity futures advanced.</x:v>
      </x:c>
      <x:c r="I86" s="29" t="str">
        <x:v>Mixed; weakens expression and edge</x:v>
      </x:c>
      <x:c r="J86" s="29" t="n">
        <x:v>5</x:v>
      </x:c>
      <x:c r="K86" s="29" t="str">
        <x:v>Policy direction was confirmed, but the TBF/long-yield expression did not respond as predicted. Trading edge reduced to 1/5.</x:v>
      </x:c>
    </x:row>
    <x:row r="87">
      <x:c r="A87" s="27" t="str">
        <x:v>EV-2026-082</x:v>
      </x:c>
      <x:c r="B87" s="27" t="str"/>
      <x:c r="C87" s="28" t="n">
        <x:v>46282.325</x:v>
      </x:c>
      <x:c r="D87" s="27" t="str">
        <x:v>Rejected Motley Fool trigger</x:v>
      </x:c>
      <x:c r="E87" s="27" t="str">
        <x:v>The Motley Fool — Harsh Chauhan</x:v>
      </x:c>
      <x:c r="F87" s="27" t="str">
        <x:v>Idea generator only</x:v>
      </x:c>
      <x:c r="G87" s="29" t="str">
        <x:v>https://www.fool.com/investing/2026/09/17/1-ai-stock-poised-to-outperform-micron-and-sandisk/</x:v>
      </x:c>
      <x:c r="H87" s="29" t="str">
        <x:v>Free editorial on TSMC cited AI accelerator demand, August revenue growth and valuation. The author disclosed no position; Motley Fool disclosed a recommendation/position. No discrete new primary-source catalyst was presented.</x:v>
      </x:c>
      <x:c r="I87" s="29" t="str">
        <x:v>Rejected</x:v>
      </x:c>
      <x:c r="J87" s="29" t="n">
        <x:v>2</x:v>
      </x:c>
      <x:c r="K87" s="29" t="str">
        <x:v>Ticker TSM; claimed variable AI foundry revenue and earnings over years. Already-strong price performance and recycled public facts make the idea insufficiently distinct; no thesis created.</x:v>
      </x:c>
    </x:row>
    <x:row r="88">
      <x:c r="A88" s="27" t="str">
        <x:v>EV-2026-083</x:v>
      </x:c>
      <x:c r="B88" s="27" t="str"/>
      <x:c r="C88" s="28" t="n">
        <x:v>46282.325</x:v>
      </x:c>
      <x:c r="D88" s="27" t="str">
        <x:v>Rejected Motley Fool trigger</x:v>
      </x:c>
      <x:c r="E88" s="27" t="str">
        <x:v>The Motley Fool — Lee Samaha</x:v>
      </x:c>
      <x:c r="F88" s="27" t="str">
        <x:v>Idea generator only</x:v>
      </x:c>
      <x:c r="G88" s="29" t="str">
        <x:v>https://www.fool.com/investing/2026/09/17/wall-street-sees-a-huge-rebound-for-viking-therape/</x:v>
      </x:c>
      <x:c r="H88" s="29" t="str">
        <x:v>Free editorial on VKTX relied on analyst targets and future obesity-drug trial data. No new Phase 3 result or regulatory decision was published; the article itself noted long timelines and discontinuation risk.</x:v>
      </x:c>
      <x:c r="I88" s="29" t="str">
        <x:v>Rejected pending primary data</x:v>
      </x:c>
      <x:c r="J88" s="29" t="n">
        <x:v>2</x:v>
      </x:c>
      <x:c r="K88" s="29" t="str">
        <x:v>Ticker VKTX; claimed variable future obesity-drug adoption and revenue over multiple years. Reconsider only on new ClinicalTrials.gov, company trial or FDA evidence.</x:v>
      </x:c>
    </x:row>
    <x:row r="89">
      <x:c r="A89" s="27" t="str">
        <x:v>EV-2026-084</x:v>
      </x:c>
      <x:c r="B89" s="27" t="str"/>
      <x:c r="C89" s="28" t="n">
        <x:v>46282.325</x:v>
      </x:c>
      <x:c r="D89" s="27" t="str">
        <x:v>Rejected Motley Fool trigger</x:v>
      </x:c>
      <x:c r="E89" s="27" t="str">
        <x:v>The Motley Fool — Micah Zimmerman</x:v>
      </x:c>
      <x:c r="F89" s="27" t="str">
        <x:v>Idea generator only</x:v>
      </x:c>
      <x:c r="G89" s="29" t="str">
        <x:v>https://www.fool.com/investing/2026/09/17/500-invested-in-joby-aviation-today-could-be-wor/</x:v>
      </x:c>
      <x:c r="H89" s="29" t="str">
        <x:v>Free editorial on JOBY extrapolated long-term value from emerging operations. FAA and company sources confirm eIPP demonstration flights, but they do not yet establish scalable certified commercial economics.</x:v>
      </x:c>
      <x:c r="I89" s="29" t="str">
        <x:v>Rejected as new thesis</x:v>
      </x:c>
      <x:c r="J89" s="29" t="n">
        <x:v>2</x:v>
      </x:c>
      <x:c r="K89" s="29" t="str">
        <x:v>Ticker JOBY; claimed variable commercial eVTOL operations and revenue over roughly five years. Certification, capital intensity, dilution and unit-economics risks remain dominant; existing primary evidence did not justify a distinct thesis.</x:v>
      </x:c>
    </x:row>
    <x:row r="90">
      <x:c r="A90" s="27" t="str">
        <x:v>EV-2026-085</x:v>
      </x:c>
      <x:c r="B90" s="27" t="str"/>
      <x:c r="C90" s="28" t="n">
        <x:v>46282.325</x:v>
      </x:c>
      <x:c r="D90" s="27" t="str">
        <x:v>Rejected government-award trigger</x:v>
      </x:c>
      <x:c r="E90" s="27" t="str">
        <x:v>IBM / Commerce; confirmed by Barron's</x:v>
      </x:c>
      <x:c r="F90" s="27" t="str">
        <x:v>Primary company announcement plus financial press</x:v>
      </x:c>
      <x:c r="G90" s="29" t="str">
        <x:v>https://newsroom.ibm.com/</x:v>
      </x:c>
      <x:c r="H90" s="29" t="str">
        <x:v>Anderon, an IBM company, finalized a $1 billion Commerce CHIPS award on September 16. It follows a previously announced proposed award, is long-dated, and IBM shares fell after the news.</x:v>
      </x:c>
      <x:c r="I90" s="29" t="str">
        <x:v>Rejected; expected and immaterial to parent</x:v>
      </x:c>
      <x:c r="J90" s="29" t="n">
        <x:v>3</x:v>
      </x:c>
      <x:c r="K90" s="29" t="str">
        <x:v>Recipient Anderon; parent IBM; agency Commerce; final award rather than a new contract or routine modification. Publicly announced, low materiality relative to IBM, and no reliable evidence of an unanticipated backlog step-change.</x:v>
      </x:c>
    </x:row>
    <x:row r="91">
      <x:c r="A91" s="27" t="str">
        <x:v>EV-2026-086</x:v>
      </x:c>
      <x:c r="B91" s="27" t="str"/>
      <x:c r="C91" s="28" t="n">
        <x:v>46282.325</x:v>
      </x:c>
      <x:c r="D91" s="27" t="str">
        <x:v>Unconfirmed policy/capex trigger</x:v>
      </x:c>
      <x:c r="E91" s="27" t="str">
        <x:v>Reuters citing Nikkei</x:v>
      </x:c>
      <x:c r="F91" s="27" t="str">
        <x:v>High quality reporting; anonymous-source proposal</x:v>
      </x:c>
      <x:c r="G91" s="29" t="str">
        <x:v>https://www.reuters.com/world/asia-pacific/japan-us-discussing-chip-factory-construction-part-550-billion-investment-talks-2026-09-17/</x:v>
      </x:c>
      <x:c r="H91" s="29" t="str">
        <x:v>Japan and the U.S. were reported to be discussing a roughly $13-$19 billion semiconductor factory expected to involve GlobalFoundries, but negotiations and company participation were not officially confirmed.</x:v>
      </x:c>
      <x:c r="I91" s="29" t="str">
        <x:v>Watch only</x:v>
      </x:c>
      <x:c r="J91" s="29" t="n">
        <x:v>2</x:v>
      </x:c>
      <x:c r="K91" s="29" t="str">
        <x:v>Potential foundry-capacity variable over years. No thesis created until official parties, financing, schedule and company economics are confirmed.</x:v>
      </x:c>
    </x:row>
    <x:row r="92">
      <x:c r="A92" s="27" t="str">
        <x:v>EV-2026-087</x:v>
      </x:c>
      <x:c r="B92" s="27" t="str">
        <x:v>EEI-2026-003</x:v>
      </x:c>
      <x:c r="C92" s="28" t="n">
        <x:v>46282.6278125</x:v>
      </x:c>
      <x:c r="D92" s="27" t="str">
        <x:v>Market confirmation</x:v>
      </x:c>
      <x:c r="E92" s="27" t="str">
        <x:v>Reuters and delayed market price data</x:v>
      </x:c>
      <x:c r="F92" s="27" t="str">
        <x:v>High quality reporting and market data</x:v>
      </x:c>
      <x:c r="G92" s="29" t="str">
        <x:v>https://www.reuters.com/business/wall-st-futures-rise-fed-rate-hike-lifts-long-standing-overhang-2026-09-17/</x:v>
      </x:c>
      <x:c r="H92" s="29" t="str">
        <x:v>At about 10:51 a.m. ET, SPY was up 0.95%, RSP 0.42%, IWM 1.14%, XLI 0.21%, XLB 0.58%, XLV 0.39%, XBI 3.69% and CPER 3.42%; XLF was down 0.45%. Reuters reported all 11 S&amp;P sectors higher, breadth of 4.17-to-one on the NYSE and 3.5-to-one on Nasdaq, and VIX at 15.70.</x:v>
      </x:c>
      <x:c r="I92" s="29" t="str">
        <x:v>Meaningful but partial confirmation</x:v>
      </x:c>
      <x:c r="J92" s="29" t="n">
        <x:v>4</x:v>
      </x:c>
      <x:c r="K92" s="29" t="str">
        <x:v>Breadth, small caps, biotech and volatility improved, but RSP still lagged SPY, financials declined and technology led. The move followed the Fed decision and falling oil rather than a resolved election trigger.</x:v>
      </x:c>
    </x:row>
    <x:row r="93">
      <x:c r="A93" s="27" t="str">
        <x:v>EV-2026-088</x:v>
      </x:c>
      <x:c r="B93" s="27" t="str">
        <x:v>EEI-2026-003</x:v>
      </x:c>
      <x:c r="C93" s="28" t="n">
        <x:v>46282.6278125</x:v>
      </x:c>
      <x:c r="D93" s="27" t="str">
        <x:v>Modifier and contradictory evidence</x:v>
      </x:c>
      <x:c r="E93" s="27" t="str">
        <x:v>Federal Reserve / Reuters</x:v>
      </x:c>
      <x:c r="F93" s="27" t="str">
        <x:v>Primary policy source and high quality reporting</x:v>
      </x:c>
      <x:c r="G93" s="29" t="str">
        <x:v>https://www.federalreserve.gov/newsevents/pressreleases/monetary20260916a.htm</x:v>
      </x:c>
      <x:c r="H93" s="29" t="str">
        <x:v>The Federal Reserve raised the target range 25 basis points to 3.75%-4.00%. Reuters reported a lower 10-year Treasury yield and Brent near $102.90 on September 17, but also a roughly 49% market-implied chance of another rate increase in October.</x:v>
      </x:c>
      <x:c r="I93" s="29" t="str">
        <x:v>Mixed; immediate relief but tightening risk remains</x:v>
      </x:c>
      <x:c r="J93" s="29" t="n">
        <x:v>5</x:v>
      </x:c>
      <x:c r="K93" s="29" t="str">
        <x:v>Lower oil and long yields improve the near-term equity setup. Further tightening risk remains a direct contradiction for small caps, financial conditions and valuation-sensitive equities.</x:v>
      </x:c>
    </x:row>
    <x:row r="94">
      <x:c r="A94" s="27" t="str">
        <x:v>EV-2026-089</x:v>
      </x:c>
      <x:c r="B94" s="27" t="str">
        <x:v>EEI-2026-003</x:v>
      </x:c>
      <x:c r="C94" s="28" t="n">
        <x:v>46282.6278125</x:v>
      </x:c>
      <x:c r="D94" s="27" t="str">
        <x:v>Earnings modifier</x:v>
      </x:c>
      <x:c r="E94" s="27" t="str">
        <x:v>FactSet</x:v>
      </x:c>
      <x:c r="F94" s="27" t="str">
        <x:v>Institutional earnings research</x:v>
      </x:c>
      <x:c r="G94" s="29" t="str">
        <x:v>https://insight.factset.com/analysts-increasing-eps-estimates-for-sp-500-companies-for-2nd-straight-quarter</x:v>
      </x:c>
      <x:c r="H94" s="29" t="str">
        <x:v>FactSet reported that the Q3 S&amp;P 500 bottom-up EPS estimate rose 1.2% from June 30 through August 31 and the full-year 2026 estimate rose 6.1%; seven of eleven sectors had higher full-year estimates.</x:v>
      </x:c>
      <x:c r="I94" s="29" t="str">
        <x:v>Supports the fundamental backdrop</x:v>
      </x:c>
      <x:c r="J94" s="29" t="n">
        <x:v>4</x:v>
      </x:c>
      <x:c r="K94" s="29" t="str">
        <x:v>Positive revisions improve the capacity for an uncertainty-relief rally, but they are not caused by the election and do not confirm a specific congressional-control outcome. Materials Q3 estimates declined 9.1%, a contradiction for XLB despite copper strength.</x:v>
      </x:c>
    </x:row>
    <x:row r="95">
      <x:c r="A95" s="27" t="str">
        <x:v>EV-2026-090</x:v>
      </x:c>
      <x:c r="B95" s="27" t="str">
        <x:v>EEI-2026-003</x:v>
      </x:c>
      <x:c r="C95" s="28" t="n">
        <x:v>46282.6278125</x:v>
      </x:c>
      <x:c r="D95" s="27" t="str">
        <x:v>Neutral policy development</x:v>
      </x:c>
      <x:c r="E95" s="27" t="str">
        <x:v>Reuters / U.S. House vote</x:v>
      </x:c>
      <x:c r="F95" s="27" t="str">
        <x:v>High quality reporting on official legislative action</x:v>
      </x:c>
      <x:c r="G95" s="29" t="str">
        <x:v>https://www.reuters.com/world/us-house-advances-first-bill-addressing-economic-impacts-data-center-boom-2026-09-16/</x:v>
      </x:c>
      <x:c r="H95" s="29" t="str">
        <x:v>The House passed the Ratepayer Protection Act 417-3, requiring state utility regulators to consider whether large electricity users should bear incremental infrastructure costs. The measure does not compel a particular state allocation and still requires further legislative action.</x:v>
      </x:c>
      <x:c r="I95" s="29" t="str">
        <x:v>No clean candidate-sector trigger</x:v>
      </x:c>
      <x:c r="J95" s="29" t="n">
        <x:v>4</x:v>
      </x:c>
      <x:c r="K95" s="29" t="str">
        <x:v>The bipartisan vote shows policy attention to data-center power costs, but it does not establish congressional control, mandatory spending, or a direct investable catalyst for the midterm candidate list.</x:v>
      </x:c>
    </x:row>
    <x:row r="96">
      <x:c r="A96" s="27" t="str">
        <x:v>EV-2026-091</x:v>
      </x:c>
      <x:c r="B96" s="27" t="str">
        <x:v>EEI-2026-001</x:v>
      </x:c>
      <x:c r="C96" s="28" t="n">
        <x:v>46282.666666666664</x:v>
      </x:c>
      <x:c r="D96" s="27" t="str">
        <x:v>Paper-trade market outcome</x:v>
      </x:c>
      <x:c r="E96" s="27" t="str">
        <x:v>S&amp;P Global Market Intelligence via StockAnalysis</x:v>
      </x:c>
      <x:c r="F96" s="27" t="str">
        <x:v>Daily closing market data</x:v>
      </x:c>
      <x:c r="G96" s="29" t="str">
        <x:v>https://stockanalysis.com/etf/bno/history/</x:v>
      </x:c>
      <x:c r="H96" s="29" t="str">
        <x:v>BNO closed September 17 at $60.91 versus the $57.21 September 8 opening entry; the paper position is worth $1,064.67, up $64.67 or 6.47%.</x:v>
      </x:c>
      <x:c r="I96" s="29" t="str">
        <x:v>Supports direct Brent expression</x:v>
      </x:c>
      <x:c r="J96" s="29" t="n">
        <x:v>5</x:v>
      </x:c>
      <x:c r="K96" s="29" t="str">
        <x:v>Direct Brent-linked exposure remains profitable despite a second daily pullback.</x:v>
      </x:c>
    </x:row>
    <x:row r="97">
      <x:c r="A97" s="27" t="str">
        <x:v>EV-2026-092</x:v>
      </x:c>
      <x:c r="B97" s="27" t="str">
        <x:v>EEI-2026-001</x:v>
      </x:c>
      <x:c r="C97" s="28" t="n">
        <x:v>46282.666666666664</x:v>
      </x:c>
      <x:c r="D97" s="27" t="str">
        <x:v>Paper-trade market outcome</x:v>
      </x:c>
      <x:c r="E97" s="27" t="str">
        <x:v>S&amp;P Global Market Intelligence via StockAnalysis</x:v>
      </x:c>
      <x:c r="F97" s="27" t="str">
        <x:v>Daily closing market data</x:v>
      </x:c>
      <x:c r="G97" s="29" t="str">
        <x:v>https://stockanalysis.com/etf/uso/history/</x:v>
      </x:c>
      <x:c r="H97" s="29" t="str">
        <x:v>USO closed September 17 at $155.31 versus the $144.60 September 8 opening entry; the paper position is worth $1,074.07, up $74.07 or 7.41%.</x:v>
      </x:c>
      <x:c r="I97" s="29" t="str">
        <x:v>Supports direct crude expression</x:v>
      </x:c>
      <x:c r="J97" s="29" t="n">
        <x:v>5</x:v>
      </x:c>
      <x:c r="K97" s="29" t="str">
        <x:v>USO remains the strongest paper expression by dollar gain and continues to confirm the predicted crude-price direction.</x:v>
      </x:c>
    </x:row>
    <x:row r="98">
      <x:c r="A98" s="27" t="str">
        <x:v>EV-2026-093</x:v>
      </x:c>
      <x:c r="B98" s="27" t="str">
        <x:v>EEI-2026-001</x:v>
      </x:c>
      <x:c r="C98" s="28" t="n">
        <x:v>46282.666666666664</x:v>
      </x:c>
      <x:c r="D98" s="27" t="str">
        <x:v>Paper-trade market outcome</x:v>
      </x:c>
      <x:c r="E98" s="27" t="str">
        <x:v>S&amp;P Global Market Intelligence via StockAnalysis</x:v>
      </x:c>
      <x:c r="F98" s="27" t="str">
        <x:v>Daily closing market data</x:v>
      </x:c>
      <x:c r="G98" s="29" t="str">
        <x:v>https://stockanalysis.com/etf/xop/history/</x:v>
      </x:c>
      <x:c r="H98" s="29" t="str">
        <x:v>XOP closed September 17 at $192.59 versus the $193.84 September 8 opening entry; the paper position is worth $993.55, down $6.45 or 0.64%.</x:v>
      </x:c>
      <x:c r="I98" s="29" t="str">
        <x:v>Contradicts indirect equity expression</x:v>
      </x:c>
      <x:c r="J98" s="29" t="n">
        <x:v>5</x:v>
      </x:c>
      <x:c r="K98" s="29" t="str">
        <x:v>Producer equities continue to lag the direct crude funds, supporting the clean-expression rule.</x:v>
      </x:c>
    </x:row>
    <x:row r="99">
      <x:c r="A99" s="27" t="str">
        <x:v>EV-2026-094</x:v>
      </x:c>
      <x:c r="B99" s="27" t="str">
        <x:v>EEI-2026-001</x:v>
      </x:c>
      <x:c r="C99" s="28" t="n">
        <x:v>46282.666666666664</x:v>
      </x:c>
      <x:c r="D99" s="27" t="str">
        <x:v>Thesis outcome and modifier</x:v>
      </x:c>
      <x:c r="E99" s="27" t="str">
        <x:v>Reuters</x:v>
      </x:c>
      <x:c r="F99" s="27" t="str">
        <x:v>High quality reporting and market data</x:v>
      </x:c>
      <x:c r="G99" s="29" t="str">
        <x:v>https://www.reuters.com/business/energy/oil-prices-extend-losses-fears-middle-east-supply-disruptions-ease-2026-09-17/</x:v>
      </x:c>
      <x:c r="H99" s="29" t="str">
        <x:v>Brent settled 0.95% lower at $104.82 and WTI 0.5% lower at $101.91. Saudi ship-to-ship transfers through Oman and expected East-West pipeline repairs offset some disruption, while falling Hormuz traffic and continuing regional attacks kept the physical market tight.</x:v>
      </x:c>
      <x:c r="I99" s="29" t="str">
        <x:v>Mixed; thesis intact but remaining edge reduced</x:v>
      </x:c>
      <x:c r="J99" s="29" t="n">
        <x:v>5</x:v>
      </x:c>
      <x:c r="K99" s="29" t="str">
        <x:v>Confirms the predicted supply-risk premium while identifying adaptation and repair as the leading invalidation path.</x:v>
      </x:c>
    </x:row>
    <x:row r="100">
      <x:c r="A100" s="27" t="str">
        <x:v>EV-2026-095</x:v>
      </x:c>
      <x:c r="B100" s="27" t="str">
        <x:v>EEI-2026-001</x:v>
      </x:c>
      <x:c r="C100" s="28" t="n">
        <x:v>46283.3533217593</x:v>
      </x:c>
      <x:c r="D100" s="27" t="str">
        <x:v>Completed outcome confirmation</x:v>
      </x:c>
      <x:c r="E100" s="27" t="str">
        <x:v>Reuters</x:v>
      </x:c>
      <x:c r="F100" s="27" t="str">
        <x:v>High quality reporting and physical-market data</x:v>
      </x:c>
      <x:c r="G100" s="29" t="str">
        <x:v>https://www.reuters.com/business/energy/russian-espo-oil-price-exceeds-120-per-barrel-traders-say-data-shows-2026-09-18/</x:v>
      </x:c>
      <x:c r="H100" s="29" t="str">
        <x:v>Russian ESPO crude rose above $120 per barrel for the first time since April, with premiums of roughly $20-$30 over Brent as Chinese refiners competed for replacement barrels amid Middle East disruption.</x:v>
      </x:c>
      <x:c r="I100" s="29" t="str">
        <x:v>Confirms variable, direction and timing</x:v>
      </x:c>
      <x:c r="J100" s="29" t="n">
        <x:v>5</x:v>
      </x:c>
      <x:c r="K100" s="29" t="str">
        <x:v>Final physical-market confirmation for EEI-2026-001: the disruption raised replacement-barrel costs and the crude risk premium within the forecast horizon.</x:v>
      </x:c>
    </x:row>
    <x:row r="101">
      <x:c r="A101" t="str">
        <x:v>EV-2026-096</x:v>
      </x:c>
      <x:c r="B101" t="str">
        <x:v>EEI-2026-001</x:v>
      </x:c>
      <x:c r="C101" s="21" t="n">
        <x:v>46283.3533217593</x:v>
      </x:c>
      <x:c r="D101" t="str">
        <x:v>Outcome modifier and contradiction</x:v>
      </x:c>
      <x:c r="E101" t="str">
        <x:v>Reuters</x:v>
      </x:c>
      <x:c r="F101" t="str">
        <x:v>High quality reporting and market data</x:v>
      </x:c>
      <x:c r="G101" s="44" t="str">
        <x:v>https://www.reuters.com/business/energy/oil-prices-fall-1-hopes-limited-supply-disruptions-2026-09-18/</x:v>
      </x:c>
      <x:c r="H101" s="44" t="str">
        <x:v>Brent fell to about $103.17 and WTI to about $101.30 as Saudi rerouting, expected East-West pipeline restoration, higher product inventories and Chinese fuel exports reduced immediate scarcity fears.</x:v>
      </x:c>
      <x:c r="I101" s="44" t="str">
        <x:v>Confirms risk but closes remaining edge</x:v>
      </x:c>
      <x:c r="J101" s="44" t="n">
        <x:v>5</x:v>
      </x:c>
      <x:c r="K101" s="44" t="str">
        <x:v>The forecast succeeded over its horizon, but the same evidence supports closing it rather than extending a low-edge headline trade.</x:v>
      </x:c>
    </x:row>
    <x:row r="102">
      <x:c r="A102" t="str">
        <x:v>EV-2026-097</x:v>
      </x:c>
      <x:c r="B102" t="str">
        <x:v>EEI-2026-009</x:v>
      </x:c>
      <x:c r="C102" s="21" t="n">
        <x:v>46283.3533217593</x:v>
      </x:c>
      <x:c r="D102" t="str">
        <x:v>Physical supply confirmation</x:v>
      </x:c>
      <x:c r="E102" t="str">
        <x:v>Reuters</x:v>
      </x:c>
      <x:c r="F102" t="str">
        <x:v>High quality reporting</x:v>
      </x:c>
      <x:c r="G102" s="44" t="str">
        <x:v>https://www.reuters.com/business/energy/exxon-mobil-says-floodwater-overwhelmed-pump-at-joliet-illinois-refinery-2026-09-17/</x:v>
      </x:c>
      <x:c r="H102" s="44" t="str">
        <x:v>ExxonMobil's 275,000-bpd Joliet refinery remained offline after flooding and a power outage; the plant normally supplies about 11 million gallons of gasoline and diesel per day.</x:v>
      </x:c>
      <x:c r="I102" s="44" t="str">
        <x:v>Strengthens</x:v>
      </x:c>
      <x:c r="J102" s="44" t="n">
        <x:v>4</x:v>
      </x:c>
      <x:c r="K102" s="44" t="str">
        <x:v>The U.S. Midwest outage compounds the global refined-product shortage, although a restart would remove this incremental support.</x:v>
      </x:c>
    </x:row>
    <x:row r="103">
      <x:c r="A103" t="str">
        <x:v>EV-2026-098</x:v>
      </x:c>
      <x:c r="B103" t="str">
        <x:v>EEI-2026-009</x:v>
      </x:c>
      <x:c r="C103" s="21" t="n">
        <x:v>46283.3533217593</x:v>
      </x:c>
      <x:c r="D103" t="str">
        <x:v>Contradictory supply modifier</x:v>
      </x:c>
      <x:c r="E103" t="str">
        <x:v>Reuters</x:v>
      </x:c>
      <x:c r="F103" t="str">
        <x:v>High quality reporting</x:v>
      </x:c>
      <x:c r="G103" s="44" t="str">
        <x:v>https://www.reuters.com/business/energy/aramco-boost-exports-strait-hormuz-60-million-bbl-september-october-traders-say-2026-09-18/</x:v>
      </x:c>
      <x:c r="H103" s="44" t="str">
        <x:v>Saudi Aramco plans roughly 60 million barrels of Gulf exports in September and October using ship-to-ship transfers near Sohar, restoring about 1.0-1.5 million bpd despite damaged Red Sea logistics.</x:v>
      </x:c>
      <x:c r="I103" s="44" t="str">
        <x:v>Caps scarcity and trading edge</x:v>
      </x:c>
      <x:c r="J103" s="44" t="n">
        <x:v>4</x:v>
      </x:c>
      <x:c r="K103" s="44" t="str">
        <x:v>Feedstock adaptation can ease refinery constraints; record tanker freight shows the workaround remains costly rather than fully normal.</x:v>
      </x:c>
    </x:row>
    <x:row r="104">
      <x:c r="A104" t="str">
        <x:v>EV-2026-099</x:v>
      </x:c>
      <x:c r="B104" t="str">
        <x:v>EEI-2026-004</x:v>
      </x:c>
      <x:c r="C104" s="21" t="n">
        <x:v>46283.3533217593</x:v>
      </x:c>
      <x:c r="D104" t="str">
        <x:v>Completed outcome market evidence</x:v>
      </x:c>
      <x:c r="E104" t="str">
        <x:v>Wall Street Journal</x:v>
      </x:c>
      <x:c r="F104" t="str">
        <x:v>Financial press and market data</x:v>
      </x:c>
      <x:c r="G104" s="44" t="str">
        <x:v>https://www.wsj.com/livecoverage/stock-market-today-dow-sp-500-nasdaq-09-17-2026</x:v>
      </x:c>
      <x:c r="H104" s="44" t="str">
        <x:v>The 10-year Treasury yield fell below 5% on September 17 after the Fed hike and an oil pullback; TLT rose while TBF fell at the close.</x:v>
      </x:c>
      <x:c r="I104" s="44" t="str">
        <x:v>Contradicts direction and expression</x:v>
      </x:c>
      <x:c r="J104" s="44" t="n">
        <x:v>4</x:v>
      </x:c>
      <x:c r="K104" s="44" t="str">
        <x:v>The policy variable was relevant and timely, but long yields and the intended TBF expression moved opposite the frozen prediction.</x:v>
      </x:c>
    </x:row>
    <x:row r="105">
      <x:c r="A105" t="str">
        <x:v>EV-2026-100</x:v>
      </x:c>
      <x:c r="B105"/>
      <x:c r="C105" s="21" t="n">
        <x:v>46283.3533217593</x:v>
      </x:c>
      <x:c r="D105" t="str">
        <x:v>Rejected Motley Fool trigger</x:v>
      </x:c>
      <x:c r="E105" t="str">
        <x:v>The Motley Fool — Thomas Niel</x:v>
      </x:c>
      <x:c r="F105" t="str">
        <x:v>Idea generator only</x:v>
      </x:c>
      <x:c r="G105" s="44" t="str">
        <x:v>https://www.fool.com/investing/2026/09/18/exxonmobil-vs-conocophillips-which-oil-majors-buyb/</x:v>
      </x:c>
      <x:c r="H105" s="44" t="str">
        <x:v>Free editorial at 6:51 a.m. ET compared XOM and COP buybacks and longer-term catalysts. The author disclosed no position; Motley Fool recommends COP. Primary filings confirm the repurchase programs, but the article supplied no new company catalyst.</x:v>
      </x:c>
      <x:c r="I105" s="44" t="str">
        <x:v>Rejected as new thesis</x:v>
      </x:c>
      <x:c r="J105" s="44" t="n">
        <x:v>2</x:v>
      </x:c>
      <x:c r="K105" s="44" t="str">
        <x:v>Tickers XOM and COP; claimed variable per-share value and cash returns over years. Oil exposure is already covered, and both stocks were near the upper portion of their annual ranges. No distinct thesis created.</x:v>
      </x:c>
    </x:row>
    <x:row r="106">
      <x:c r="A106" t="str">
        <x:v>EV-2026-101</x:v>
      </x:c>
      <x:c r="B106"/>
      <x:c r="C106" s="21" t="n">
        <x:v>46283.3533217593</x:v>
      </x:c>
      <x:c r="D106" t="str">
        <x:v>Rejected Motley Fool trigger</x:v>
      </x:c>
      <x:c r="E106" t="str">
        <x:v>The Motley Fool — Catie Hogan</x:v>
      </x:c>
      <x:c r="F106" t="str">
        <x:v>Idea generator only</x:v>
      </x:c>
      <x:c r="G106" s="44" t="str">
        <x:v>https://www.fool.com/investing/2026/09/18/is-verizon-the-years-best-telecom-stock/</x:v>
      </x:c>
      <x:c r="H106" s="44" t="str">
        <x:v>Free editorial cited Verizon's Q2 subscriber recovery, Frontier integration and cost reductions. The author disclosed an AT&amp;T position; Motley Fool recommends Verizon and T-Mobile. Company results independently confirm operational improvement.</x:v>
      </x:c>
      <x:c r="I106" s="44" t="str">
        <x:v>Rejected; catalyst already known and priced</x:v>
      </x:c>
      <x:c r="J106" s="44" t="n">
        <x:v>2</x:v>
      </x:c>
      <x:c r="K106" s="44" t="str">
        <x:v>Ticker VZ; claimed variable subscriber, fiber and free-cash-flow growth over quarters. Shares had already risen materially in 2026 and the article did not add a new primary catalyst or favorable entry structure.</x:v>
      </x:c>
    </x:row>
    <x:row r="107">
      <x:c r="A107" t="str">
        <x:v>EV-2026-102</x:v>
      </x:c>
      <x:c r="B107"/>
      <x:c r="C107" s="21" t="n">
        <x:v>46283.3533217593</x:v>
      </x:c>
      <x:c r="D107" t="str">
        <x:v>Rejected Motley Fool trigger</x:v>
      </x:c>
      <x:c r="E107" t="str">
        <x:v>The Motley Fool — Geoffrey Seiler</x:v>
      </x:c>
      <x:c r="F107" t="str">
        <x:v>Idea generator only</x:v>
      </x:c>
      <x:c r="G107" s="44" t="str">
        <x:v>https://www.fool.com/investing/2026/09/18/stocks-buy-analyst-semiconductor-spend/</x:v>
      </x:c>
      <x:c r="H107" s="44" t="str">
        <x:v>Free editorial cited a Bank of America forecast and selected SK Hynix, Nvidia and ASML. The author disclosed no position; Motley Fool disclosed positions and recommendations. The 88% market-growth claim is an analyst estimate, not a new primary company event.</x:v>
      </x:c>
      <x:c r="I107" s="44" t="str">
        <x:v>Rejected as non-distinct</x:v>
      </x:c>
      <x:c r="J107" s="44" t="n">
        <x:v>2</x:v>
      </x:c>
      <x:c r="K107" s="44" t="str">
        <x:v>Tickers SKHY, NVDA and ASML; claimed variable semiconductor revenue through 2030. The secular AI-memory thesis is established and valuations already embed substantial growth; no new thesis created.</x:v>
      </x:c>
    </x:row>
    <x:row r="108">
      <x:c r="A108" t="str">
        <x:v>EV-2026-103</x:v>
      </x:c>
      <x:c r="B108"/>
      <x:c r="C108" s="21" t="n">
        <x:v>46283.3533217593</x:v>
      </x:c>
      <x:c r="D108" t="str">
        <x:v>Rejected Motley Fool trigger</x:v>
      </x:c>
      <x:c r="E108" t="str">
        <x:v>The Motley Fool — Jeff Siegel</x:v>
      </x:c>
      <x:c r="F108" t="str">
        <x:v>Idea generator only</x:v>
      </x:c>
      <x:c r="G108" s="44" t="str">
        <x:v>https://www.fool.com/investing/2026/09/18/this-overlooked-grid-technology-stock-could-be-you/</x:v>
      </x:c>
      <x:c r="H108" s="44" t="str">
        <x:v>Free editorial argued that Hubbell benefits from grid modernization and data-center demand. The author and Motley Fool disclosed no position. Company-reported Q2 growth and raised guidance support the mechanism, but no new dated catalyst was identified.</x:v>
      </x:c>
      <x:c r="I108" s="44" t="str">
        <x:v>Watch only; no new thesis</x:v>
      </x:c>
      <x:c r="J108" s="44" t="n">
        <x:v>2</x:v>
      </x:c>
      <x:c r="K108" s="44" t="str">
        <x:v>Ticker HUBB; claimed variable utility-equipment revenue and earnings over years. The business case is credible, but current evidence is an already-known long-cycle trend without a distinct trigger or preferred entry.</x:v>
      </x:c>
    </x:row>
    <x:row r="109">
      <x:c r="A109" t="str">
        <x:v>EV-2026-104</x:v>
      </x:c>
      <x:c r="B109"/>
      <x:c r="C109" s="21" t="n">
        <x:v>46283.3533217593</x:v>
      </x:c>
      <x:c r="D109" t="str">
        <x:v>Rejected Motley Fool trigger</x:v>
      </x:c>
      <x:c r="E109" t="str">
        <x:v>The Motley Fool — Dave Kovaleski</x:v>
      </x:c>
      <x:c r="F109" t="str">
        <x:v>Idea generator only</x:v>
      </x:c>
      <x:c r="G109" s="44" t="str">
        <x:v>https://www.fool.com/investing/2026/09/18/market-signal-seen-only-once-point-next/</x:v>
      </x:c>
      <x:c r="H109" s="44" t="str">
        <x:v>Free editorial highlighted a Shiller CAPE near 41 and compared it with prior high-valuation periods. The author disclosed no position; Motley Fool disclosed an Nvidia position and recommendation.</x:v>
      </x:c>
      <x:c r="I109" s="44" t="str">
        <x:v>Rejected as timing thesis</x:v>
      </x:c>
      <x:c r="J109" s="44" t="n">
        <x:v>2</x:v>
      </x:c>
      <x:c r="K109" s="44" t="str">
        <x:v>Claimed variable broad-equity drawdown risk. CAPE is a valuation modifier, not a reliable short-horizon timing trigger; no new thesis or short expression created.</x:v>
      </x:c>
    </x:row>
    <x:row r="110">
      <x:c r="A110" t="str">
        <x:v>EV-2026-105</x:v>
      </x:c>
      <x:c r="B110"/>
      <x:c r="C110" s="21" t="n">
        <x:v>46283.3533217593</x:v>
      </x:c>
      <x:c r="D110" t="str">
        <x:v>Macro policy watch</x:v>
      </x:c>
      <x:c r="E110" t="str">
        <x:v>Reuters / Bank of Japan</x:v>
      </x:c>
      <x:c r="F110" t="str">
        <x:v>High quality reporting on primary policy action</x:v>
      </x:c>
      <x:c r="G110" s="44" t="str">
        <x:v>https://www.reuters.com/world/asia-pacific/yen-weak-ahead-boj-decision-rate-hike-expected-2026-09-18/</x:v>
      </x:c>
      <x:c r="H110" s="44" t="str">
        <x:v>The Bank of Japan raised its policy rate to 1.25%, a 31-year high, but the yen weakened because guidance and the vote were less hawkish than expected.</x:v>
      </x:c>
      <x:c r="I110" s="44" t="str">
        <x:v>Watch only</x:v>
      </x:c>
      <x:c r="J110" s="44" t="n">
        <x:v>3</x:v>
      </x:c>
      <x:c r="K110" s="44" t="str">
        <x:v>The action was broadly anticipated and produced no independently confirmed, favorable cross-asset expression. No thesis created.</x:v>
      </x:c>
    </x:row>
    <x:row r="111">
      <x:c r="A111" t="str">
        <x:v>EV-2026-106</x:v>
      </x:c>
      <x:c r="B111" t="str">
        <x:v>EEI-2026-003</x:v>
      </x:c>
      <x:c r="C111" s="53" t="n">
        <x:v>46283.4610069444</x:v>
      </x:c>
      <x:c r="D111" t="str">
        <x:v>Political trigger update</x:v>
      </x:c>
      <x:c r="E111" t="str">
        <x:v>Reuters</x:v>
      </x:c>
      <x:c r="F111" t="str">
        <x:v>High quality reporting</x:v>
      </x:c>
      <x:c r="G111" s="44" t="str">
        <x:v>https://www.reuters.com/legal/government/trump-linked-pop-up-pacs-blitz-ohio-with-ads-against-brown-costly-senate-race-2026-09-18/</x:v>
      </x:c>
      <x:c r="H111" s="44" t="str">
        <x:v>Political groups added roughly $14 million of advertising in a competitive Ohio Senate race that could be consequential for chamber control.</x:v>
      </x:c>
      <x:c r="I111" s="44" t="str">
        <x:v>Confirms uncertainty; no outcome</x:v>
      </x:c>
      <x:c r="J111" s="44" t="n">
        <x:v>4</x:v>
      </x:c>
      <x:c r="K111" s="44" t="str">
        <x:v>Campaign spending confirms that the race is active and high-stakes, but it does not independently establish Senate control or a policy outcome.</x:v>
      </x:c>
    </x:row>
    <x:row r="112">
      <x:c r="A112" t="str">
        <x:v>EV-2026-107</x:v>
      </x:c>
      <x:c r="B112" t="str">
        <x:v>EEI-2026-003</x:v>
      </x:c>
      <x:c r="C112" s="53" t="n">
        <x:v>46283.4610069444</x:v>
      </x:c>
      <x:c r="D112" t="str">
        <x:v>Market contradiction</x:v>
      </x:c>
      <x:c r="E112" t="str">
        <x:v>Reuters</x:v>
      </x:c>
      <x:c r="F112" t="str">
        <x:v>High quality reporting and market data</x:v>
      </x:c>
      <x:c r="G112" s="44" t="str">
        <x:v>https://www.reuters.com/business/nasdaq-futures-lead-wall-st-gains-oil-retreat-eases-inflation-worries-2026-09-18/</x:v>
      </x:c>
      <x:c r="H112" s="44" t="str">
        <x:v>Friday breadth was negative on both major exchanges, materials fell about 1.4%, and the 10-year Treasury yield moved back near 5%.</x:v>
      </x:c>
      <x:c r="I112" s="44" t="str">
        <x:v>Weakens market confirmation</x:v>
      </x:c>
      <x:c r="J112" s="44" t="n">
        <x:v>5</x:v>
      </x:c>
      <x:c r="K112" s="44" t="str">
        <x:v>Triple-witching can amplify intraday volatility, but IWM, XBI and RSP also failed the follow-through test from Thursday's broad session.</x:v>
      </x:c>
    </x:row>
    <x:row r="113">
      <x:c r="A113" t="str">
        <x:v>EV-2026-108</x:v>
      </x:c>
      <x:c r="B113" t="str">
        <x:v>EEI-2026-003</x:v>
      </x:c>
      <x:c r="C113" s="53" t="n">
        <x:v>46283.4610069444</x:v>
      </x:c>
      <x:c r="D113" t="str">
        <x:v>Adverse macro modifier</x:v>
      </x:c>
      <x:c r="E113" t="str">
        <x:v>Reuters</x:v>
      </x:c>
      <x:c r="F113" t="str">
        <x:v>High quality reporting and market data</x:v>
      </x:c>
      <x:c r="G113" s="44" t="str">
        <x:v>https://www.reuters.com/business/energy/oil-prices-fall-1-hopes-limited-supply-disruptions-2026-09-18/</x:v>
      </x:c>
      <x:c r="H113" s="44" t="str">
        <x:v>Brent traded around $104.49 while damage to Saudi export infrastructure and Middle East shipping risks kept the supply premium elevated.</x:v>
      </x:c>
      <x:c r="I113" s="44" t="str">
        <x:v>Maintains oil-inflation-rates headwind</x:v>
      </x:c>
      <x:c r="J113" s="44" t="n">
        <x:v>5</x:v>
      </x:c>
      <x:c r="K113" s="44" t="str">
        <x:v>Oil is a modifier to the midterm thesis, not part of it. Partial Saudi restoration and higher product supply remain countervailing evidence.</x:v>
      </x:c>
    </x:row>
    <x:row r="114">
      <x:c r="A114" t="str">
        <x:v>EV-2026-109</x:v>
      </x:c>
      <x:c r="B114" t="str">
        <x:v>EEI-2026-003</x:v>
      </x:c>
      <x:c r="C114" s="53" t="n">
        <x:v>46283.4610069444</x:v>
      </x:c>
      <x:c r="D114" t="str">
        <x:v>Positioning and flows</x:v>
      </x:c>
      <x:c r="E114" t="str">
        <x:v>Reuters / LSEG Lipper</x:v>
      </x:c>
      <x:c r="F114" t="str">
        <x:v>High quality reporting on fund-flow data</x:v>
      </x:c>
      <x:c r="G114" s="44" t="str">
        <x:v>https://www.reuters.com/business/us-equity-funds-post-fourth-weekly-outflow-inflation-worries-rate-concerns-2026-09-18/</x:v>
      </x:c>
      <x:c r="H114" s="44" t="str">
        <x:v>U.S. equity funds had $31.44 billion of net outflows for a fourth week, while small-cap funds drew $568 million and sector funds attracted technology, financial and consumer-discretionary inflows.</x:v>
      </x:c>
      <x:c r="I114" s="44" t="str">
        <x:v>Mixed; broad caution with selective breadth</x:v>
      </x:c>
      <x:c r="J114" s="44" t="n">
        <x:v>4</x:v>
      </x:c>
      <x:c r="K114" s="44" t="str">
        <x:v>The small-cap inflow is supportive, but total outflows and concentration in selected sectors do not confirm a durable broad risk-on rotation.</x:v>
      </x:c>
    </x:row>
    <x:row r="115">
      <x:c r="A115" t="str">
        <x:v>EV-2026-110</x:v>
      </x:c>
      <x:c r="B115" t="str">
        <x:v>EEI-2026-001</x:v>
      </x:c>
      <x:c r="C115" s="21" t="n">
        <x:v>46283.6819444444</x:v>
      </x:c>
      <x:c r="D115" t="str">
        <x:v>Final outcome and contradiction</x:v>
      </x:c>
      <x:c r="E115" t="str">
        <x:v>Reuters</x:v>
      </x:c>
      <x:c r="F115" t="str">
        <x:v>High quality reporting and market data</x:v>
      </x:c>
      <x:c r="G115" s="44" t="str">
        <x:v>https://www.reuters.com/business/energy/oil-prices-fall-1-hopes-limited-supply-disruptions-2026-09-18/</x:v>
      </x:c>
      <x:c r="H115" s="44" t="str">
        <x:v>Brent settled at $104.87 and WTI at $100.30 on September 18. Only four commodity vessels crossed Hormuz Thursday versus a 10-day average near 16, while China pressed Iran to curb Houthi attacks and Saudi Arabia sought partial East-West pipeline restoration.</x:v>
      </x:c>
      <x:c r="I115" s="44" t="str">
        <x:v>Confirms thesis outcome; strengthens invalidation path</x:v>
      </x:c>
      <x:c r="J115" s="44" t="n">
        <x:v>5</x:v>
      </x:c>
      <x:c r="K115" s="44" t="str">
        <x:v>The supply-risk premium remained elevated through the horizon, but diplomacy and repair expectations pulled prices back from the week's highs and justified closing a low-edge thesis.</x:v>
      </x:c>
    </x:row>
    <x:row r="116">
      <x:c r="A116" t="str">
        <x:v>EV-2026-111</x:v>
      </x:c>
      <x:c r="B116" t="str">
        <x:v>EEI-2026-001</x:v>
      </x:c>
      <x:c r="C116" s="21" t="n">
        <x:v>46283.6819444444</x:v>
      </x:c>
      <x:c r="D116" t="str">
        <x:v>Paper-trade outcome</x:v>
      </x:c>
      <x:c r="E116" t="str">
        <x:v>Market data — BNO</x:v>
      </x:c>
      <x:c r="F116" t="str">
        <x:v>Exchange quote data</x:v>
      </x:c>
      <x:c r="G116" s="44" t="str">
        <x:v>https://finance.yahoo.com/quote/BNO/</x:v>
      </x:c>
      <x:c r="H116" s="44" t="str">
        <x:v>BNO closed September 18 at $60.55. The $1,000 paper position entered at $57.21 was worth $1,058.38, a gain of $58.38 or 5.84%.</x:v>
      </x:c>
      <x:c r="I116" s="44" t="str">
        <x:v>Confirms direct Brent expression</x:v>
      </x:c>
      <x:c r="J116" s="44" t="n">
        <x:v>4</x:v>
      </x:c>
      <x:c r="K116" s="44" t="str">
        <x:v>Fractional shares: 17.47946163. Hypothetical paper trade only.</x:v>
      </x:c>
    </x:row>
    <x:row r="117">
      <x:c r="A117" t="str">
        <x:v>EV-2026-112</x:v>
      </x:c>
      <x:c r="B117" t="str">
        <x:v>EEI-2026-001</x:v>
      </x:c>
      <x:c r="C117" s="21" t="n">
        <x:v>46283.6819444444</x:v>
      </x:c>
      <x:c r="D117" t="str">
        <x:v>Paper-trade outcome</x:v>
      </x:c>
      <x:c r="E117" t="str">
        <x:v>Market data — USO</x:v>
      </x:c>
      <x:c r="F117" t="str">
        <x:v>Exchange quote data</x:v>
      </x:c>
      <x:c r="G117" s="44" t="str">
        <x:v>https://finance.yahoo.com/quote/USO/</x:v>
      </x:c>
      <x:c r="H117" s="44" t="str">
        <x:v>USO closed September 18 at $153.87. The $1,000 paper position entered at $144.60 was worth $1,064.11, a gain of $64.11 or 6.41%.</x:v>
      </x:c>
      <x:c r="I117" s="44" t="str">
        <x:v>Confirms direct WTI expression</x:v>
      </x:c>
      <x:c r="J117" s="44" t="n">
        <x:v>4</x:v>
      </x:c>
      <x:c r="K117" s="44" t="str">
        <x:v>Fractional shares: 6.91562932. Hypothetical paper trade only.</x:v>
      </x:c>
    </x:row>
    <x:row r="118">
      <x:c r="A118" t="str">
        <x:v>EV-2026-113</x:v>
      </x:c>
      <x:c r="B118" t="str">
        <x:v>EEI-2026-001</x:v>
      </x:c>
      <x:c r="C118" s="21" t="n">
        <x:v>46283.6819444444</x:v>
      </x:c>
      <x:c r="D118" t="str">
        <x:v>Paper-trade outcome</x:v>
      </x:c>
      <x:c r="E118" t="str">
        <x:v>Market data — XOP</x:v>
      </x:c>
      <x:c r="F118" t="str">
        <x:v>Exchange quote data</x:v>
      </x:c>
      <x:c r="G118" s="44" t="str">
        <x:v>https://finance.yahoo.com/quote/XOP/</x:v>
      </x:c>
      <x:c r="H118" s="44" t="str">
        <x:v>XOP closed September 18 at $190.65. The $1,000 paper position entered at $193.84 was worth $983.54, a loss of $16.46 or 1.65%.</x:v>
      </x:c>
      <x:c r="I118" s="44" t="str">
        <x:v>Invalidates indirect producer-equity expression</x:v>
      </x:c>
      <x:c r="J118" s="44" t="n">
        <x:v>4</x:v>
      </x:c>
      <x:c r="K118" s="44" t="str">
        <x:v>Fractional shares: 5.15889393. The weaker result supports preferring the cleanest instrument for the predicted economic variable. Hypothetical paper trade only.</x:v>
      </x:c>
    </x:row>
    <x:row r="119">
      <x:c r="A119" t="str">
        <x:v>EV-2026-114</x:v>
      </x:c>
      <x:c r="B119" t="str">
        <x:v>EEI-2026-010</x:v>
      </x:c>
      <x:c r="C119" s="21" t="n">
        <x:v>46284.33085648148</x:v>
      </x:c>
      <x:c r="D119" t="str">
        <x:v>Primary regulatory trigger</x:v>
      </x:c>
      <x:c r="E119" t="str">
        <x:v>European Commission</x:v>
      </x:c>
      <x:c r="F119" t="str">
        <x:v>Primary government record</x:v>
      </x:c>
      <x:c r="G119" s="44" t="str">
        <x:v>https://policy.trade.ec.europa.eu/news/commission-imposes-provisional-safeguard-measures-imports-grain-oriented-electrical-steel-2026-09-18_en</x:v>
      </x:c>
      <x:c r="H119" s="44" t="str">
        <x:v>The Commission imposed provisional tariff-rate quotas and price thresholds on GOES, laminations and transformer cores, including cores already incorporated in transformers. The measures take effect September 25, follow a March investigation and are intended to protect strategic EU energy infrastructure.</x:v>
      </x:c>
      <x:c r="I119" s="44" t="str">
        <x:v>Confirms trigger and full-chain scope</x:v>
      </x:c>
      <x:c r="J119" s="44" t="n">
        <x:v>5</x:v>
      </x:c>
      <x:c r="K119" s="44" t="str">
        <x:v>The Commission says definitive measures require a qualified majority of at least 15 member states representing 65% of the EU population; the provisional step alone does not establish a durable company outcome.</x:v>
      </x:c>
    </x:row>
    <x:row r="120">
      <x:c r="A120" t="str">
        <x:v>EV-2026-115</x:v>
      </x:c>
      <x:c r="B120" t="str">
        <x:v>EEI-2026-010</x:v>
      </x:c>
      <x:c r="C120" s="21" t="n">
        <x:v>46284.33085648148</x:v>
      </x:c>
      <x:c r="D120" t="str">
        <x:v>Independent economic confirmation</x:v>
      </x:c>
      <x:c r="E120" t="str">
        <x:v>Reuters</x:v>
      </x:c>
      <x:c r="F120" t="str">
        <x:v>High quality reporting</x:v>
      </x:c>
      <x:c r="G120" s="44" t="str">
        <x:v>https://www.reuters.com/business/energy/eu-impose-provisional-safeguards-protect-electrical-steel-imports-2026-09-18/</x:v>
      </x:c>
      <x:c r="H120" s="44" t="str">
        <x:v>Reuters reported price floors of roughly EUR2,800-EUR3,400 per metric ton within quotas and EUR3,500 above them. Thyssenkrupp Steel Europe and Poland's Stalprodukt are among the last European producers; Chinese supply represented more than half of EU imports of the steel and downstream products in 2025.</x:v>
      </x:c>
      <x:c r="I120" s="44" t="str">
        <x:v>Supports pricing and utilization mechanism</x:v>
      </x:c>
      <x:c r="J120" s="44" t="n">
        <x:v>5</x:v>
      </x:c>
      <x:c r="K120" s="44" t="str">
        <x:v>The measure is provisional for 155 days. Beneficiary exposure is indirect or illiquid, and there is no reliable post-announcement market confirmation yet.</x:v>
      </x:c>
    </x:row>
    <x:row r="121">
      <x:c r="A121" t="str">
        <x:v>EV-2026-116</x:v>
      </x:c>
      <x:c r="B121" t="str">
        <x:v>EEI-2026-009</x:v>
      </x:c>
      <x:c r="C121" s="21" t="n">
        <x:v>46284.33085648148</x:v>
      </x:c>
      <x:c r="D121" t="str">
        <x:v>Physical supply confirmation</x:v>
      </x:c>
      <x:c r="E121" t="str">
        <x:v>Reuters / Bloomberg reporting</x:v>
      </x:c>
      <x:c r="F121" t="str">
        <x:v>High quality reporting</x:v>
      </x:c>
      <x:c r="G121" s="44" t="str">
        <x:v>https://www.reuters.com/business/energy/aramco-halts-october-crude-deliveries-some-european-refiners-after-pipeline-2026-09-18/</x:v>
      </x:c>
      <x:c r="H121" s="44" t="str">
        <x:v>Saudi Aramco halted October term crude deliveries to at least two European refiners after the East-West pipeline attack. Buyers sought North Sea replacement barrels while partial pipeline restart was expected sooner than full restoration.</x:v>
      </x:c>
      <x:c r="I121" s="44" t="str">
        <x:v>Strengthens feedstock-scarcity mechanism</x:v>
      </x:c>
      <x:c r="J121" s="44" t="n">
        <x:v>4</x:v>
      </x:c>
      <x:c r="K121" s="44" t="str">
        <x:v>Aramco did not immediately comment, and partial restoration plus alternative barrels could reduce the disruption before it reaches refinery throughput or margins.</x:v>
      </x:c>
    </x:row>
    <x:row r="122">
      <x:c r="A122" t="str">
        <x:v>EV-2026-117</x:v>
      </x:c>
      <x:c r="B122" t="str">
        <x:v>EEI-2026-009</x:v>
      </x:c>
      <x:c r="C122" s="21" t="n">
        <x:v>46284.33085648148</x:v>
      </x:c>
      <x:c r="D122" t="str">
        <x:v>Policy intervention modifier</x:v>
      </x:c>
      <x:c r="E122" t="str">
        <x:v>Reuters</x:v>
      </x:c>
      <x:c r="F122" t="str">
        <x:v>High quality reporting on official comments</x:v>
      </x:c>
      <x:c r="G122" s="44" t="str">
        <x:v>https://www.reuters.com/business/energy/frances-macron-says-g7-will-meet-discuss-energy-crisis-coming-weeks-2026-09-18/</x:v>
      </x:c>
      <x:c r="H122" s="44" t="str">
        <x:v>French President Emmanuel Macron said a G7 energy meeting would consider additional strategic-reserve releases or lifting restrictions to secure supplies during the energy crisis.</x:v>
      </x:c>
      <x:c r="I122" s="44" t="str">
        <x:v>Contradicts durability and caps trading edge</x:v>
      </x:c>
      <x:c r="J122" s="44" t="n">
        <x:v>4</x:v>
      </x:c>
      <x:c r="K122" s="44" t="str">
        <x:v>No coordinated release has been agreed. Reserve action can soften prices and logistics temporarily but may not cure a persistent physical chokepoint or refinery outage.</x:v>
      </x:c>
    </x:row>
    <x:row r="123">
      <x:c r="A123" t="str">
        <x:v>EV-2026-118</x:v>
      </x:c>
      <x:c r="B123"/>
      <x:c r="C123" s="21" t="n">
        <x:v>46284.33085648148</x:v>
      </x:c>
      <x:c r="D123" t="str">
        <x:v>Rejected government-award trigger</x:v>
      </x:c>
      <x:c r="E123" t="str">
        <x:v>Department of War</x:v>
      </x:c>
      <x:c r="F123" t="str">
        <x:v>Primary government contract announcement</x:v>
      </x:c>
      <x:c r="G123" s="44" t="str">
        <x:v>https://www.war.gov/News/Contracts/Contract/Article/4605498/contracts-for-sept-18-2026/</x:v>
      </x:c>
      <x:c r="H123" s="44" t="str">
        <x:v>Lockheed Martin Corp., parent Lockheed Martin, received Navy modification P00002 to IDIQ contract N0001926D0010. The $871,243,964 ceiling increase adds F-35 site-activation and sustainment capacity through February 2031; no funds were obligated at award, work is 90% El Segundo and 10% Fort Worth, and the modification was not competed. The relevant category is F-35 sustainment/support equipment; public NAICS or PSC detail was not identified in the announcement.</x:v>
      </x:c>
      <x:c r="I123" s="44" t="str">
        <x:v>Rejected as routine modification, not new award</x:v>
      </x:c>
      <x:c r="J123" s="44" t="n">
        <x:v>4</x:v>
      </x:c>
      <x:c r="K123" s="44" t="str">
        <x:v>Current and potential incremental value are the same ceiling increase, but obligation is zero until orders issue. Against Lockheed Martin's scale and established F-35 backlog, the change is not a distinct surprise or independently investable thesis.</x:v>
      </x:c>
    </x:row>
    <x:row r="124">
      <x:c r="A124" t="str">
        <x:v>EV-2026-119</x:v>
      </x:c>
      <x:c r="B124"/>
      <x:c r="C124" s="21" t="n">
        <x:v>46284.33085648148</x:v>
      </x:c>
      <x:c r="D124" t="str">
        <x:v>Rejected Motley Fool trigger</x:v>
      </x:c>
      <x:c r="E124" t="str">
        <x:v>The Motley Fool — Neil Patel</x:v>
      </x:c>
      <x:c r="F124" t="str">
        <x:v>Idea generator only</x:v>
      </x:c>
      <x:c r="G124" s="44" t="str">
        <x:v>https://www.fool.com/investing/2026/09/19/sofi-technologies-stock-buy-sell-hold-52-week-high/</x:v>
      </x:c>
      <x:c r="H124" s="44" t="str">
        <x:v>Free editorial at 5:00 a.m. ET recommended SOFI after a 49% drawdown, citing member growth, revenue growth and improving credit. The author and Motley Fool disclosed no position. Reuters independently confirmed strong July Q2 growth but also that an unchanged profit forecast drove a 9% post-report decline.</x:v>
      </x:c>
      <x:c r="I124" s="44" t="str">
        <x:v>Rejected; no new dated primary catalyst</x:v>
      </x:c>
      <x:c r="J124" s="44" t="n">
        <x:v>3</x:v>
      </x:c>
      <x:c r="K124" s="44" t="str">
        <x:v>Ticker SOFI; claimed variable revenue, member growth, credit performance and profit over five years. The underlying event is July earnings, credit risk remains the key bear case, and the article does not create a new entry trigger beyond price weakness.</x:v>
      </x:c>
    </x:row>
    <x:row r="125">
      <x:c r="A125" t="str">
        <x:v>EV-2026-120</x:v>
      </x:c>
      <x:c r="B125"/>
      <x:c r="C125" s="21" t="n">
        <x:v>46284.33085648148</x:v>
      </x:c>
      <x:c r="D125" t="str">
        <x:v>Rejected Motley Fool trigger</x:v>
      </x:c>
      <x:c r="E125" t="str">
        <x:v>The Motley Fool — Daniel Sparks</x:v>
      </x:c>
      <x:c r="F125" t="str">
        <x:v>Idea generator only</x:v>
      </x:c>
      <x:c r="G125" s="44" t="str">
        <x:v>https://www.fool.com/investing/2026/09/19/sandisk-joins-the-s-and-p-100-on-monday-the-same-day-nike-leaves-it/</x:v>
      </x:c>
      <x:c r="H125" s="44" t="str">
        <x:v>Free editorial at 12:53 a.m. ET discussed SNDK's September 21 S&amp;P 100 inclusion and NKE removal. The author and clients disclosed no positions; Motley Fool disclosed a Nike position. The article estimated only modest incremental index demand because Sandisk was already in the S&amp;P 500 and reported an 11% Friday jump.</x:v>
      </x:c>
      <x:c r="I125" s="44" t="str">
        <x:v>Rejected as already-priced index-flow timing</x:v>
      </x:c>
      <x:c r="J125" s="44" t="n">
        <x:v>3</x:v>
      </x:c>
      <x:c r="K125" s="44" t="str">
        <x:v>Tickers SNDK and NKE; claimed variable passive index demand over days. The article itself estimates flows small relative to normal volume, Friday supplied a sharp pre-event move, and slowing sequential growth leaves poor reward-to-invalidation for a fresh thesis.</x:v>
      </x:c>
    </x:row>
    <x:row r="126">
      <x:c r="A126" t="str">
        <x:v>EV-2026-121</x:v>
      </x:c>
      <x:c r="B126"/>
      <x:c r="C126" s="21" t="n">
        <x:v>46284.33085648148</x:v>
      </x:c>
      <x:c r="D126" t="str">
        <x:v>Rejected Motley Fool trigger</x:v>
      </x:c>
      <x:c r="E126" t="str">
        <x:v>The Motley Fool — Rick Orford</x:v>
      </x:c>
      <x:c r="F126" t="str">
        <x:v>Idea generator only</x:v>
      </x:c>
      <x:c r="G126" s="44" t="str">
        <x:v>https://www.fool.com/investing/2026/09/19/got-1000-2-no-brainer-nuclear-stocks-to-buy-right/</x:v>
      </x:c>
      <x:c r="H126" s="44" t="str">
        <x:v>Free editorial at 1:30 a.m. ET named OKLO and CCJ on rising nuclear demand. The author disclosed a Meta position; Motley Fool disclosed a Cameco position and recommendation. Oklo remained pre-revenue with a reported $124.2 million operating loss, while Cameco is an established uranium and Westinghouse exposure.</x:v>
      </x:c>
      <x:c r="I126" s="44" t="str">
        <x:v>Rejected as non-distinct secular theme</x:v>
      </x:c>
      <x:c r="J126" s="44" t="n">
        <x:v>2</x:v>
      </x:c>
      <x:c r="K126" s="44" t="str">
        <x:v>Tickers OKLO and CCJ; claimed variable nuclear demand and revenue over years. No new dated catalyst or favorable entry structure was identified, and Oklo's pre-revenue execution risk is materially different from Cameco's commodity and Westinghouse exposure.</x:v>
      </x:c>
    </x:row>
    <x:row r="127">
      <x:c r="A127" t="str">
        <x:v>EV-2026-122</x:v>
      </x:c>
      <x:c r="B127"/>
      <x:c r="C127" s="21" t="n">
        <x:v>46284.33085648148</x:v>
      </x:c>
      <x:c r="D127" t="str">
        <x:v>Rejected Motley Fool trigger</x:v>
      </x:c>
      <x:c r="E127" t="str">
        <x:v>The Motley Fool — Daniel Sparks</x:v>
      </x:c>
      <x:c r="F127" t="str">
        <x:v>Idea generator only</x:v>
      </x:c>
      <x:c r="G127" s="44" t="str">
        <x:v>https://www.fool.com/investing/2026/09/19/semiconductor-stocks-to-buy-and-hold-through-2030/</x:v>
      </x:c>
      <x:c r="H127" s="44" t="str">
        <x:v>Free editorial at 5:17 a.m. ET favored NVDA, AVGO and MRVL and held MU, using already-published company growth and guidance. The author and clients disclosed no positions; Motley Fool disclosed positions and recommendations in all four.</x:v>
      </x:c>
      <x:c r="I127" s="44" t="str">
        <x:v>Rejected as non-distinct and already repriced</x:v>
      </x:c>
      <x:c r="J127" s="44" t="n">
        <x:v>2</x:v>
      </x:c>
      <x:c r="K127" s="44" t="str">
        <x:v>Tickers NVDA, AVGO, MRVL and MU; claimed variable AI-chip revenue and margin durability through 2030. The article adds no new primary event, valuations and recent gains already incorporate strong growth, and the semiconductor-cycle bear case remains material.</x:v>
      </x:c>
    </x:row>
    <x:row r="128">
      <x:c r="A128" t="str">
        <x:v>EV-2026-123</x:v>
      </x:c>
      <x:c r="B128"/>
      <x:c r="C128" s="21" t="n">
        <x:v>46284.33085648148</x:v>
      </x:c>
      <x:c r="D128" t="str">
        <x:v>Rejected Motley Fool trigger</x:v>
      </x:c>
      <x:c r="E128" t="str">
        <x:v>The Motley Fool — Ryan Vanzo</x:v>
      </x:c>
      <x:c r="F128" t="str">
        <x:v>Idea generator only</x:v>
      </x:c>
      <x:c r="G128" s="44" t="str">
        <x:v>https://www.fool.com/investing/2026/09/19/3-wall-street-analysts-predict-100-upside-for-plug/</x:v>
      </x:c>
      <x:c r="H128" s="44" t="str">
        <x:v>Free editorial at 2:05 a.m. ET reviewed bullish analyst targets for PLUG but explicitly rejected the stock. The author disclosed no position; Motley Fool disclosed no Plug Power position or recommendation.</x:v>
      </x:c>
      <x:c r="I128" s="44" t="str">
        <x:v>Rejected; analyst targets are not confirmation</x:v>
      </x:c>
      <x:c r="J128" s="44" t="n">
        <x:v>2</x:v>
      </x:c>
      <x:c r="K128" s="44" t="str">
        <x:v>Ticker PLUG; claimed variable hydrogen revenue and cash burn over years. No new primary catalyst was established, and the writer's own conclusion plus financing and execution risk fail the basic escalation threshold.</x:v>
      </x:c>
    </x:row>
    <x:row r="129">
      <x:c r="A129" t="str">
        <x:v>EV-2026-124</x:v>
      </x:c>
      <x:c r="B129" t="str">
        <x:v>EEI-2026-003</x:v>
      </x:c>
      <x:c r="C129" s="53" t="n">
        <x:v>46284.4750462963</x:v>
      </x:c>
      <x:c r="D129" t="str">
        <x:v>Final market confirmation</x:v>
      </x:c>
      <x:c r="E129" t="str">
        <x:v>Reuters / market data</x:v>
      </x:c>
      <x:c r="F129" t="str">
        <x:v>High quality reporting and exchange quote data</x:v>
      </x:c>
      <x:c r="G129" s="44" t="str">
        <x:v>https://www.reuters.com/business/nasdaq-futures-lead-wall-st-gains-oil-retreat-eases-inflation-worries-2026-09-18/</x:v>
      </x:c>
      <x:c r="H129" s="44" t="str">
        <x:v>The S&amp;P 500 gained 0.17% and Nasdaq 0.40% on technology leadership, but decliners led 1.78-to-1 on the NYSE and 1.42-to-1 on Nasdaq; the 10-year Treasury yield topped 5% and crude stayed above $100.</x:v>
      </x:c>
      <x:c r="I129" s="44" t="str">
        <x:v>Weakens breadth mechanism</x:v>
      </x:c>
      <x:c r="J129" s="44" t="n">
        <x:v>5</x:v>
      </x:c>
      <x:c r="K129" s="44" t="str">
        <x:v>Final candidate closes reinforced the contradiction: RSP, IWM and XBI lagged SPY. XLI showed relative strength, while CPER rose and XLB fell sharply.</x:v>
      </x:c>
    </x:row>
    <x:row r="130">
      <x:c r="A130" t="str">
        <x:v>EV-2026-125</x:v>
      </x:c>
      <x:c r="B130" t="str">
        <x:v>EEI-2026-003</x:v>
      </x:c>
      <x:c r="C130" s="53" t="n">
        <x:v>46284.4750462963</x:v>
      </x:c>
      <x:c r="D130" t="str">
        <x:v>Political trigger update</x:v>
      </x:c>
      <x:c r="E130" t="str">
        <x:v>Reuters</x:v>
      </x:c>
      <x:c r="F130" t="str">
        <x:v>High quality reporting</x:v>
      </x:c>
      <x:c r="G130" s="44" t="str">
        <x:v>https://www.reuters.com/legal/government/lingering-feuds-threaten-democrats-bid-reclaim-us-congress-2026-09-19/</x:v>
      </x:c>
      <x:c r="H130" s="44" t="str">
        <x:v>Reuters reported unresolved coordination and endorsement disputes in several competitive states while control of both congressional chambers remains at stake.</x:v>
      </x:c>
      <x:c r="I130" s="44" t="str">
        <x:v>Confirms uncertainty; no control outcome</x:v>
      </x:c>
      <x:c r="J130" s="44" t="n">
        <x:v>4</x:v>
      </x:c>
      <x:c r="K130" s="44" t="str">
        <x:v>The reporting may affect campaign execution, but it does not independently establish House or Senate control or a specific economic-policy result.</x:v>
      </x:c>
    </x:row>
    <x:row r="131">
      <x:c r="A131" t="str">
        <x:v>EV-2026-126</x:v>
      </x:c>
      <x:c r="B131" t="str">
        <x:v>EEI-2026-003</x:v>
      </x:c>
      <x:c r="C131" s="53" t="n">
        <x:v>46284.4750462963</x:v>
      </x:c>
      <x:c r="D131" t="str">
        <x:v>Sector policy modifier</x:v>
      </x:c>
      <x:c r="E131" t="str">
        <x:v>Reuters</x:v>
      </x:c>
      <x:c r="F131" t="str">
        <x:v>High quality reporting</x:v>
      </x:c>
      <x:c r="G131" s="44" t="str">
        <x:v>https://www.reuters.com/legal/government/democrats-try-ride-data-center-backlash-election-victory-rural-us-midwest-2026-09-19/</x:v>
      </x:c>
      <x:c r="H131" s="44" t="str">
        <x:v>Ohio's governor suspended new data-center tax-exemption applications pending reforms, Defiance imposed a six-month approval moratorium, and competing policy proposals would make developers bear more power and infrastructure costs.</x:v>
      </x:c>
      <x:c r="I131" s="44" t="str">
        <x:v>Weakens indiscriminate data-center sector mapping</x:v>
      </x:c>
      <x:c r="J131" s="44" t="n">
        <x:v>4</x:v>
      </x:c>
      <x:c r="K131" s="44" t="str">
        <x:v>This is a state and local policy modifier, not a national congressional trigger. It raises execution risk for broad XLI/XLB expressions tied to data-center construction.</x:v>
      </x:c>
    </x:row>
    <x:row r="132">
      <x:c r="A132" t="str">
        <x:v>EV-2026-127</x:v>
      </x:c>
      <x:c r="B132" t="str">
        <x:v>EEI-2026-009</x:v>
      </x:c>
      <x:c r="C132" s="21" t="n">
        <x:v>46285.3341319444</x:v>
      </x:c>
      <x:c r="D132" t="str">
        <x:v>Refinery disruption confirmation</x:v>
      </x:c>
      <x:c r="E132" t="str">
        <x:v>Reuters</x:v>
      </x:c>
      <x:c r="F132" t="str">
        <x:v>High quality reporting</x:v>
      </x:c>
      <x:c r="G132" s="44" t="str">
        <x:v>https://www.reuters.com/world/europe/two-dead-moscow-region-drones-hit-oil-refinery-russian-capital-2026-09-20/</x:v>
      </x:c>
      <x:c r="H132" s="44" t="str">
        <x:v>A large Ukrainian drone attack damaged a unit at Moscow's Gazprom Neft refinery. The strike extends the sequence of Russian refinery disruptions while global diesel supply is already constrained.</x:v>
      </x:c>
      <x:c r="I132" s="44" t="str">
        <x:v>Strengthens refinery-capacity scarcity</x:v>
      </x:c>
      <x:c r="J132" s="44" t="n">
        <x:v>4</x:v>
      </x:c>
      <x:c r="K132" s="44" t="str">
        <x:v>Damage and downtime were not yet fully quantified. Russia may redirect output, repair capacity or use inventories, so the event confirms stress but not its duration.</x:v>
      </x:c>
    </x:row>
    <x:row r="133">
      <x:c r="A133" t="str">
        <x:v>EV-2026-128</x:v>
      </x:c>
      <x:c r="B133" t="str">
        <x:v>EEI-2026-009</x:v>
      </x:c>
      <x:c r="C133" s="21" t="n">
        <x:v>46285.3341319444</x:v>
      </x:c>
      <x:c r="D133" t="str">
        <x:v>Substitution and demand modifier</x:v>
      </x:c>
      <x:c r="E133" t="str">
        <x:v>Financial Times</x:v>
      </x:c>
      <x:c r="F133" t="str">
        <x:v>High quality reporting using observable fuel prices</x:v>
      </x:c>
      <x:c r="G133" s="44" t="str">
        <x:v>https://www.ft.com/content/e2cbfd2e-ee56-4d8b-a403-cbaae4cce191</x:v>
      </x:c>
      <x:c r="H133" s="44" t="str">
        <x:v>European marine biodiesel was reported near $985 per metric ton versus about $1,528.50 for marine gasoil, while EU emissions rules improve the compliance economics of switching.</x:v>
      </x:c>
      <x:c r="I133" s="44" t="str">
        <x:v>Contradicts unlimited fossil-diesel demand</x:v>
      </x:c>
      <x:c r="J133" s="44" t="n">
        <x:v>5</x:v>
      </x:c>
      <x:c r="K133" s="44" t="str">
        <x:v>Availability, blending limits and vessel compatibility constrain immediate substitution. The price inversion is nevertheless a concrete cap on the durability of extreme marine-gasoil demand.</x:v>
      </x:c>
    </x:row>
    <x:row r="134">
      <x:c r="A134" t="str">
        <x:v>EV-2026-129</x:v>
      </x:c>
      <x:c r="B134" t="str">
        <x:v>EEI-2026-009</x:v>
      </x:c>
      <x:c r="C134" s="21" t="n">
        <x:v>46285.3341319444</x:v>
      </x:c>
      <x:c r="D134" t="str">
        <x:v>Independent physical-market confirmation</x:v>
      </x:c>
      <x:c r="E134" t="str">
        <x:v>Wall Street Journal</x:v>
      </x:c>
      <x:c r="F134" t="str">
        <x:v>High quality independent reporting</x:v>
      </x:c>
      <x:c r="G134" s="44" t="str">
        <x:v>https://www.wsj.com/business/energy-oil/refineries-are-now-the-main-chokepoint-for-global-energy-supplies-f923e1ba</x:v>
      </x:c>
      <x:c r="H134" s="44" t="str">
        <x:v>The Wall Street Journal identified refineries as the principal global energy chokepoint, with Gulf and Russian diesel exports falling and U.S. diesel reaching $6.45 per gallon on September 18.</x:v>
      </x:c>
      <x:c r="I134" s="44" t="str">
        <x:v>Confirms economic variable and mechanism</x:v>
      </x:c>
      <x:c r="J134" s="44" t="n">
        <x:v>5</x:v>
      </x:c>
      <x:c r="K134" s="44" t="str">
        <x:v>Record product prices invite conservation, substitution, emergency policy action and faster logistics adjustment. The article confirms scarcity but also reinforces headline-chasing risk.</x:v>
      </x:c>
    </x:row>
    <x:row r="135">
      <x:c r="A135" t="str">
        <x:v>EV-2026-130</x:v>
      </x:c>
      <x:c r="B135"/>
      <x:c r="C135" s="21" t="n">
        <x:v>46285.3341319444</x:v>
      </x:c>
      <x:c r="D135" t="str">
        <x:v>Rejected Motley Fool trigger</x:v>
      </x:c>
      <x:c r="E135" t="str">
        <x:v>The Motley Fool — Courtney Carlsen</x:v>
      </x:c>
      <x:c r="F135" t="str">
        <x:v>Idea generator only</x:v>
      </x:c>
      <x:c r="G135" s="44" t="str">
        <x:v>https://www.fool.com/investing/2026/09/20/plug-power-vs-bloom-energy-which-hydrogen-adjacent/</x:v>
      </x:c>
      <x:c r="H135" s="44" t="str">
        <x:v>Free editorial at 2:05 a.m. ET favored Bloom Energy over Plug Power on data-center power demand, revenue growth and profitability. The author disclosed a Bloom Energy position; Motley Fool disclosed positions and recommendations in Bloom Energy and Brookfield.</x:v>
      </x:c>
      <x:c r="I135" s="44" t="str">
        <x:v>Rejected as an already-repriced catalyst</x:v>
      </x:c>
      <x:c r="J135" s="44" t="n">
        <x:v>3</x:v>
      </x:c>
      <x:c r="K135" s="44" t="str">
        <x:v>Ticker BE; claimed variable on-site data-center power revenue, earnings and backlog over years. Independent reporting confirmed Q1 revenue of $751.1 million, a $70.7 million profit, raised 2026 guidance and a $5 billion Brookfield commitment, but the stock had risen more than 1,000% in 12 months. No new dated primary catalyst or favorable entry structure was established.</x:v>
      </x:c>
    </x:row>
    <x:row r="136">
      <x:c r="A136" t="str">
        <x:v>EV-2026-131</x:v>
      </x:c>
      <x:c r="B136"/>
      <x:c r="C136" s="21" t="n">
        <x:v>46285.3341319444</x:v>
      </x:c>
      <x:c r="D136" t="str">
        <x:v>Rejected Motley Fool trigger</x:v>
      </x:c>
      <x:c r="E136" t="str">
        <x:v>The Motley Fool — Parkev Tatevosian, CFA</x:v>
      </x:c>
      <x:c r="F136" t="str">
        <x:v>Idea generator only</x:v>
      </x:c>
      <x:c r="G136" s="44" t="str">
        <x:v>https://www.fool.com/investing/2026/09/20/why-is-everyone-talking-about-planet-labs-stock/</x:v>
      </x:c>
      <x:c r="H136" s="44" t="str">
        <x:v>Free editorial published September 20 used rising geopolitical tension as the reason for renewed attention to Planet Labs. The author disclosed no position; Motley Fool disclosed ownership and a recommendation in Planet Labs and affiliate compensation where applicable.</x:v>
      </x:c>
      <x:c r="I136" s="44" t="str">
        <x:v>Rejected; no new company catalyst</x:v>
      </x:c>
      <x:c r="J136" s="44" t="n">
        <x:v>3</x:v>
      </x:c>
      <x:c r="K136" s="44" t="str">
        <x:v>Ticker PL; claimed variable defense and intelligence imagery demand over years. Independent reporting confirmed 41% quarterly revenue growth and a $900 million backlog, but the stock had already risen several hundred percent over 12 months and a $1.5 billion capital-raise program adds dilution risk. The article relied on September 17 prices and did not identify a new primary event.</x:v>
      </x:c>
    </x:row>
    <x:row r="137">
      <x:c r="A137" t="str">
        <x:v>EV-2026-132</x:v>
      </x:c>
      <x:c r="B137"/>
      <x:c r="C137" s="21" t="n">
        <x:v>46285.3341319444</x:v>
      </x:c>
      <x:c r="D137" t="str">
        <x:v>Rejected government-award and Motley Fool trigger</x:v>
      </x:c>
      <x:c r="E137" t="str">
        <x:v>The Motley Fool — Rich Smith; U.S. Navy contract reporting</x:v>
      </x:c>
      <x:c r="F137" t="str">
        <x:v>Idea generator plus reported government award</x:v>
      </x:c>
      <x:c r="G137" s="44" t="str">
        <x:v>https://www.fool.com/investing/2026/09/20/boeings-mq-25a-stingray-drone-costs-184-million/</x:v>
      </x:c>
      <x:c r="H137" s="44" t="str">
        <x:v>Free editorial at 5:05 a.m. ET highlighted a reported $552 million fixed-price Navy award to Boeing for three MQ-25 Lot One aircraft and long-lead work for three Lot Two aircraft, with completion expected in 2031.</x:v>
      </x:c>
      <x:c r="I137" s="44" t="str">
        <x:v>Rejected pending primary award detail and materiality</x:v>
      </x:c>
      <x:c r="J137" s="44" t="n">
        <x:v>3</x:v>
      </x:c>
      <x:c r="K137" s="44" t="str">
        <x:v>Ticker BA; claimed variable unmanned-aircraft revenue and backlog over years. The accessible public report did not establish the award identifier, obligation amount, competition status, NAICS/PSC or full period-of-performance record. Even the stated ceiling is small relative to Boeing's annual revenue and established defense backlog, so it does not clear the surprise-and-materiality threshold.</x:v>
      </x:c>
    </x:row>
    <x:row r="138">
      <x:c r="A138" t="str">
        <x:v>EV-2026-133</x:v>
      </x:c>
      <x:c r="B138"/>
      <x:c r="C138" s="21" t="n">
        <x:v>46285.3341319444</x:v>
      </x:c>
      <x:c r="D138" t="str">
        <x:v>Rejected Motley Fool trigger</x:v>
      </x:c>
      <x:c r="E138" t="str">
        <x:v>The Motley Fool — Reuben Gregg Brewer</x:v>
      </x:c>
      <x:c r="F138" t="str">
        <x:v>Idea generator only</x:v>
      </x:c>
      <x:c r="G138" s="44" t="str">
        <x:v>https://www.fool.com/investing/2026/09/20/this-overlooked-pipeline-stock-just-became-a-rival/</x:v>
      </x:c>
      <x:c r="H138" s="44" t="str">
        <x:v>Free editorial at 1:15 a.m. ET highlighted MPLX's participation with WhiteWater, Devon, Diamondback and Western Midstream in two Permian-to-Katy natural-gas pipeline projects. The accessible article summary did not provide a new dated transaction beyond the previously announced final investment decision.</x:v>
      </x:c>
      <x:c r="I138" s="44" t="str">
        <x:v>Rejected as stale, non-distinct infrastructure catalyst</x:v>
      </x:c>
      <x:c r="J138" s="44" t="n">
        <x:v>3</x:v>
      </x:c>
      <x:c r="K138" s="44" t="str">
        <x:v>Ticker MPLX; claimed variable pipeline throughput and distributable cash flow over years. Reuters had already reported the final investment decision on August 17. Capital-cost, construction and volume risks remain, and no new primary event or favorable Entry Window was established on September 20.</x:v>
      </x:c>
    </x:row>
    <x:row r="139">
      <x:c r="A139" t="str">
        <x:v>EV-2026-134</x:v>
      </x:c>
      <x:c r="B139" t="str">
        <x:v>EEI-2026-003</x:v>
      </x:c>
      <x:c r="C139" s="53" t="n">
        <x:v>46285.4907638889</x:v>
      </x:c>
      <x:c r="D139" t="str">
        <x:v>Macro contradiction</x:v>
      </x:c>
      <x:c r="E139" t="str">
        <x:v>Reuters</x:v>
      </x:c>
      <x:c r="F139" t="str">
        <x:v>High quality reporting of a Federal Reserve official's remarks</x:v>
      </x:c>
      <x:c r="G139" s="44" t="str">
        <x:v>https://www.reuters.com/business/feds-kashkari-says-inflation-goes-beyond-oil-prices-according-fox-news-interview-2026-09-20/</x:v>
      </x:c>
      <x:c r="H139" s="44" t="str">
        <x:v>Minneapolis Fed President Neel Kashkari said inflation remains too high across the U.S. economy even after excluding volatile energy and food, and supported the September quarter-point rate increase.</x:v>
      </x:c>
      <x:c r="I139" s="44" t="str">
        <x:v>Strengthens inflation-to-rates contradiction</x:v>
      </x:c>
      <x:c r="J139" s="44" t="n">
        <x:v>5</x:v>
      </x:c>
      <x:c r="K139" s="44" t="str">
        <x:v>This weakens the idea that an oil retreat by itself would clear the macro hurdle for broadening. It does not invalidate the midterm uncertainty-relief mechanism, but it lowers the near-term trading edge.</x:v>
      </x:c>
    </x:row>
    <x:row r="140">
      <x:c r="A140" t="str">
        <x:v>EV-2026-135</x:v>
      </x:c>
      <x:c r="B140" t="str">
        <x:v>EEI-2026-003</x:v>
      </x:c>
      <x:c r="C140" s="53" t="n">
        <x:v>46285.4907638889</x:v>
      </x:c>
      <x:c r="D140" t="str">
        <x:v>Trade and sector-policy modifier</x:v>
      </x:c>
      <x:c r="E140" t="str">
        <x:v>Reuters</x:v>
      </x:c>
      <x:c r="F140" t="str">
        <x:v>High quality reporting</x:v>
      </x:c>
      <x:c r="G140" s="44" t="str">
        <x:v>https://www.reuters.com/business/finance/us-treasurys-bessent-chinas-he-launch-talks-ai-trade-critical-minerals-2026-09-20/</x:v>
      </x:c>
      <x:c r="H140" s="44" t="str">
        <x:v>U.S. and Chinese officials began talks on tariffs, AI guardrails and critical-mineral flows ahead of a presidential summit. The trade truce expires November 10, and no agreement had been announced during this check.</x:v>
      </x:c>
      <x:c r="I140" s="44" t="str">
        <x:v>Mixed modifier; no election trigger</x:v>
      </x:c>
      <x:c r="J140" s="44" t="n">
        <x:v>4</x:v>
      </x:c>
      <x:c r="K140" s="44" t="str">
        <x:v>Incremental de-escalation could help industrial, materials and technology supply chains, while renewed tariffs would be adverse. The talks do not establish House or Senate control or a clean candidate-sector signal.</x:v>
      </x:c>
    </x:row>
    <x:row r="141">
      <x:c r="A141" t="str">
        <x:v>EV-2026-136</x:v>
      </x:c>
      <x:c r="B141" t="str">
        <x:v>EEI-2026-002</x:v>
      </x:c>
      <x:c r="C141" s="21" t="n">
        <x:v>46286.35158564815</x:v>
      </x:c>
      <x:c r="D141" t="str">
        <x:v>Supporting supply evidence</x:v>
      </x:c>
      <x:c r="E141" t="str">
        <x:v>Reuters reporting of QatarEnergy CEO remarks</x:v>
      </x:c>
      <x:c r="F141" t="str">
        <x:v>High quality reporting of company statements</x:v>
      </x:c>
      <x:c r="G141" s="44" t="str">
        <x:v>https://www.reuters.com/business/energy/qatarenergy-says-hormuz-crisis-may-delay-lng-expansion-projects-2026-09-21/</x:v>
      </x:c>
      <x:c r="H141" s="44" t="str">
        <x:v>QatarEnergy said attacks disabled 17% of national LNG capacity, repairs to two trains may take three years and later North Field expansion trains depend on restoration of Hormuz logistics.</x:v>
      </x:c>
      <x:c r="I141" s="44" t="str">
        <x:v>Strengthens duration and mechanism</x:v>
      </x:c>
      <x:c r="J141" s="44" t="n">
        <x:v>5</x:v>
      </x:c>
      <x:c r="K141" s="44" t="str">
        <x:v>The first North Field East train remains targeted for first-half 2027. QatarEnergy also said normal gas operations could resume within weeks if Hormuz reopens, which is the central contradiction.</x:v>
      </x:c>
    </x:row>
    <x:row r="142">
      <x:c r="A142" t="str">
        <x:v>EV-2026-137</x:v>
      </x:c>
      <x:c r="B142" t="str">
        <x:v>EEI-2026-002</x:v>
      </x:c>
      <x:c r="C142" s="21" t="n">
        <x:v>46286.35158564815</x:v>
      </x:c>
      <x:c r="D142" t="str">
        <x:v>Modifier and contradiction</x:v>
      </x:c>
      <x:c r="E142" t="str">
        <x:v>Reuters</x:v>
      </x:c>
      <x:c r="F142" t="str">
        <x:v>High quality reporting</x:v>
      </x:c>
      <x:c r="G142" s="44" t="str">
        <x:v>https://www.reuters.com/business/energy/lng-buyers-sellers-seek-greater-supply-diversity-amid-iran-war-2026-09-21/</x:v>
      </x:c>
      <x:c r="H142" s="44" t="str">
        <x:v>Buyers are shifting toward West Africa, Indonesia, North America, Australia and China. New capacity and flexible shipping limited the estimated net 2026 global LNG supply loss to about 5 million tons despite a 36 million-ton Middle East reduction.</x:v>
      </x:c>
      <x:c r="I142" s="44" t="str">
        <x:v>Limits net gas scarcity</x:v>
      </x:c>
      <x:c r="J142" s="44" t="n">
        <x:v>5</x:v>
      </x:c>
      <x:c r="K142" s="44" t="str">
        <x:v>Diversification can cap the coal-switching mechanism, although it does not eliminate regional price and reliability stress.</x:v>
      </x:c>
    </x:row>
    <x:row r="143">
      <x:c r="A143" t="str">
        <x:v>EV-2026-138</x:v>
      </x:c>
      <x:c r="B143" t="str">
        <x:v>EEI-2026-002</x:v>
      </x:c>
      <x:c r="C143" s="21" t="n">
        <x:v>46286.35158564815</x:v>
      </x:c>
      <x:c r="D143" t="str">
        <x:v>Demand confirmation with implementation risk</x:v>
      </x:c>
      <x:c r="E143" t="str">
        <x:v>Reuters citing Indian Central Electricity Authority data</x:v>
      </x:c>
      <x:c r="F143" t="str">
        <x:v>High quality reporting of government data</x:v>
      </x:c>
      <x:c r="G143" s="44" t="str">
        <x:v>https://www.reuters.com/business/energy/nearly-40-indias-coal-power-plants-running-critically-low-fuel-data-show-2026-09-21/</x:v>
      </x:c>
      <x:c r="H143" s="44" t="str">
        <x:v>Seventy-four Indian coal plants had critically low stocks as of September 19 and August coal imports reached a 15-month high as heat-driven demand rose and hydropower lagged.</x:v>
      </x:c>
      <x:c r="I143" s="44" t="str">
        <x:v>Strengthens coal-demand variable</x:v>
      </x:c>
      <x:c r="J143" s="44" t="n">
        <x:v>5</x:v>
      </x:c>
      <x:c r="K143" s="44" t="str">
        <x:v>Analysts described the stock shortage as a temporary logistics issue. Renewable generation rose 21%, and low on-site stocks can constrain generation even when demand is strong.</x:v>
      </x:c>
    </x:row>
    <x:row r="144">
      <x:c r="A144" t="str">
        <x:v>EV-2026-139</x:v>
      </x:c>
      <x:c r="B144" t="str">
        <x:v>EEI-2026-009</x:v>
      </x:c>
      <x:c r="C144" s="21" t="n">
        <x:v>46286.35158564815</x:v>
      </x:c>
      <x:c r="D144" t="str">
        <x:v>Supporting physical and horizon evidence</x:v>
      </x:c>
      <x:c r="E144" t="str">
        <x:v>Reuters citing U.S. EIA and storage data</x:v>
      </x:c>
      <x:c r="F144" t="str">
        <x:v>High quality reporting of primary statistics</x:v>
      </x:c>
      <x:c r="G144" s="44" t="str">
        <x:v>https://www.reuters.com/business/energy/global-diesel-shortage-likely-last-into-2027-as-storage-tanks-drain-2026-09-21/</x:v>
      </x:c>
      <x:c r="H144" s="44" t="str">
        <x:v>U.S. diesel inventories were 107.9 million barrels by September 11, the lowest comparable September level in EIA records since 1982. EIA expects stocks below the five-year low through end-2026 and most of 2027; the U.S. diesel crack hit a record $118.62 per barrel on September 14.</x:v>
      </x:c>
      <x:c r="I144" s="44" t="str">
        <x:v>Strengthens variable and extends duration</x:v>
      </x:c>
      <x:c r="J144" s="44" t="n">
        <x:v>5</x:v>
      </x:c>
      <x:c r="K144" s="44" t="str">
        <x:v>Record margins encourage more output, China is raising exports and high prices can destroy demand. The data strengthen the thesis but do not improve the entry.</x:v>
      </x:c>
    </x:row>
    <x:row r="145">
      <x:c r="A145" t="str">
        <x:v>EV-2026-140</x:v>
      </x:c>
      <x:c r="B145" t="str">
        <x:v>EEI-2026-011</x:v>
      </x:c>
      <x:c r="C145" s="21" t="n">
        <x:v>46286.35158564815</x:v>
      </x:c>
      <x:c r="D145" t="str">
        <x:v>Trigger and market confirmation</x:v>
      </x:c>
      <x:c r="E145" t="str">
        <x:v>Reuters Open Interest — Ron Bousso</x:v>
      </x:c>
      <x:c r="F145" t="str">
        <x:v>Expert analysis using Kpler and LSEG data</x:v>
      </x:c>
      <x:c r="G145" s="44" t="str">
        <x:v>https://www.reuters.com/commentary/reuters-open-interest/hormuz-shuttles-keep-oil-flowing-high-cost-2026-09-21/</x:v>
      </x:c>
      <x:c r="H145" s="44" t="str">
        <x:v>Gulf ship-to-ship crude transfers rose to about 2.5 million bpd in September from 1.4 million in August, while Gulf-to-China VLCC freight exceeded $30 per barrel.</x:v>
      </x:c>
      <x:c r="I145" s="44" t="str">
        <x:v>Confirms freight variable and mechanism</x:v>
      </x:c>
      <x:c r="J145" s="44" t="n">
        <x:v>4</x:v>
      </x:c>
      <x:c r="K145" s="44" t="str">
        <x:v>This is analysis rather than a primary record. The underlying Kpler and LSEG observations are independently observable, while route normalization could reverse the capacity squeeze.</x:v>
      </x:c>
    </x:row>
    <x:row r="146">
      <x:c r="A146" t="str">
        <x:v>EV-2026-141</x:v>
      </x:c>
      <x:c r="B146" t="str">
        <x:v>EEI-2026-011</x:v>
      </x:c>
      <x:c r="C146" s="21" t="n">
        <x:v>46286.35158564815</x:v>
      </x:c>
      <x:c r="D146" t="str">
        <x:v>Independent market confirmation</x:v>
      </x:c>
      <x:c r="E146" t="str">
        <x:v>The Wall Street Journal</x:v>
      </x:c>
      <x:c r="F146" t="str">
        <x:v>High quality independent reporting</x:v>
      </x:c>
      <x:c r="G146" s="44" t="str">
        <x:v>https://www.wsj.com/logistics-report/tanker-shortage-sends-oil-shipping-rates-soaring-d526cdb7</x:v>
      </x:c>
      <x:c r="H146" s="44" t="str">
        <x:v>The cost of hiring a Gulf-loading supertanker exceeded $1 million per day, or about $26 per barrel, as shuttle operations and longer routes tightened vessel availability.</x:v>
      </x:c>
      <x:c r="I146" s="44" t="str">
        <x:v>Confirms record freight and tanker scarcity</x:v>
      </x:c>
      <x:c r="J146" s="44" t="n">
        <x:v>5</x:v>
      </x:c>
      <x:c r="K146" s="44" t="str">
        <x:v>Freight is already at an extreme, so the observation confirms the economics but also raises reversal and headline-chasing risk.</x:v>
      </x:c>
    </x:row>
    <x:row r="147">
      <x:c r="A147" t="str">
        <x:v>EV-2026-142</x:v>
      </x:c>
      <x:c r="B147" t="str">
        <x:v>EEI-2026-011</x:v>
      </x:c>
      <x:c r="C147" s="21" t="n">
        <x:v>46286.35158564815</x:v>
      </x:c>
      <x:c r="D147" t="str">
        <x:v>Corporate industry confirmation</x:v>
      </x:c>
      <x:c r="E147" t="str">
        <x:v>Reuters reporting a Trafigura statement</x:v>
      </x:c>
      <x:c r="F147" t="str">
        <x:v>High quality reporting of company statement</x:v>
      </x:c>
      <x:c r="G147" s="44" t="str">
        <x:v>https://www.reuters.com/business/energy/trafigura-launches-volare-tanker-arm-plans-oslo-listing-2026-09-21/</x:v>
      </x:c>
      <x:c r="H147" s="44" t="str">
        <x:v>Trafigura launched Volare Shipping with six operating VLCCs and eight newbuilds and plans a $500 million private placement before an expected Oslo listing around October 5.</x:v>
      </x:c>
      <x:c r="I147" s="44" t="str">
        <x:v>Confirms industry capital response</x:v>
      </x:c>
      <x:c r="J147" s="44" t="n">
        <x:v>5</x:v>
      </x:c>
      <x:c r="K147" s="44" t="str">
        <x:v>The newbuild program supports near-term earnings capacity but becomes a medium-term oversupply risk. The listing remains conditional on the placement and exchange approval.</x:v>
      </x:c>
    </x:row>
    <x:row r="148">
      <x:c r="A148" t="str">
        <x:v>EV-2026-143</x:v>
      </x:c>
      <x:c r="B148"/>
      <x:c r="C148" s="21" t="n">
        <x:v>46286.35158564815</x:v>
      </x:c>
      <x:c r="D148" t="str">
        <x:v>Rejected Motley Fool trigger</x:v>
      </x:c>
      <x:c r="E148" t="str">
        <x:v>The Motley Fool — Motley Fool Staff</x:v>
      </x:c>
      <x:c r="F148" t="str">
        <x:v>Idea generator only</x:v>
      </x:c>
      <x:c r="G148" s="44" t="str">
        <x:v>https://www.fool.com/investing/2026/09/20/bloom-energys-time-to-power-moat/</x:v>
      </x:c>
      <x:c r="H148" s="44" t="str">
        <x:v>Free editorial podcast published September 20 at 3:06 p.m. ET discussed power-generation bottlenecks as a benefit for Bloom Energy and Enphase. The accessible page did not disclose an individual author position or identify an official paid-service recommendation.</x:v>
      </x:c>
      <x:c r="I148" s="44" t="str">
        <x:v>Rejected as a repeated and already-priced catalyst</x:v>
      </x:c>
      <x:c r="J148" s="44" t="n">
        <x:v>3</x:v>
      </x:c>
      <x:c r="K148" s="44" t="str">
        <x:v>Tickers BE and ENPH. Claimed variable: distributed power revenue and backlog over years through faster time-to-power. Existing primary results support Bloom's growth, but this article added no new dated catalyst. BE traded near $265 with a market value near $86 billion and a triple-digit earnings multiple in early September 21 pricing, leaving unfavorable entry risk.</x:v>
      </x:c>
    </x:row>
    <x:row r="149">
      <x:c r="A149" t="str">
        <x:v>EV-2026-144</x:v>
      </x:c>
      <x:c r="B149" t="str">
        <x:v>EEI-2026-003</x:v>
      </x:c>
      <x:c r="C149" s="21" t="n">
        <x:v>46286.35158564815</x:v>
      </x:c>
      <x:c r="D149" t="str">
        <x:v>Election policy observation</x:v>
      </x:c>
      <x:c r="E149" t="str">
        <x:v>Associated Press</x:v>
      </x:c>
      <x:c r="F149" t="str">
        <x:v>High quality reporting</x:v>
      </x:c>
      <x:c r="G149" s="44" t="str">
        <x:v>https://apnews.com/article/5af8003c075bcecdc0b31d389c1be1b1</x:v>
      </x:c>
      <x:c r="H149" s="44" t="str">
        <x:v>Nevada's 3rd District campaign is using the enacted federal tip-income tax provision as a local policy issue, while tourism weakness and debate over Medicaid and SNAP cuts remain competing economic concerns.</x:v>
      </x:c>
      <x:c r="I149" s="44" t="str">
        <x:v>Factual policy-to-campaign link; no control conclusion</x:v>
      </x:c>
      <x:c r="J149" s="44"/>
      <x:c r="K149" s="44" t="str">
        <x:v>This single-district report does not establish House or Senate control and does not change the thesis stage or Entry Window. It is recorded separately from energy evidence.</x:v>
      </x:c>
    </x:row>
    <x:row r="150">
      <x:c r="A150" t="str">
        <x:v>EV-2026-145</x:v>
      </x:c>
      <x:c r="B150" t="str">
        <x:v>EEI-2026-003</x:v>
      </x:c>
      <x:c r="C150" s="53" t="n">
        <x:v>46286.4643402778</x:v>
      </x:c>
      <x:c r="D150" t="str">
        <x:v>Intraday market confirmation</x:v>
      </x:c>
      <x:c r="E150" t="str">
        <x:v>Reuters and delayed ETF market data</x:v>
      </x:c>
      <x:c r="F150" t="str">
        <x:v>High quality reporting and quoted market data</x:v>
      </x:c>
      <x:c r="G150" s="44" t="str">
        <x:v>https://www.reuters.com/business/wall-st-futures-rise-ai-stocks-gain-oil-prices-slide-2026-09-21/</x:v>
      </x:c>
      <x:c r="H150" s="44" t="str">
        <x:v>Reuters reported positive exchange breadth, oil down more than 3% and the 10-year yield below 5%, but AI-linked stocks led the indexes. Delayed quotes showed SPY +0.98% versus RSP -0.05%; XLI, XLB and XLF also lagged, while XBI outperformed and IWM rose less than SPY.</x:v>
      </x:c>
      <x:c r="I150" s="44" t="str">
        <x:v>Mixed participation; weakens core breadth confirmation</x:v>
      </x:c>
      <x:c r="J150" s="44" t="n">
        <x:v>5</x:v>
      </x:c>
      <x:c r="K150" s="44" t="str">
        <x:v>The favorable macro shift did not translate into equal-weight or cyclical leadership. XBI is the only listed candidate that outperformed SPY during the check; one intraday reading is insufficient for escalation.</x:v>
      </x:c>
    </x:row>
    <x:row r="151">
      <x:c r="A151" t="str">
        <x:v>EV-2026-146</x:v>
      </x:c>
      <x:c r="B151" t="str">
        <x:v>EEI-2026-003</x:v>
      </x:c>
      <x:c r="C151" s="53" t="n">
        <x:v>46286.4643402778</x:v>
      </x:c>
      <x:c r="D151" t="str">
        <x:v>Campaign trigger update</x:v>
      </x:c>
      <x:c r="E151" t="str">
        <x:v>Reuters</x:v>
      </x:c>
      <x:c r="F151" t="str">
        <x:v>High quality factual reporting</x:v>
      </x:c>
      <x:c r="G151" s="44" t="str">
        <x:v>https://www.reuters.com/legal/government/trumps-favorite-2026-campaign-target-is-biden-nearly-900-mentions-counting-2026-09-21/</x:v>
      </x:c>
      <x:c r="H151" s="44" t="str">
        <x:v>Reuters reported that current campaign messaging remains heavily focused on the economy, affordability, immigration and foreign policy with six weeks remaining before the midterm elections.</x:v>
      </x:c>
      <x:c r="I151" s="44" t="str">
        <x:v>Confirms campaign intensity; no chamber-control conclusion</x:v>
      </x:c>
      <x:c r="J151" s="44"/>
      <x:c r="K151" s="44" t="str">
        <x:v>The reporting does not independently establish House or Senate control, a legislative outcome or a direct investable sector catalyst.</x:v>
      </x:c>
    </x:row>
    <x:row r="152">
      <x:c r="A152" t="str">
        <x:v>EV-2026-147</x:v>
      </x:c>
      <x:c r="B152" t="str">
        <x:v>EEI-2026-003</x:v>
      </x:c>
      <x:c r="C152" s="53" t="n">
        <x:v>46286.4643402778</x:v>
      </x:c>
      <x:c r="D152" t="str">
        <x:v>Trade and technology-policy modifier</x:v>
      </x:c>
      <x:c r="E152" t="str">
        <x:v>Reuters</x:v>
      </x:c>
      <x:c r="F152" t="str">
        <x:v>High quality factual reporting</x:v>
      </x:c>
      <x:c r="G152" s="44" t="str">
        <x:v>https://www.reuters.com/world/asia-pacific/us-china-meet-again-ai-safety-two-months-shenzhen-bessent-says-2026-09-21/</x:v>
      </x:c>
      <x:c r="H152" s="44" t="str">
        <x:v>U.S. and Chinese officials agreed to establish an AI-safety dialogue and incident line. They discussed the trade truce but did not announce an extension beyond its November 10 expiration.</x:v>
      </x:c>
      <x:c r="I152" s="44" t="str">
        <x:v>Mixed sector modifier; no election trigger</x:v>
      </x:c>
      <x:c r="J152" s="44"/>
      <x:c r="K152" s="44" t="str">
        <x:v>The dialogue may reduce one technology-policy uncertainty, while the unresolved tariff deadline remains relevant to industrial, materials and technology supply chains. It does not establish a congressional outcome.</x:v>
      </x:c>
    </x:row>
    <x:row r="153">
      <x:c r="A153" t="str">
        <x:v>EV-2026-148</x:v>
      </x:c>
      <x:c r="B153" t="str">
        <x:v>EEI-2026-001</x:v>
      </x:c>
      <x:c r="C153" s="21" t="n">
        <x:v>46286.68511574074</x:v>
      </x:c>
      <x:c r="D153" t="str">
        <x:v>Post-horizon paper-trade outcome</x:v>
      </x:c>
      <x:c r="E153" t="str">
        <x:v>S&amp;P Global Market Intelligence via StockAnalysis</x:v>
      </x:c>
      <x:c r="F153" t="str">
        <x:v>Daily closing market data</x:v>
      </x:c>
      <x:c r="G153" s="44" t="str">
        <x:v>https://stockanalysis.com/etf/bno/history/</x:v>
      </x:c>
      <x:c r="H153" s="44" t="str">
        <x:v>BNO closed September 21 at $58.85 versus the $57.21 September 8 opening entry; the $1,000 paper position was worth $1,028.67, up $28.67 or 2.87%.</x:v>
      </x:c>
      <x:c r="I153" s="44" t="str">
        <x:v>Direct expression remains positive; edge materially reduced</x:v>
      </x:c>
      <x:c r="J153" s="44" t="n">
        <x:v>5</x:v>
      </x:c>
      <x:c r="K153" s="44" t="str">
        <x:v>Fractional shares: 17.47946163. Continued tracking after the September 18 evaluation; the completed thesis outcome is not reopened. Hypothetical paper trade only.</x:v>
      </x:c>
    </x:row>
    <x:row r="154">
      <x:c r="A154" t="str">
        <x:v>EV-2026-149</x:v>
      </x:c>
      <x:c r="B154" t="str">
        <x:v>EEI-2026-001</x:v>
      </x:c>
      <x:c r="C154" s="21" t="n">
        <x:v>46286.68511574074</x:v>
      </x:c>
      <x:c r="D154" t="str">
        <x:v>Post-horizon paper-trade outcome</x:v>
      </x:c>
      <x:c r="E154" t="str">
        <x:v>S&amp;P Global Market Intelligence via StockAnalysis</x:v>
      </x:c>
      <x:c r="F154" t="str">
        <x:v>Daily closing market data</x:v>
      </x:c>
      <x:c r="G154" s="44" t="str">
        <x:v>https://stockanalysis.com/etf/uso/history/</x:v>
      </x:c>
      <x:c r="H154" s="44" t="str">
        <x:v>USO closed September 21 at $148.17 versus the $144.60 September 8 opening entry; the $1,000 paper position was worth $1,024.69, up $24.69 or 2.47%.</x:v>
      </x:c>
      <x:c r="I154" s="44" t="str">
        <x:v>Direct expression remains positive; edge materially reduced</x:v>
      </x:c>
      <x:c r="J154" s="44" t="n">
        <x:v>5</x:v>
      </x:c>
      <x:c r="K154" s="44" t="str">
        <x:v>Fractional shares: 6.91562932. Continued tracking after the September 18 evaluation; the completed thesis outcome is not reopened. Hypothetical paper trade only.</x:v>
      </x:c>
    </x:row>
    <x:row r="155">
      <x:c r="A155" t="str">
        <x:v>EV-2026-150</x:v>
      </x:c>
      <x:c r="B155" t="str">
        <x:v>EEI-2026-001</x:v>
      </x:c>
      <x:c r="C155" s="21" t="n">
        <x:v>46286.68511574074</x:v>
      </x:c>
      <x:c r="D155" t="str">
        <x:v>Post-horizon paper-trade outcome</x:v>
      </x:c>
      <x:c r="E155" t="str">
        <x:v>S&amp;P Global Market Intelligence via StockAnalysis</x:v>
      </x:c>
      <x:c r="F155" t="str">
        <x:v>Daily closing market data</x:v>
      </x:c>
      <x:c r="G155" s="44" t="str">
        <x:v>https://stockanalysis.com/etf/xop/history/</x:v>
      </x:c>
      <x:c r="H155" s="44" t="str">
        <x:v>XOP closed September 21 at $184.72 versus the $193.84 September 8 opening entry; the $1,000 paper position was worth $952.95, down $47.05 or 4.70%.</x:v>
      </x:c>
      <x:c r="I155" s="44" t="str">
        <x:v>Further invalidates indirect producer-equity expression</x:v>
      </x:c>
      <x:c r="J155" s="44" t="n">
        <x:v>5</x:v>
      </x:c>
      <x:c r="K155" s="44" t="str">
        <x:v>Fractional shares: 5.15889393. XOP's widening loss while BNO and USO remain positive reinforces the methodology's clean-expression rule. Hypothetical paper trade only.</x:v>
      </x:c>
    </x:row>
    <x:row r="156">
      <x:c r="A156" t="str">
        <x:v>EV-2026-151</x:v>
      </x:c>
      <x:c r="B156" t="str">
        <x:v>EEI-2026-001</x:v>
      </x:c>
      <x:c r="C156" s="21" t="n">
        <x:v>46286.68511574074</x:v>
      </x:c>
      <x:c r="D156" t="str">
        <x:v>Post-horizon contradiction</x:v>
      </x:c>
      <x:c r="E156" t="str">
        <x:v>Reuters</x:v>
      </x:c>
      <x:c r="F156" t="str">
        <x:v>High quality reporting with shipping data</x:v>
      </x:c>
      <x:c r="G156" s="44" t="str">
        <x:v>https://www.reuters.com/business/energy/saudi-arabia-ramps-up-gulf-oil-exports-after-pipeline-attack-shipping-data-shows-2026-09-21/</x:v>
      </x:c>
      <x:c r="H156" s="44" t="str">
        <x:v>Saudi Gulf crude loadings averaged about 3.7 million bpd from September 12, up from 2.9 million bpd earlier in the month. Satellite data also indicated Saudi flows through Hormuz averaged 2.9 million bpd over the prior six days versus 700,000 bpd in August.</x:v>
      </x:c>
      <x:c r="I156" s="44" t="str">
        <x:v>Weakens the near-term scarcity premium</x:v>
      </x:c>
      <x:c r="J156" s="44" t="n">
        <x:v>5</x:v>
      </x:c>
      <x:c r="K156" s="44" t="str">
        <x:v>The increased loadings and partial recovery helped push Brent below $100 on September 21. This is the clearest current invalidating development, although it does not mean regional logistics have normalized.</x:v>
      </x:c>
    </x:row>
    <x:row r="157">
      <x:c r="A157" t="str">
        <x:v>EV-2026-152</x:v>
      </x:c>
      <x:c r="B157" t="str">
        <x:v>EEI-2026-001</x:v>
      </x:c>
      <x:c r="C157" s="21" t="n">
        <x:v>46286.68511574074</x:v>
      </x:c>
      <x:c r="D157" t="str">
        <x:v>Post-horizon mixed outcome evidence</x:v>
      </x:c>
      <x:c r="E157" t="str">
        <x:v>Reuters Open Interest citing Kpler and LSEG</x:v>
      </x:c>
      <x:c r="F157" t="str">
        <x:v>Expert analysis using market and shipping data</x:v>
      </x:c>
      <x:c r="G157" s="44" t="str">
        <x:v>https://www.reuters.com/commentary/reuters-open-interest/hormuz-shuttles-keep-oil-flowing-high-cost-2026-09-21/</x:v>
      </x:c>
      <x:c r="H157" s="44" t="str">
        <x:v>Hormuz exports reached about 6.5 million bpd in September and ship-to-ship transfers reached about 2.5 million bpd, limiting the acute supply loss, while Gulf-to-China VLCC freight exceeded $30 per barrel.</x:v>
      </x:c>
      <x:c r="I157" s="44" t="str">
        <x:v>Supply adaptation weakens price shock; high costs confirm continuing friction</x:v>
      </x:c>
      <x:c r="J157" s="44" t="n">
        <x:v>4</x:v>
      </x:c>
      <x:c r="K157" s="44" t="str">
        <x:v>The market is adapting rather than remaining paralyzed. The workaround reduces the shortage predicted by the original thesis but preserves unusually high transport costs and system fragility.</x:v>
      </x:c>
    </x:row>
    <x:row r="158">
      <x:c r="A158" t="str">
        <x:v>EV-2026-153</x:v>
      </x:c>
      <x:c r="B158" t="str">
        <x:v>EEI-2026-009</x:v>
      </x:c>
      <x:c r="C158" s="21" t="n">
        <x:v>46287.50418981481</x:v>
      </x:c>
      <x:c r="D158" t="str">
        <x:v>Contradictory supply and policy update</x:v>
      </x:c>
      <x:c r="E158" t="str">
        <x:v>Reuters</x:v>
      </x:c>
      <x:c r="F158" t="str">
        <x:v>High quality reporting</x:v>
      </x:c>
      <x:c r="G158" s="44" t="str">
        <x:v>https://www.reuters.com/business/energy/oil-rises-slightly-ahead-potential-us-iran-talks-2026-09-22/</x:v>
      </x:c>
      <x:c r="H158" s="44" t="str">
        <x:v>Saudi Arabia restarted the East-West Pipeline at a low rate and Iran signaled Hormuz could reopen within seven days if U.S. pressure eases. Brent November fell 2% to $98.33 and WTI November fell 2.65% to $89.92.</x:v>
      </x:c>
      <x:c r="I158" s="44" t="str">
        <x:v>Weakens scarcity duration and entry edge</x:v>
      </x:c>
      <x:c r="J158" s="44" t="n">
        <x:v>5</x:v>
      </x:c>
      <x:c r="K158" s="44" t="str">
        <x:v>Full pipeline restoration could take weeks, and Reuters reported that the refined-product shortage remains acute. The evidence weakens crude-feedstock stress but does not yet normalize diesel inventories or exports.</x:v>
      </x:c>
    </x:row>
    <x:row r="159">
      <x:c r="A159" t="str">
        <x:v>EV-2026-154</x:v>
      </x:c>
      <x:c r="B159" t="str">
        <x:v>EEI-2026-009</x:v>
      </x:c>
      <x:c r="C159" s="21" t="n">
        <x:v>46287.50418981481</x:v>
      </x:c>
      <x:c r="D159" t="str">
        <x:v>Persistent refined-product confirmation</x:v>
      </x:c>
      <x:c r="E159" t="str">
        <x:v>Reuters</x:v>
      </x:c>
      <x:c r="F159" t="str">
        <x:v>High quality reporting</x:v>
      </x:c>
      <x:c r="G159" s="44" t="str">
        <x:v>https://www.reuters.com/business/energy/oil-rises-slightly-ahead-potential-us-iran-talks-2026-09-22/</x:v>
      </x:c>
      <x:c r="H159" s="44" t="str">
        <x:v>Despite easing crude, Reuters reported record diesel prices in Europe and the United States and said further oil downside may be limited until refined-product flows increase.</x:v>
      </x:c>
      <x:c r="I159" s="44" t="str">
        <x:v>Supports separate diesel thesis</x:v>
      </x:c>
      <x:c r="J159" s="44" t="n">
        <x:v>5</x:v>
      </x:c>
      <x:c r="K159" s="44" t="str">
        <x:v>The observation is contemporaneous reporting rather than a new inventory release. Pipeline restoration, substitution, demand destruction and higher refinery runs can still reduce cracks.</x:v>
      </x:c>
    </x:row>
    <x:row r="160">
      <x:c r="A160" t="str">
        <x:v>EV-2026-155</x:v>
      </x:c>
      <x:c r="B160" t="str">
        <x:v>EEI-2026-011</x:v>
      </x:c>
      <x:c r="C160" s="21" t="n">
        <x:v>46287.50418981481</x:v>
      </x:c>
      <x:c r="D160" t="str">
        <x:v>Global freight confirmation and route modifier</x:v>
      </x:c>
      <x:c r="E160" t="str">
        <x:v>Reuters / Signal Maritime</x:v>
      </x:c>
      <x:c r="F160" t="str">
        <x:v>High quality reporting using observable charter data</x:v>
      </x:c>
      <x:c r="G160" s="44" t="str">
        <x:v>https://www.reuters.com/business/energy/traders-push-discounts-venezuelan-oil-shipping-costs-soar-sources-say-2026-09-22/</x:v>
      </x:c>
      <x:c r="H160" s="44" t="str">
        <x:v>Aframax charter cost from Venezuela to the U.S. Gulf rose to about $3.5 million, or $5 per barrel, from $1.35 million at the start of 2026; tanker waits were at their highest since January.</x:v>
      </x:c>
      <x:c r="I160" s="44" t="str">
        <x:v>Confirms global freight variable</x:v>
      </x:c>
      <x:c r="J160" s="44" t="n">
        <x:v>5</x:v>
      </x:c>
      <x:c r="K160" s="44" t="str">
        <x:v>The Saudi pipeline restart may release Gulf shuttle capacity. Venezuelan congestion and Gulf VLCC scarcity are related through fleet availability but are not the same route or vessel class.</x:v>
      </x:c>
    </x:row>
    <x:row r="161">
      <x:c r="A161" t="str">
        <x:v>EV-2026-156</x:v>
      </x:c>
      <x:c r="B161" t="str">
        <x:v>EEI-2026-011</x:v>
      </x:c>
      <x:c r="C161" s="21" t="n">
        <x:v>46287.50418981481</x:v>
      </x:c>
      <x:c r="D161" t="str">
        <x:v>Market contradiction</x:v>
      </x:c>
      <x:c r="E161" t="str">
        <x:v>Delayed premarket quote data</x:v>
      </x:c>
      <x:c r="F161" t="str">
        <x:v>Market data</x:v>
      </x:c>
      <x:c r="G161" s="44" t="str">
        <x:v>https://www.reuters.com/business/energy/saudi-arabia-restarts-east-west-oil-pipeline-resume-exports-yanbu-sources-say-2026-09-22/</x:v>
      </x:c>
      <x:c r="H161" s="44" t="str">
        <x:v>Before the U.S. open, FRO was down about 3.13%, DHT down 3.50% and BOAT roughly flat as Saudi pipeline flows restarted.</x:v>
      </x:c>
      <x:c r="I161" s="44" t="str">
        <x:v>Weakens listed-equity entry</x:v>
      </x:c>
      <x:c r="J161" s="44" t="n">
        <x:v>4</x:v>
      </x:c>
      <x:c r="K161" s="44" t="str">
        <x:v>Premarket quotes can be thin and are not a completed-session signal. The economic freight variable remains elevated even as listed expressions price normalization risk.</x:v>
      </x:c>
    </x:row>
    <x:row r="162">
      <x:c r="A162" t="str">
        <x:v>EV-2026-157</x:v>
      </x:c>
      <x:c r="B162" t="str">
        <x:v>EEI-2026-002</x:v>
      </x:c>
      <x:c r="C162" s="21" t="n">
        <x:v>46287.50418981481</x:v>
      </x:c>
      <x:c r="D162" t="str">
        <x:v>Industrial gas-cost confirmation</x:v>
      </x:c>
      <x:c r="E162" t="str">
        <x:v>Reuters reporting an Ineos statement</x:v>
      </x:c>
      <x:c r="F162" t="str">
        <x:v>High quality reporting of company statement</x:v>
      </x:c>
      <x:c r="G162" s="44" t="str">
        <x:v>https://www.reuters.com/world/uk/ineos-mothball-three-chemical-plants-high-energy-costs-hit-production-2026-09-22/</x:v>
      </x:c>
      <x:c r="H162" s="44" t="str">
        <x:v>Ineos suspended three UK chemical plants employing almost 4,000 people, citing UK gas near $23.51/MMBtu versus $2.84 in the United States.</x:v>
      </x:c>
      <x:c r="I162" s="44" t="str">
        <x:v>Confirms regional gas-cost stress</x:v>
      </x:c>
      <x:c r="J162" s="44" t="n">
        <x:v>4</x:v>
      </x:c>
      <x:c r="K162" s="44" t="str">
        <x:v>The closures show industrial demand destruction as well as energy stress. They do not directly prove coal substitution and therefore do not change the coal thesis classification.</x:v>
      </x:c>
    </x:row>
    <x:row r="163">
      <x:c r="A163" t="str">
        <x:v>EV-2026-158</x:v>
      </x:c>
      <x:c r="B163"/>
      <x:c r="C163" s="21" t="n">
        <x:v>46287.50418981481</x:v>
      </x:c>
      <x:c r="D163" t="str">
        <x:v>Rejected government-award trigger</x:v>
      </x:c>
      <x:c r="E163" t="str">
        <x:v>U.S. Army / Reuters</x:v>
      </x:c>
      <x:c r="F163" t="str">
        <x:v>Primary government announcement plus independent reporting</x:v>
      </x:c>
      <x:c r="G163" s="44" t="str">
        <x:v>https://www.army.mil/article/295521/u_s_army_announces_1_2_billion_contract_for_precision_strike_missile_increment_2_production</x:v>
      </x:c>
      <x:c r="H163" s="44" t="str">
        <x:v>Lockheed Martin Missiles and Fire Control, parent Lockheed Martin, received a U.S. Army PrSM Increment 2 IDIQ contract with a potential ceiling of $1.2 billion after successful fiscal-2026 flight tests. The public announcement did not identify the award number, initial obligation, competition status, NAICS/PSC or period of performance.</x:v>
      </x:c>
      <x:c r="I163" s="44" t="str">
        <x:v>Rejected as non-material to parent and already signaled capacity trend</x:v>
      </x:c>
      <x:c r="J163" s="44" t="n">
        <x:v>5</x:v>
      </x:c>
      <x:c r="K163" s="44" t="str">
        <x:v>Action type: new IDIQ. Potential value: $1.2 billion; current value and obligated amount not disclosed. Announcement is official, but the ceiling is about 1.6% of Lockheed Martin annual revenue and follows an earlier multi-year production expansion, limiting surprise and materiality.</x:v>
      </x:c>
    </x:row>
    <x:row r="164">
      <x:c r="A164" t="str">
        <x:v>EV-2026-159</x:v>
      </x:c>
      <x:c r="B164"/>
      <x:c r="C164" s="21" t="n">
        <x:v>46287.50418981481</x:v>
      </x:c>
      <x:c r="D164" t="str">
        <x:v>Rejected government-funding trigger</x:v>
      </x:c>
      <x:c r="E164" t="str">
        <x:v>U.S. Department of Energy / Reuters</x:v>
      </x:c>
      <x:c r="F164" t="str">
        <x:v>Primary selection notice plus independent reporting</x:v>
      </x:c>
      <x:c r="G164" s="44" t="str">
        <x:v>https://www.energy.gov/hgeo/geothermal/articles/21-projects-selected-advance-egs-field-tests-and-exploration-drilling</x:v>
      </x:c>
      <x:c r="H164" s="44" t="str">
        <x:v>DOE selected 21 geothermal field-test and exploration projects for up to $99 million in first-budget-period funding. Recipients include Fervo, Quaise, Zanskar, XGS and Invenergy. Selection begins award negotiations and is not a funding commitment.</x:v>
      </x:c>
      <x:c r="I164" s="44" t="str">
        <x:v>Rejected pending awards and company-level materiality</x:v>
      </x:c>
      <x:c r="J164" s="44" t="n">
        <x:v>5</x:v>
      </x:c>
      <x:c r="K164" s="44" t="str">
        <x:v>This is a portfolio of conditional selections, not final obligations. Individual award identifiers, negotiated values and public-company materiality are unavailable; Fervo is the only named listed recipient in Reuters reporting and its two-project share was not disclosed.</x:v>
      </x:c>
    </x:row>
    <x:row r="165">
      <x:c r="A165" t="str">
        <x:v>EV-2026-160</x:v>
      </x:c>
      <x:c r="B165"/>
      <x:c r="C165" s="21" t="n">
        <x:v>46287.50418981481</x:v>
      </x:c>
      <x:c r="D165" t="str">
        <x:v>Rejected Motley Fool trigger</x:v>
      </x:c>
      <x:c r="E165" t="str">
        <x:v>The Motley Fool — Jeremy Bowman</x:v>
      </x:c>
      <x:c r="F165" t="str">
        <x:v>Idea generator only</x:v>
      </x:c>
      <x:c r="G165" s="44" t="str">
        <x:v>https://www.fool.com/investing/2026/09/22/meta-stock-is-still-too-cheap/</x:v>
      </x:c>
      <x:c r="H165" s="44" t="str">
        <x:v>Free editorial at 12:30 a.m. ET argued META remains cheap after Muse became the top App Store download and forecast faster revenue growth into 2027. The author owns META and Motley Fool recommends it.</x:v>
      </x:c>
      <x:c r="I165" s="44" t="str">
        <x:v>Rejected as headline-chasing after repricing</x:v>
      </x:c>
      <x:c r="J165" s="44" t="n">
        <x:v>3</x:v>
      </x:c>
      <x:c r="K165" s="44" t="str">
        <x:v>Ticker META; variable: consumer-AI adoption and monetization over quarters. Reuters confirmed early download momentum but the stock rose 11.3% Monday. Meta has not disclosed attributable Muse revenue, while Q2 free cash flow was pressured by capex and legal costs. No favorable entry structure was established.</x:v>
      </x:c>
    </x:row>
    <x:row r="166">
      <x:c r="A166" t="str">
        <x:v>EV-2026-161</x:v>
      </x:c>
      <x:c r="B166"/>
      <x:c r="C166" s="21" t="n">
        <x:v>46287.50418981481</x:v>
      </x:c>
      <x:c r="D166" t="str">
        <x:v>Rejected Motley Fool trigger</x:v>
      </x:c>
      <x:c r="E166" t="str">
        <x:v>The Motley Fool — Keithen Drury</x:v>
      </x:c>
      <x:c r="F166" t="str">
        <x:v>Idea generator only</x:v>
      </x:c>
      <x:c r="G166" s="44" t="str">
        <x:v>https://www.fool.com/investing/2026/09/22/ionq-just-raised-2026-revenue-guidance-this-quantu/</x:v>
      </x:c>
      <x:c r="H166" s="44" t="str">
        <x:v>Free editorial at 1:00 a.m. ET called IONQ a buy after the SkyWater acquisition raised 2026 revenue guidance. The author owns IONQ and Motley Fool recommends it.</x:v>
      </x:c>
      <x:c r="I166" s="44" t="str">
        <x:v>Rejected as stale acquisition catalyst with valuation risk</x:v>
      </x:c>
      <x:c r="J166" s="44" t="n">
        <x:v>3</x:v>
      </x:c>
      <x:c r="K166" s="44" t="str">
        <x:v>Ticker IONQ; variable: quantum revenue and vertical-integration economics over years. SkyWater closed July 31, so the catalyst is not new. IONQ remains loss-making and was valued near $14.9 billion at $40.51, leaving substantial commercialization, integration and dilution risk.</x:v>
      </x:c>
    </x:row>
    <x:row r="167">
      <x:c r="A167" t="str">
        <x:v>EV-2026-162</x:v>
      </x:c>
      <x:c r="B167"/>
      <x:c r="C167" s="21" t="n">
        <x:v>46287.50418981481</x:v>
      </x:c>
      <x:c r="D167" t="str">
        <x:v>Rejected Motley Fool trigger</x:v>
      </x:c>
      <x:c r="E167" t="str">
        <x:v>The Motley Fool — Rick Orford</x:v>
      </x:c>
      <x:c r="F167" t="str">
        <x:v>Idea generator only</x:v>
      </x:c>
      <x:c r="G167" s="44" t="str">
        <x:v>https://www.fool.com/investing/2026/09/22/prediction-ast-spacemobile-will-be-the-best-perfor/</x:v>
      </x:c>
      <x:c r="H167" s="44" t="str">
        <x:v>Free editorial at 6:10 a.m. ET predicted ASTS would lead space stocks in 2027, citing a 45-60 satellite target, planned AT&amp;T and Verizon beta service and Rakuten/Japan support. The author disclosed no position; Motley Fool recommends ASTS.</x:v>
      </x:c>
      <x:c r="I167" s="44" t="str">
        <x:v>Rejected pending commercial proof and entry discipline</x:v>
      </x:c>
      <x:c r="J167" s="44" t="n">
        <x:v>3</x:v>
      </x:c>
      <x:c r="K167" s="44" t="str">
        <x:v>Ticker ASTS; variable: deployed satellites, service activation and revenue over 2027. The stock was up about 5.7% at $61.89 with an $18.5 billion market value and negative earnings. Execution, funding and dilution risk remain high, and the article did not add a new primary milestone.</x:v>
      </x:c>
    </x:row>
    <x:row r="168">
      <x:c r="A168" t="str">
        <x:v>EV-2026-163</x:v>
      </x:c>
      <x:c r="B168"/>
      <x:c r="C168" s="21" t="n">
        <x:v>46287.50418981481</x:v>
      </x:c>
      <x:c r="D168" t="str">
        <x:v>Rejected Motley Fool trigger</x:v>
      </x:c>
      <x:c r="E168" t="str">
        <x:v>The Motley Fool — Keith Speights</x:v>
      </x:c>
      <x:c r="F168" t="str">
        <x:v>Idea generator only</x:v>
      </x:c>
      <x:c r="G168" s="44" t="str">
        <x:v>https://www.fool.com/investing/2026/09/22/biontech-stock-recently-got-downgraded-but-is-wall/</x:v>
      </x:c>
      <x:c r="H168" s="44" t="str">
        <x:v>Free editorial at 4:44 a.m. ET argued BNTX oncology optionality is underappreciated and highlighted three expected data readouts before year-end. The author disclosed no position; Motley Fool recommends BioNTech.</x:v>
      </x:c>
      <x:c r="I168" s="44" t="str">
        <x:v>Rejected until clinical readouts create primary evidence</x:v>
      </x:c>
      <x:c r="J168" s="44" t="n">
        <x:v>3</x:v>
      </x:c>
      <x:c r="K168" s="44" t="str">
        <x:v>Ticker BNTX; variable: late-stage oncology success and future revenue over years. Trial timing is relevant, but no new result was published. Binary clinical risk and the absence of current oncology cash flows keep this a watch item rather than a distinct thesis.</x:v>
      </x:c>
    </x:row>
    <x:row r="169">
      <x:c r="A169" t="str">
        <x:v>EV-2026-164</x:v>
      </x:c>
      <x:c r="B169" t="str">
        <x:v>EEI-2026-003</x:v>
      </x:c>
      <x:c r="C169" s="21" t="n">
        <x:v>46287.50418981481</x:v>
      </x:c>
      <x:c r="D169" t="str">
        <x:v>Neutral market and policy check</x:v>
      </x:c>
      <x:c r="E169" t="str">
        <x:v>Reuters</x:v>
      </x:c>
      <x:c r="F169" t="str">
        <x:v>High quality reporting</x:v>
      </x:c>
      <x:c r="G169" s="44" t="str">
        <x:v>https://www.reuters.com/business/wall-st-futures-pause-after-ai-rally-focus-mideast-tensions-2026-09-22/</x:v>
      </x:c>
      <x:c r="H169" s="44" t="str">
        <x:v>U.S. futures were nearly flat after an AI-led Nasdaq record; Brent eased and the 10-year Treasury yield was near 4.9%. No factual congressional-control development was established in this scan.</x:v>
      </x:c>
      <x:c r="I169" s="44" t="str">
        <x:v>No election-thesis confirmation</x:v>
      </x:c>
      <x:c r="J169" s="44" t="n">
        <x:v>5</x:v>
      </x:c>
      <x:c r="K169" s="44" t="str">
        <x:v>This is a market and policy observation only. It does not predict or assign a probability to House or Senate control. Narrow AI leadership remains the principal breadth contradiction.</x:v>
      </x:c>
    </x:row>
    <x:row r="170">
      <x:c r="A170" t="str">
        <x:v>EV-2026-165</x:v>
      </x:c>
      <x:c r="B170" t="str">
        <x:v>EEI-2026-003</x:v>
      </x:c>
      <x:c r="C170" s="53" t="n">
        <x:v>46287.64480324074</x:v>
      </x:c>
      <x:c r="D170" t="str">
        <x:v>Intraday breadth and candidate follow-through</x:v>
      </x:c>
      <x:c r="E170" t="str">
        <x:v>Reuters and delayed ETF market data</x:v>
      </x:c>
      <x:c r="F170" t="str">
        <x:v>High quality reporting and quoted market data</x:v>
      </x:c>
      <x:c r="G170" s="44" t="str">
        <x:v>https://www.reuters.com/business/wall-st-futures-pause-after-ai-rally-focus-mideast-tensions-2026-09-22/</x:v>
      </x:c>
      <x:c r="H170" s="44" t="str">
        <x:v>Advancers led 1.62-to-1 on the NYSE and 2.02-to-1 on Nasdaq. Delayed quotes showed SPY +0.02%, RSP -0.02%, IWM +0.40%, XLI -0.14%, XLB +0.93%, XLV +0.83%, XBI +2.34%, XLF -2.24% and CPER +0.79%.</x:v>
      </x:c>
      <x:c r="I170" s="44" t="str">
        <x:v>Improves candidate participation; equal-weight confirmation still absent</x:v>
      </x:c>
      <x:c r="J170" s="44" t="n">
        <x:v>5</x:v>
      </x:c>
      <x:c r="K170" s="44" t="str">
        <x:v>Health care, biotech, materials and small caps participated, but RSP did not outperform SPY and financials fell sharply. Reuters attributed index leadership mainly to large technology stocks; new lows also exceeded new highs.</x:v>
      </x:c>
    </x:row>
    <x:row r="171">
      <x:c r="A171" t="str">
        <x:v>EV-2026-166</x:v>
      </x:c>
      <x:c r="B171" t="str">
        <x:v>EEI-2026-003</x:v>
      </x:c>
      <x:c r="C171" s="53" t="n">
        <x:v>46287.64480324074</x:v>
      </x:c>
      <x:c r="D171" t="str">
        <x:v>Macro and volatility modifier</x:v>
      </x:c>
      <x:c r="E171" t="str">
        <x:v>Reuters and Barron's market reporting</x:v>
      </x:c>
      <x:c r="F171" t="str">
        <x:v>High quality reporting with observable market data</x:v>
      </x:c>
      <x:c r="G171" s="44" t="str">
        <x:v>https://www.reuters.com/world/asia-pacific/yen-squeezed-hawkish-turn-grips-central-banks-2026-09-22/</x:v>
      </x:c>
      <x:c r="H171" s="44" t="str">
        <x:v>Brent fell below $100 after Iran proposed conditional Hormuz reopening, VIX fell near 14.8 and the 10-year yield remained below 5%. Markets nevertheless priced about a 53% chance of another October Federal Reserve increase.</x:v>
      </x:c>
      <x:c r="I171" s="44" t="str">
        <x:v>Reduces immediate oil-volatility headwind; rate risk remains</x:v>
      </x:c>
      <x:c r="J171" s="44" t="n">
        <x:v>4</x:v>
      </x:c>
      <x:c r="K171" s="44" t="str">
        <x:v>The improvement depends on conditional diplomatic developments and has not removed underlying inflation risk. A further rate increase could still restrain equal-weight, small-cap and cyclical participation.</x:v>
      </x:c>
    </x:row>
    <x:row r="172">
      <x:c r="A172" t="str">
        <x:v>EV-2026-167</x:v>
      </x:c>
      <x:c r="B172" t="str">
        <x:v>EEI-2026-003</x:v>
      </x:c>
      <x:c r="C172" s="53" t="n">
        <x:v>46287.64480324074</x:v>
      </x:c>
      <x:c r="D172" t="str">
        <x:v>Election trigger check</x:v>
      </x:c>
      <x:c r="E172" t="str">
        <x:v>Reuters and Cook Political Report public pages</x:v>
      </x:c>
      <x:c r="F172" t="str">
        <x:v>High quality factual reporting</x:v>
      </x:c>
      <x:c r="G172" s="44" t="str">
        <x:v>https://www.reuters.com/world/us/elections/</x:v>
      </x:c>
      <x:c r="H172" s="44" t="str">
        <x:v>Current reporting added polling, campaign-policy statements and a court decision affecting a congressional map. Cook's public chamber-ratings summary showed no newer chamber-wide update during the check.</x:v>
      </x:c>
      <x:c r="I172" s="44" t="str">
        <x:v>No independently confirmed congressional-control trigger</x:v>
      </x:c>
      <x:c r="J172" s="44"/>
      <x:c r="K172" s="44" t="str">
        <x:v>These are factual campaign and legal developments. They do not establish House or Senate control, a legislative outcome or a direct investable sector catalyst.</x:v>
      </x:c>
    </x:row>
    <x:row r="173">
      <x:c r="A173" t="str">
        <x:v>EV-2026-168</x:v>
      </x:c>
      <x:c r="B173" t="str">
        <x:v>EEI-2026-001</x:v>
      </x:c>
      <x:c r="C173" s="21" t="n">
        <x:v>46287.84653935185</x:v>
      </x:c>
      <x:c r="D173" t="str">
        <x:v>Contradictory</x:v>
      </x:c>
      <x:c r="E173" t="str">
        <x:v>Reuters</x:v>
      </x:c>
      <x:c r="F173" t="str">
        <x:v>High quality reporting</x:v>
      </x:c>
      <x:c r="G173" s="44" t="str">
        <x:v>https://www.reuters.com/business/energy/saudi-arabia-restarts-east-west-oil-pipeline-resume-exports-yanbu-sources-say-2026-09-22/</x:v>
      </x:c>
      <x:c r="H173" s="44" t="str">
        <x:v>Saudi Arabia restarted the East-West Pipeline at a low pumping rate and prepared to resume Yanbu exports. Sources said a return toward 4 million bpd would take days and full restoration could take six to eight weeks. Iran also said Hormuz could reopen within seven days if U.S. pressure eased.</x:v>
      </x:c>
      <x:c r="I173" s="44" t="str">
        <x:v>Weakens the remaining scarcity premium</x:v>
      </x:c>
      <x:c r="J173" s="44" t="n">
        <x:v>4</x:v>
      </x:c>
      <x:c r="K173" s="44" t="str">
        <x:v>The disruption is not fully resolved, but the physical bypass restart and a possible diplomatic off-ramp directly counter the conditions that produced the paper trade peak.</x:v>
      </x:c>
    </x:row>
    <x:row r="174">
      <x:c r="A174" t="str">
        <x:v>EV-2026-169</x:v>
      </x:c>
      <x:c r="B174" t="str">
        <x:v>EEI-2026-001</x:v>
      </x:c>
      <x:c r="C174" s="21" t="n">
        <x:v>46287.84653935185</x:v>
      </x:c>
      <x:c r="D174" t="str">
        <x:v>Paper-trade outcome</x:v>
      </x:c>
      <x:c r="E174" t="str">
        <x:v>StockAnalysis market data</x:v>
      </x:c>
      <x:c r="F174" t="str">
        <x:v>Quoted market data</x:v>
      </x:c>
      <x:c r="G174" s="44" t="str">
        <x:v>https://stockanalysis.com/etf/bno/history/</x:v>
      </x:c>
      <x:c r="H174" s="44" t="str">
        <x:v>BNO closed at $57.90 on September 22 versus the $57.21 September 8 opening entry, leaving a 1.21% paper gain.</x:v>
      </x:c>
      <x:c r="I174" s="44" t="str">
        <x:v>Marginally strengthens direct expression</x:v>
      </x:c>
      <x:c r="J174" s="44" t="n">
        <x:v>4</x:v>
      </x:c>
      <x:c r="K174" s="44" t="str">
        <x:v>The Brent-linked fund remains above entry, but it has surrendered most of its peak gain as effective supply conditions improved.</x:v>
      </x:c>
    </x:row>
    <x:row r="175">
      <x:c r="A175" t="str">
        <x:v>EV-2026-170</x:v>
      </x:c>
      <x:c r="B175" t="str">
        <x:v>EEI-2026-001</x:v>
      </x:c>
      <x:c r="C175" s="21" t="n">
        <x:v>46287.84653935185</x:v>
      </x:c>
      <x:c r="D175" t="str">
        <x:v>Paper-trade outcome</x:v>
      </x:c>
      <x:c r="E175" t="str">
        <x:v>StockAnalysis market data</x:v>
      </x:c>
      <x:c r="F175" t="str">
        <x:v>Quoted market data</x:v>
      </x:c>
      <x:c r="G175" s="44" t="str">
        <x:v>https://stockanalysis.com/etf/uso/history/</x:v>
      </x:c>
      <x:c r="H175" s="44" t="str">
        <x:v>USO closed at $144.08 on September 22 versus the $144.60 September 8 opening entry, a 0.36% paper loss.</x:v>
      </x:c>
      <x:c r="I175" s="44" t="str">
        <x:v>Weakens direct expression after horizon</x:v>
      </x:c>
      <x:c r="J175" s="44" t="n">
        <x:v>4</x:v>
      </x:c>
      <x:c r="K175" s="44" t="str">
        <x:v>The direct WTI-linked expression fell slightly below entry after being strongly profitable during the formal evaluation window.</x:v>
      </x:c>
    </x:row>
    <x:row r="176">
      <x:c r="A176" t="str">
        <x:v>EV-2026-171</x:v>
      </x:c>
      <x:c r="B176" t="str">
        <x:v>EEI-2026-001</x:v>
      </x:c>
      <x:c r="C176" s="21" t="n">
        <x:v>46287.84653935185</x:v>
      </x:c>
      <x:c r="D176" t="str">
        <x:v>Paper-trade outcome</x:v>
      </x:c>
      <x:c r="E176" t="str">
        <x:v>StockAnalysis market data</x:v>
      </x:c>
      <x:c r="F176" t="str">
        <x:v>Quoted market data</x:v>
      </x:c>
      <x:c r="G176" s="44" t="str">
        <x:v>https://stockanalysis.com/etf/xop/history/</x:v>
      </x:c>
      <x:c r="H176" s="44" t="str">
        <x:v>XOP closed at $181.61 on September 22 versus the $193.84 September 8 opening entry, a 6.31% paper loss.</x:v>
      </x:c>
      <x:c r="I176" s="44" t="str">
        <x:v>Weakens indirect expression</x:v>
      </x:c>
      <x:c r="J176" s="44" t="n">
        <x:v>4</x:v>
      </x:c>
      <x:c r="K176" s="44" t="str">
        <x:v>The producer-equity fund underperformed the direct crude funds and remains the clearest expression failure in the paper portfolio.</x:v>
      </x:c>
    </x:row>
    <x:row r="177">
      <x:c r="A177" t="str">
        <x:v>EV-2026-172</x:v>
      </x:c>
      <x:c r="B177" t="str">
        <x:v>EEI-2026-009</x:v>
      </x:c>
      <x:c r="C177" s="21" t="n">
        <x:v>46288.49553240741</x:v>
      </x:c>
      <x:c r="D177" t="str">
        <x:v>Policy trigger and physical confirmation</x:v>
      </x:c>
      <x:c r="E177" t="str">
        <x:v>Reuters</x:v>
      </x:c>
      <x:c r="F177" t="str">
        <x:v>High-quality reporting of public statements and observable product markets</x:v>
      </x:c>
      <x:c r="G177" s="44" t="str">
        <x:v>https://www.reuters.com/world/us/trump-says-he-backs-idea-ban-diesel-exports-2026-09-22/</x:v>
      </x:c>
      <x:c r="H177" s="44" t="str">
        <x:v>The U.S. president backed examining a diesel-export ban as the European low-sulphur gasoil premium to Brent reached a record near $95 per barrel. Several officials described full or partial curbs as under review.</x:v>
      </x:c>
      <x:c r="I177" s="44" t="str">
        <x:v>Strengthens scarcity and policy-shock mechanism</x:v>
      </x:c>
      <x:c r="J177" s="44" t="n">
        <x:v>4</x:v>
      </x:c>
      <x:c r="K177" s="44" t="str">
        <x:v>No restriction had been implemented. Energy officials warned that curbs could reduce U.S. refinery runs, raise coastal prices and invite retaliation, so a record crack does not map cleanly to refiner earnings.</x:v>
      </x:c>
    </x:row>
    <x:row r="178">
      <x:c r="A178" t="str">
        <x:v>EV-2026-173</x:v>
      </x:c>
      <x:c r="B178" t="str">
        <x:v>EEI-2026-009</x:v>
      </x:c>
      <x:c r="C178" s="21" t="n">
        <x:v>46288.49553240741</x:v>
      </x:c>
      <x:c r="D178" t="str">
        <x:v>Market confirmation and normalization modifier</x:v>
      </x:c>
      <x:c r="E178" t="str">
        <x:v>Reuters and delayed market data</x:v>
      </x:c>
      <x:c r="F178" t="str">
        <x:v>High-quality reporting with observable commodity and ETF/equity prices</x:v>
      </x:c>
      <x:c r="G178" s="44" t="str">
        <x:v>https://www.reuters.com/business/energy/oil-falls-increased-gulf-supply-hopes-us-iran-talks-2026-09-23/</x:v>
      </x:c>
      <x:c r="H178" s="44" t="str">
        <x:v>Brent traded near $99.62 and WTI near $90.08 after testing two-week lows. CRAK, VLO, MPC and PSX were lower while European gasoil cracks were at a record. Saudi bypass flows, Iraqi exports and diplomacy increased supply-normalization expectations.</x:v>
      </x:c>
      <x:c r="I178" s="44" t="str">
        <x:v>Confirms product scarcity but weakens entry quality</x:v>
      </x:c>
      <x:c r="J178" s="44" t="n">
        <x:v>4</x:v>
      </x:c>
      <x:c r="K178" s="44" t="str">
        <x:v>The divergence between record product cracks and falling refining expressions signals policy, feedstock and already-priced risk. Current structure supports WAIT rather than a chase.</x:v>
      </x:c>
    </x:row>
    <x:row r="179">
      <x:c r="A179" t="str">
        <x:v>EV-2026-174</x:v>
      </x:c>
      <x:c r="B179" t="str">
        <x:v>EEI-2026-011</x:v>
      </x:c>
      <x:c r="C179" s="21" t="n">
        <x:v>46288.49553240741</x:v>
      </x:c>
      <x:c r="D179" t="str">
        <x:v>Physical freight confirmation</x:v>
      </x:c>
      <x:c r="E179" t="str">
        <x:v>Reuters</x:v>
      </x:c>
      <x:c r="F179" t="str">
        <x:v>High-quality reporting of official statements and shipping costs</x:v>
      </x:c>
      <x:c r="G179" s="44" t="str">
        <x:v>https://www.reuters.com/business/energy/saudi-arabia-denies-buying-oil-tankers-after-iraq-blames-it-higher-shipping-2026-09-22/</x:v>
      </x:c>
      <x:c r="H179" s="44" t="str">
        <x:v>Iraqi officials said shipping costs rose from about $26 to $37 per barrel. Saudi Arabia rejected Iraq's claim that it bought 25 tankers but attributed exceptional shipping costs to the regional war and Hormuz disruption.</x:v>
      </x:c>
      <x:c r="I179" s="44" t="str">
        <x:v>Supports tanker-scarcity variable</x:v>
      </x:c>
      <x:c r="J179" s="44" t="n">
        <x:v>4</x:v>
      </x:c>
      <x:c r="K179" s="44" t="str">
        <x:v>The tanker-purchase allegation was denied and the reported cost comparison was not a complete route-by-route freight series. Pipeline restoration and route normalization could release capacity quickly.</x:v>
      </x:c>
    </x:row>
    <x:row r="180">
      <x:c r="A180" t="str">
        <x:v>EV-2026-175</x:v>
      </x:c>
      <x:c r="B180" t="str">
        <x:v>EEI-2026-011</x:v>
      </x:c>
      <x:c r="C180" s="21" t="n">
        <x:v>46288.49553240741</x:v>
      </x:c>
      <x:c r="D180" t="str">
        <x:v>Diplomatic contradiction</x:v>
      </x:c>
      <x:c r="E180" t="str">
        <x:v>Reuters</x:v>
      </x:c>
      <x:c r="F180" t="str">
        <x:v>High-quality diplomatic reporting</x:v>
      </x:c>
      <x:c r="G180" s="44" t="str">
        <x:v>https://www.reuters.com/world/france-mulls-new-un-security-council-resolution-hormuz-diplomats-say-2026-09-22/</x:v>
      </x:c>
      <x:c r="H180" s="44" t="str">
        <x:v>France said it was drafting with the United States a possible U.N. Security Council resolution for an international mission intended to restore commercial movement through Hormuz.</x:v>
      </x:c>
      <x:c r="I180" s="44" t="str">
        <x:v>Raises normalization risk</x:v>
      </x:c>
      <x:c r="J180" s="44" t="n">
        <x:v>4</x:v>
      </x:c>
      <x:c r="K180" s="44" t="str">
        <x:v>The proposal had no implementation timetable, and earlier efforts did not secure China and Russia. It is a modifier rather than evidence that traffic has normalized.</x:v>
      </x:c>
    </x:row>
    <x:row r="181">
      <x:c r="A181" t="str">
        <x:v>EV-2026-176</x:v>
      </x:c>
      <x:c r="B181" t="str">
        <x:v>EEI-2026-003</x:v>
      </x:c>
      <x:c r="C181" s="21" t="n">
        <x:v>46288.49553240741</x:v>
      </x:c>
      <x:c r="D181" t="str">
        <x:v>Neutral election and policy check</x:v>
      </x:c>
      <x:c r="E181" t="str">
        <x:v>Reuters</x:v>
      </x:c>
      <x:c r="F181" t="str">
        <x:v>High-quality factual reporting</x:v>
      </x:c>
      <x:c r="G181" s="44" t="str">
        <x:v>https://www.reuters.com/world/us/trump-says-he-backs-idea-ban-diesel-exports-2026-09-22/</x:v>
      </x:c>
      <x:c r="H181" s="44" t="str">
        <x:v>High fuel prices prompted several candidates in competitive races to call for diesel-export restrictions. No independently confirmed House or Senate control development was established.</x:v>
      </x:c>
      <x:c r="I181" s="44" t="str">
        <x:v>Adds affordability policy issue; no control conclusion</x:v>
      </x:c>
      <x:c r="J181" s="44"/>
      <x:c r="K181" s="44" t="str">
        <x:v>Candidate statements and a policy proposal do not establish chamber control, enacted legislation or a direct investable outcome.</x:v>
      </x:c>
    </x:row>
    <x:row r="182">
      <x:c r="A182" t="str">
        <x:v>EV-2026-177</x:v>
      </x:c>
      <x:c r="B182" t="str">
        <x:v>EEI-2026-003</x:v>
      </x:c>
      <x:c r="C182" s="21" t="n">
        <x:v>46288.49553240741</x:v>
      </x:c>
      <x:c r="D182" t="str">
        <x:v>Mixed market-breadth check</x:v>
      </x:c>
      <x:c r="E182" t="str">
        <x:v>Reuters and delayed ETF market data</x:v>
      </x:c>
      <x:c r="F182" t="str">
        <x:v>High-quality reporting and quoted market data</x:v>
      </x:c>
      <x:c r="G182" s="44" t="str">
        <x:v>https://www.reuters.com/world/china/wall-st-futures-steady-with-focus-mideast-talks-us-china-summit-2026-09-23/</x:v>
      </x:c>
      <x:c r="H182" s="44" t="str">
        <x:v>SPY was roughly flat, while RSP +0.05%, IWM +0.54%, XLV +0.52% and XBI +2.31%; XLF fell 2.02%. Reuters said AI demand continued to support Nasdaq leadership.</x:v>
      </x:c>
      <x:c r="I182" s="44" t="str">
        <x:v>Limited breadth improvement; incomplete confirmation</x:v>
      </x:c>
      <x:c r="J182" s="44" t="n">
        <x:v>4</x:v>
      </x:c>
      <x:c r="K182" s="44" t="str">
        <x:v>Small-cap and health-care participation improved, but financial weakness and continuing mega-cap technology leadership leave the market signal mixed.</x:v>
      </x:c>
    </x:row>
    <x:row r="183">
      <x:c r="A183" t="str">
        <x:v>EV-2026-178</x:v>
      </x:c>
      <x:c r="B183"/>
      <x:c r="C183" s="21" t="n">
        <x:v>46288.49553240741</x:v>
      </x:c>
      <x:c r="D183" t="str">
        <x:v>Rejected Motley Fool trigger</x:v>
      </x:c>
      <x:c r="E183" t="str">
        <x:v>The Motley Fool — Joe Tenebruso</x:v>
      </x:c>
      <x:c r="F183" t="str">
        <x:v>Idea generator only; free editorial content</x:v>
      </x:c>
      <x:c r="G183" s="44" t="str">
        <x:v>https://www.fool.com/investing/2026/09/23/why-viking-therapeutics-stock-skyrocketed-on-tues/</x:v>
      </x:c>
      <x:c r="H183" s="44" t="str">
        <x:v>Free editorial published September 23 at 12:04 a.m. ET highlighted VK2735 maintenance-study data. The author disclosed no position; Motley Fool recommends Viking and owns/recommends competing obesity-drug companies.</x:v>
      </x:c>
      <x:c r="I183" s="44" t="str">
        <x:v>Rejected as a distinct thesis after primary verification</x:v>
      </x:c>
      <x:c r="J183" s="44" t="n">
        <x:v>3</x:v>
      </x:c>
      <x:c r="K183" s="44" t="str">
        <x:v>Ticker VKTX. Primary company data showed 90%-97% maintenance of prior weight loss for monthly or every-other-week dosing, but the study was exploratory, Phase 3 remains underway, the company has no product revenue, six-month net loss was $286.3 million, cash declined to $502 million and the stock rose about 35.6% to near its 52-week high. Economic variable: clinical success and future obesity-drug revenue over years. Binary trial, dilution, competition and already-priced risks keep the Entry Window at WAIT; no new thesis created.</x:v>
      </x:c>
    </x:row>
    <x:row r="184">
      <x:c r="A184" t="str">
        <x:v>EV-2026-179</x:v>
      </x:c>
      <x:c r="B184"/>
      <x:c r="C184" s="21" t="n">
        <x:v>46288.49553240741</x:v>
      </x:c>
      <x:c r="D184" t="str">
        <x:v>Rejected Motley Fool trigger</x:v>
      </x:c>
      <x:c r="E184" t="str">
        <x:v>The Motley Fool — Adria Cimino</x:v>
      </x:c>
      <x:c r="F184" t="str">
        <x:v>Idea generator only; free editorial content</x:v>
      </x:c>
      <x:c r="G184" s="44" t="str">
        <x:v>https://www.fool.com/investing/2026/09/23/should-you-buy-micron-before-sept-30/</x:v>
      </x:c>
      <x:c r="H184" s="44" t="str">
        <x:v>Free editorial published September 23 at 3:50 a.m. ET argued for Micron ahead of its September 30 earnings report, citing AI-memory demand and 16 customer agreements. The author disclosed no position; Motley Fool owns and recommends Micron.</x:v>
      </x:c>
      <x:c r="I184" s="44" t="str">
        <x:v>Rejected as a repeated and already-priced catalyst</x:v>
      </x:c>
      <x:c r="J184" s="44" t="n">
        <x:v>3</x:v>
      </x:c>
      <x:c r="K184" s="44" t="str">
        <x:v>Ticker MU. Economic variable: high-bandwidth-memory demand, revenue and margins over quarters. The earnings date and AI-memory demand are known, the shares have risen sharply, and no new primary catalyst or favorable pre-event structure was established. Event, cyclicality and valuation risks dominate; no distinct thesis created.</x:v>
      </x:c>
    </x:row>
    <x:row r="185">
      <x:c r="A185" t="str">
        <x:v>EV-2026-180</x:v>
      </x:c>
      <x:c r="B185"/>
      <x:c r="C185" s="21" t="n">
        <x:v>46288.49553240741</x:v>
      </x:c>
      <x:c r="D185" t="str">
        <x:v>Rejected Motley Fool trigger</x:v>
      </x:c>
      <x:c r="E185" t="str">
        <x:v>The Motley Fool — Trevor Jennewine</x:v>
      </x:c>
      <x:c r="F185" t="str">
        <x:v>Idea generator only; free editorial content</x:v>
      </x:c>
      <x:c r="G185" s="44" t="str">
        <x:v>https://www.fool.com/investing/2026/09/23/sandisk-stock-up-market-indicator-predicted-2027/</x:v>
      </x:c>
      <x:c r="H185" s="44" t="str">
        <x:v>Free editorial published September 23 at 5:07 a.m. ET discussed Sandisk after a roughly 695% year-to-date rise and acknowledged that a cyclical NAND shortage drove a 372% quarterly revenue increase. The author disclosed positions in other technology companies, not Sandisk.</x:v>
      </x:c>
      <x:c r="I185" s="44" t="str">
        <x:v>Rejected as headline-chasing and cyclical extrapolation</x:v>
      </x:c>
      <x:c r="J185" s="44" t="n">
        <x:v>3</x:v>
      </x:c>
      <x:c r="K185" s="44" t="str">
        <x:v>Ticker SNDK. Economic variable: NAND pricing, revenue and earnings over quarters. The article itself noted Sandisk lacks a clear durable advantage and that the shortage can reverse. A large repricing, high valuation and cyclical normalization risk make the entry unattractive; no distinct thesis created.</x:v>
      </x:c>
    </x:row>
    <x:row r="186">
      <x:c r="A186" t="str">
        <x:v>EV-2026-181</x:v>
      </x:c>
      <x:c r="B186"/>
      <x:c r="C186" s="21" t="n">
        <x:v>46288.49553240741</x:v>
      </x:c>
      <x:c r="D186" t="str">
        <x:v>Rejected Motley Fool trigger</x:v>
      </x:c>
      <x:c r="E186" t="str">
        <x:v>The Motley Fool — Chris Neiger</x:v>
      </x:c>
      <x:c r="F186" t="str">
        <x:v>Idea generator only; free editorial content</x:v>
      </x:c>
      <x:c r="G186" s="44" t="str">
        <x:v>https://www.fool.com/investing/2026/09/23/nvidias-demand-is-outpacing-its-70-growth-forecast/</x:v>
      </x:c>
      <x:c r="H186" s="44" t="str">
        <x:v>Free editorial published September 23 at 4:10 a.m. ET repeated management commentary that demand could exceed the fiscal-2028 growth outlook. The author disclosed an Apple position; Motley Fool owns and recommends Nvidia.</x:v>
      </x:c>
      <x:c r="I186" s="44" t="str">
        <x:v>Rejected as known demand commentary without a new catalyst</x:v>
      </x:c>
      <x:c r="J186" s="44" t="n">
        <x:v>3</x:v>
      </x:c>
      <x:c r="K186" s="44" t="str">
        <x:v>Ticker NVDA. Economic variable: AI-compute demand, supply and revenue growth over quarters. The demand thesis is well known, the company is valued near $5.5 trillion and the shares are near their 52-week high. Supply execution, valuation and already-priced risk dominate; no distinct thesis created.</x:v>
      </x:c>
    </x:row>
    <x:row r="187">
      <x:c r="A187" t="str">
        <x:v>EV-2026-182</x:v>
      </x:c>
      <x:c r="B187"/>
      <x:c r="C187" s="21" t="n">
        <x:v>46288.49553240741</x:v>
      </x:c>
      <x:c r="D187" t="str">
        <x:v>Rejected government-award trigger</x:v>
      </x:c>
      <x:c r="E187" t="str">
        <x:v>U.S. Department of War</x:v>
      </x:c>
      <x:c r="F187" t="str">
        <x:v>Primary government contract announcement</x:v>
      </x:c>
      <x:c r="G187" s="44" t="str">
        <x:v>https://www.war.gov/News/Contracts/Contract/Article/4608792/contracts-for-sept-22-2026/</x:v>
      </x:c>
      <x:c r="H187" s="44" t="str">
        <x:v>The September 22 contract announcement reported a $400 million firm-fixed-price indefinite-delivery/indefinite-quantity award to privately held Trideum Corp. The accessible announcement did not establish a listed parent, exact award identifier, initial obligation, NAICS/PSC, period of performance or competition status.</x:v>
      </x:c>
      <x:c r="I187" s="44" t="str">
        <x:v>Rejected pending complete award detail and investable mapping</x:v>
      </x:c>
      <x:c r="J187" s="44" t="n">
        <x:v>5</x:v>
      </x:c>
      <x:c r="K187" s="44" t="str">
        <x:v>Recipient: Trideum Corp; public parent mapping: none established; action: reported new IDIQ; potential ceiling: $400 million; current and obligated value: not established. Without a listed expression, complete USAspending detail or company-revenue materiality, the award does not support a new thesis.</x:v>
      </x:c>
    </x:row>
    <x:row r="188">
      <x:c r="A188" t="str">
        <x:v>EV-2026-183</x:v>
      </x:c>
      <x:c r="B188"/>
      <x:c r="C188" s="21" t="n">
        <x:v>46288.49553240741</x:v>
      </x:c>
      <x:c r="D188" t="str">
        <x:v>Rejected proposed-spending trigger</x:v>
      </x:c>
      <x:c r="E188" t="str">
        <x:v>Reuters</x:v>
      </x:c>
      <x:c r="F188" t="str">
        <x:v>High-quality reporting of an agency funding request</x:v>
      </x:c>
      <x:c r="G188" s="44" t="str">
        <x:v>https://www.reuters.com/business/media-telecom/us-wants-another-30-billion-aviation-system-upgrades-2026-09-22/</x:v>
      </x:c>
      <x:c r="H188" s="44" t="str">
        <x:v>The U.S. transportation secretary requested an additional $30 billion from Congress for aviation-system upgrades. The request was a proposal rather than enacted appropriations or an obligated contract award.</x:v>
      </x:c>
      <x:c r="I188" s="44" t="str">
        <x:v>Rejected before recipient and award formation</x:v>
      </x:c>
      <x:c r="J188" s="44" t="n">
        <x:v>4</x:v>
      </x:c>
      <x:c r="K188" s="44" t="str">
        <x:v>No recipient, award identifier, action type, obligated amount, competition status or period of performance exists at the proposal stage. Monitor only if Congress appropriates funds and agencies issue material awards.</x:v>
      </x:c>
    </x:row>
    <x:row r="189">
      <x:c r="A189" t="str">
        <x:v>EV-2026-184</x:v>
      </x:c>
      <x:c r="B189" t="str">
        <x:v>EEI-2026-003</x:v>
      </x:c>
      <x:c r="C189" s="53" t="n">
        <x:v>46288.634351851855</x:v>
      </x:c>
      <x:c r="D189" t="str">
        <x:v>Intraday reversal and candidate confirmation</x:v>
      </x:c>
      <x:c r="E189" t="str">
        <x:v>Current ETF market data and Reuters</x:v>
      </x:c>
      <x:c r="F189" t="str">
        <x:v>Quoted market data with high-quality reporting context</x:v>
      </x:c>
      <x:c r="G189" s="44" t="str">
        <x:v>https://www.reuters.com/world/china/wall-st-futures-steady-with-focus-mideast-talks-us-china-summit-2026-09-23/</x:v>
      </x:c>
      <x:c r="H189" s="44" t="str">
        <x:v>Around 11:02 a.m. ET, SPY was down 0.42%, RSP 0.31%, IWM 1.32%, XLI was up 0.22%, XLB was down 0.20%, XLV 0.34%, XBI 3.52%, XLF was up 0.04% and CPER was down 2.10%.</x:v>
      </x:c>
      <x:c r="I189" s="44" t="str">
        <x:v>Weakens breadth and prior health-care follow-through</x:v>
      </x:c>
      <x:c r="J189" s="44" t="n">
        <x:v>5</x:v>
      </x:c>
      <x:c r="K189" s="44" t="str">
        <x:v>RSP fell slightly less than SPY and XLI held positive, but the sharp XBI and IWM reversals removed the morning's main confirmation. Copper and broad materials also failed to confirm.</x:v>
      </x:c>
    </x:row>
    <x:row r="190">
      <x:c r="A190" t="str">
        <x:v>EV-2026-185</x:v>
      </x:c>
      <x:c r="B190" t="str">
        <x:v>EEI-2026-003</x:v>
      </x:c>
      <x:c r="C190" s="53" t="n">
        <x:v>46288.634351851855</x:v>
      </x:c>
      <x:c r="D190" t="str">
        <x:v>Rates and oil modifier</x:v>
      </x:c>
      <x:c r="E190" t="str">
        <x:v>Reuters and live U.S. Treasury market data</x:v>
      </x:c>
      <x:c r="F190" t="str">
        <x:v>High-quality reporting and quoted market data</x:v>
      </x:c>
      <x:c r="G190" s="44" t="str">
        <x:v>https://www.reuters.com/business/energy/oil-falls-increased-gulf-supply-hopes-us-iran-talks-2026-09-23/</x:v>
      </x:c>
      <x:c r="H190" s="44" t="str">
        <x:v>Reuters reported Brent near $99.62 and WTI near $90.08 as supply-normalization expectations improved. A live 10-year Treasury quote nevertheless rose to roughly 5.07% around 10:50 a.m. ET.</x:v>
      </x:c>
      <x:c r="I190" s="44" t="str">
        <x:v>Oil headwind eased, but rate contradiction strengthened</x:v>
      </x:c>
      <x:c r="J190" s="44" t="n">
        <x:v>4</x:v>
      </x:c>
      <x:c r="K190" s="44" t="str">
        <x:v>The return above 5% shows that lower oil alone is not enough to deliver the lower-rate, broad-participation mechanism. Rate-sensitive small caps and biotech weakened at the same time.</x:v>
      </x:c>
    </x:row>
    <x:row r="191">
      <x:c r="A191" t="str">
        <x:v>EV-2026-186</x:v>
      </x:c>
      <x:c r="B191" t="str">
        <x:v>EEI-2026-001</x:v>
      </x:c>
      <x:c r="C191" s="56" t="n">
        <x:v>46288.833333333336</x:v>
      </x:c>
      <x:c r="D191" t="str">
        <x:v>Paper-trade outcome</x:v>
      </x:c>
      <x:c r="E191" t="str">
        <x:v>S&amp;P Global Market Intelligence via StockAnalysis</x:v>
      </x:c>
      <x:c r="F191" t="str">
        <x:v>Daily closing market data</x:v>
      </x:c>
      <x:c r="G191" s="44" t="str">
        <x:v>https://stockanalysis.com/etf/bno/history/</x:v>
      </x:c>
      <x:c r="H191" s="44" t="str">
        <x:v>BNO closed September 23 at $60.36 versus the $57.21 September 8 opening entry. The $1,000 paper position was worth $1,055.06, up $55.06 or 5.51%; BNO rose 4.23% for the session.</x:v>
      </x:c>
      <x:c r="I191" s="44" t="str">
        <x:v>Supports the cleanest direct expression</x:v>
      </x:c>
      <x:c r="J191" s="44" t="n">
        <x:v>5</x:v>
      </x:c>
      <x:c r="K191" s="44" t="str">
        <x:v>BNO recovered most of the prior day's decline and remains the strongest of the three paper positions. This post-horizon observation does not change the completed September 18 outcome score.</x:v>
      </x:c>
    </x:row>
    <x:row r="192">
      <x:c r="A192" t="str">
        <x:v>EV-2026-187</x:v>
      </x:c>
      <x:c r="B192" t="str">
        <x:v>EEI-2026-001</x:v>
      </x:c>
      <x:c r="C192" s="56" t="n">
        <x:v>46288.833333333336</x:v>
      </x:c>
      <x:c r="D192" t="str">
        <x:v>Paper-trade outcome</x:v>
      </x:c>
      <x:c r="E192" t="str">
        <x:v>S&amp;P Global Market Intelligence via StockAnalysis</x:v>
      </x:c>
      <x:c r="F192" t="str">
        <x:v>Daily closing market data</x:v>
      </x:c>
      <x:c r="G192" s="44" t="str">
        <x:v>https://stockanalysis.com/etf/uso/history/</x:v>
      </x:c>
      <x:c r="H192" s="44" t="str">
        <x:v>USO closed September 23 at $148.89 versus the $144.60 September 8 opening entry. The $1,000 paper position was worth $1,029.67, up $29.67 or 2.97%; USO rose 3.34% for the session.</x:v>
      </x:c>
      <x:c r="I192" s="44" t="str">
        <x:v>Supports direct crude expression</x:v>
      </x:c>
      <x:c r="J192" s="44" t="n">
        <x:v>5</x:v>
      </x:c>
      <x:c r="K192" s="44" t="str">
        <x:v>USO returned above its paper-entry price and continued to outperform XOP. This is a continued-tracking result after the formal evaluation horizon.</x:v>
      </x:c>
    </x:row>
    <x:row r="193">
      <x:c r="A193" t="str">
        <x:v>EV-2026-188</x:v>
      </x:c>
      <x:c r="B193" t="str">
        <x:v>EEI-2026-001</x:v>
      </x:c>
      <x:c r="C193" s="56" t="n">
        <x:v>46288.833333333336</x:v>
      </x:c>
      <x:c r="D193" t="str">
        <x:v>Paper-trade outcome</x:v>
      </x:c>
      <x:c r="E193" t="str">
        <x:v>S&amp;P Global Market Intelligence via StockAnalysis</x:v>
      </x:c>
      <x:c r="F193" t="str">
        <x:v>Daily closing market data</x:v>
      </x:c>
      <x:c r="G193" s="44" t="str">
        <x:v>https://stockanalysis.com/etf/xop/history/</x:v>
      </x:c>
      <x:c r="H193" s="44" t="str">
        <x:v>XOP closed September 23 at $183.04 versus the $193.84 September 8 opening entry. The $1,000 paper position was worth $944.28, down $55.72 or 5.57%; XOP rose only 0.79% for the session.</x:v>
      </x:c>
      <x:c r="I193" s="44" t="str">
        <x:v>Continues to weaken the indirect equity expression</x:v>
      </x:c>
      <x:c r="J193" s="44" t="n">
        <x:v>5</x:v>
      </x:c>
      <x:c r="K193" s="44" t="str">
        <x:v>The producer-equity fund remains the expression failure and materially lags both direct crude funds, reinforcing the methodology's clean-expression rule.</x:v>
      </x:c>
    </x:row>
    <x:row r="194">
      <x:c r="A194" t="str">
        <x:v>EV-2026-189</x:v>
      </x:c>
      <x:c r="B194" t="str">
        <x:v>EEI-2026-001</x:v>
      </x:c>
      <x:c r="C194" s="56" t="n">
        <x:v>46288.833333333336</x:v>
      </x:c>
      <x:c r="D194" t="str">
        <x:v>Post-horizon outcome and modifier</x:v>
      </x:c>
      <x:c r="E194" t="str">
        <x:v>Reuters and S&amp;P Global Market Intelligence via StockAnalysis</x:v>
      </x:c>
      <x:c r="F194" t="str">
        <x:v>High-quality reporting and daily closing market data</x:v>
      </x:c>
      <x:c r="G194" s="44" t="str">
        <x:v>https://www.reuters.com/business/energy/oil-falls-increased-gulf-supply-hopes-us-iran-talks-2026-09-23/</x:v>
      </x:c>
      <x:c r="H194" s="44" t="str">
        <x:v>Reuters reported Brent near $99.62 and WTI near $90.08 earlier on September 23 as Gulf supply and diplomacy raised normalization expectations. The direct crude funds later closed sharply higher, with BNO up 4.23% and USO up 3.34% for the session.</x:v>
      </x:c>
      <x:c r="I194" s="44" t="str">
        <x:v>Mixed; physical normalization remains the invalidation path while headline sensitivity persists</x:v>
      </x:c>
      <x:c r="J194" s="44" t="n">
        <x:v>4</x:v>
      </x:c>
      <x:c r="K194" s="44" t="str">
        <x:v>The original thesis succeeded during its formal horizon, but the extended hold remains volatile. Saudi bypass restoration and any durable Hormuz reopening weaken the scarcity premium; renewed disruption can restore it quickly. The portfolio closed at $3,029.01, up $29.01 or 0.97% from inception.</x:v>
      </x:c>
    </x:row>
    <x:row r="195">
      <x:c r="A195" t="str">
        <x:v>EV-2026-190</x:v>
      </x:c>
      <x:c r="B195" t="str">
        <x:v>EEI-2026-009</x:v>
      </x:c>
      <x:c r="C195" s="21" t="n">
        <x:v>46289.51803240741</x:v>
      </x:c>
      <x:c r="D195" t="str">
        <x:v>Physical confirmation and government response</x:v>
      </x:c>
      <x:c r="E195" t="str">
        <x:v>Reuters</x:v>
      </x:c>
      <x:c r="F195" t="str">
        <x:v>High-quality reporting of official statements and physical logistics</x:v>
      </x:c>
      <x:c r="G195" s="44" t="str">
        <x:v>https://www.reuters.com/business/energy/serbia-release-reserve-diesel-due-global-shortage-energy-minister-says-2026-09-24/</x:v>
      </x:c>
      <x:c r="H195" s="44" t="str">
        <x:v>Serbia said it would release about 5,000 metric tons of diesel from state reserves because of the global shortage. August Danube fuel imports fell to roughly 25%-30% of planned volume as low water restricted barge loading to about 30%-40% of normal capacity.</x:v>
      </x:c>
      <x:c r="I195" s="44" t="str">
        <x:v>Strengthens scarcity and materiality</x:v>
      </x:c>
      <x:c r="J195" s="44" t="n">
        <x:v>4</x:v>
      </x:c>
      <x:c r="K195" s="44" t="str">
        <x:v>A small national reserve release is not globally decisive, but it is a concrete government response to physical diesel scarcity and impaired regional logistics.</x:v>
      </x:c>
    </x:row>
    <x:row r="196">
      <x:c r="A196" t="str">
        <x:v>EV-2026-191</x:v>
      </x:c>
      <x:c r="B196" t="str">
        <x:v>EEI-2026-009</x:v>
      </x:c>
      <x:c r="C196" s="21" t="n">
        <x:v>46289.51803240741</x:v>
      </x:c>
      <x:c r="D196" t="str">
        <x:v>Market confirmation and policy contradiction</x:v>
      </x:c>
      <x:c r="E196" t="str">
        <x:v>Reuters</x:v>
      </x:c>
      <x:c r="F196" t="str">
        <x:v>High-quality reporting with observable commodity and inventory data</x:v>
      </x:c>
      <x:c r="G196" s="44" t="str">
        <x:v>https://www.reuters.com/business/energy/oil-prices-edge-lower-iran-says-it-is-open-diplomacy-end-war-2026-09-24/</x:v>
      </x:c>
      <x:c r="H196" s="44" t="str">
        <x:v>Brent rose about 2.36% to $105.51 and WTI 1.89% to $93.90; European diesel futures remained near all-time highs and U.S. distillate stocks fell 428,000 barrels to 107.4 million. The White House denied preparing a 90-day diesel-export ban.</x:v>
      </x:c>
      <x:c r="I196" s="44" t="str">
        <x:v>Confirms physical tightness; reduces immediate policy shock</x:v>
      </x:c>
      <x:c r="J196" s="44" t="n">
        <x:v>4</x:v>
      </x:c>
      <x:c r="K196" s="44" t="str">
        <x:v>Commodity confirmation is strong, but the export-ban reversal, higher U.S. crude inventories and diplomatic options increase headline risk and leave the Entry Window at WAIT.</x:v>
      </x:c>
    </x:row>
    <x:row r="197">
      <x:c r="A197" t="str">
        <x:v>EV-2026-192</x:v>
      </x:c>
      <x:c r="B197" t="str">
        <x:v>EEI-2026-003</x:v>
      </x:c>
      <x:c r="C197" s="21" t="n">
        <x:v>46289.51803240741</x:v>
      </x:c>
      <x:c r="D197" t="str">
        <x:v>Election-outlook confirmation</x:v>
      </x:c>
      <x:c r="E197" t="str">
        <x:v>Reuters / Ipsos</x:v>
      </x:c>
      <x:c r="F197" t="str">
        <x:v>High-quality reporting of a national poll</x:v>
      </x:c>
      <x:c r="G197" s="44" t="str">
        <x:v>https://www.reuters.com/world/us/trump-approval-falls-career-low-32-high-costs-bite-reutersipsos-poll-finds-2026-09-21/</x:v>
      </x:c>
      <x:c r="H197" s="44" t="str">
        <x:v>Registered voters preferred Democratic congressional candidates 43% to 35%, the largest Democratic lead in Reuters/Ipsos polling during 2026. Presidential approval was 32%, and only 17% approved of handling the cost of living.</x:v>
      </x:c>
      <x:c r="I197" s="44" t="str">
        <x:v>Strengthens political-shift probability; no chamber-control conclusion</x:v>
      </x:c>
      <x:c r="J197" s="44" t="n">
        <x:v>4</x:v>
      </x:c>
      <x:c r="K197" s="44" t="str">
        <x:v>The national poll does not resolve individual House districts or Senate races. No new U.S. cash-market session was available to confirm the investment mechanism.</x:v>
      </x:c>
    </x:row>
    <x:row r="198">
      <x:c r="A198" t="str">
        <x:v>EV-2026-193</x:v>
      </x:c>
      <x:c r="B198"/>
      <x:c r="C198" s="21" t="n">
        <x:v>46289.51803240741</x:v>
      </x:c>
      <x:c r="D198" t="str">
        <x:v>Rejected Motley Fool trigger</x:v>
      </x:c>
      <x:c r="E198" t="str">
        <x:v>The Motley Fool — Jack Delaney</x:v>
      </x:c>
      <x:c r="F198" t="str">
        <x:v>Idea generator only; free editorial content</x:v>
      </x:c>
      <x:c r="G198" s="44" t="str">
        <x:v>https://www.fool.com/investing/2026/09/24/easiest-way-invest-in-anthropic-ipo-amazon/</x:v>
      </x:c>
      <x:c r="H198" s="44" t="str">
        <x:v>Free editorial published September 24 at 5:18 a.m. ET proposed Amazon as an indirect way to invest in a possible Anthropic IPO. The author disclosed no Amazon position; Motley Fool recommends Amazon.</x:v>
      </x:c>
      <x:c r="I198" s="44" t="str">
        <x:v>Rejected as speculative and immaterial to the proposed expression</x:v>
      </x:c>
      <x:c r="J198" s="44" t="n">
        <x:v>3</x:v>
      </x:c>
      <x:c r="K198" s="44" t="str">
        <x:v>Ticker AMZN. The possible November IPO was press speculation, while the AWS commitment was previously known. No primary IPO filing, disclosed valuation, new Amazon economics or favorable entry structure was established. Not an official paid-service recommendation; no distinct thesis created.</x:v>
      </x:c>
    </x:row>
    <x:row r="199">
      <x:c r="A199" t="str">
        <x:v>EV-2026-194</x:v>
      </x:c>
      <x:c r="B199"/>
      <x:c r="C199" s="21" t="n">
        <x:v>46289.51803240741</x:v>
      </x:c>
      <x:c r="D199" t="str">
        <x:v>Rejected Motley Fool trigger</x:v>
      </x:c>
      <x:c r="E199" t="str">
        <x:v>The Motley Fool — Keithen Drury</x:v>
      </x:c>
      <x:c r="F199" t="str">
        <x:v>Idea generator only; free editorial content</x:v>
      </x:c>
      <x:c r="G199" s="44" t="str">
        <x:v>https://www.fool.com/investing/2026/09/24/spacex-and-nvidia-just-deepened-their-compute-alli/</x:v>
      </x:c>
      <x:c r="H199" s="44" t="str">
        <x:v>Free editorial published September 24 at 5:15 a.m. ET highlighted SpaceX use of Nvidia Vera compute. The author disclosed an Nvidia position; Motley Fool owns and recommends Nvidia.</x:v>
      </x:c>
      <x:c r="I199" s="44" t="str">
        <x:v>Rejected after primary corroboration and materiality test</x:v>
      </x:c>
      <x:c r="J199" s="44" t="n">
        <x:v>3</x:v>
      </x:c>
      <x:c r="K199" s="44" t="str">
        <x:v>Ticker NVDA. Nvidia publicly corroborated the deployment, but no order value or financial materiality was disclosed relative to Nvidia's scale. AI demand is well known and the price structure offers no non-chasing entry. Not an official paid-service recommendation; no distinct thesis created.</x:v>
      </x:c>
    </x:row>
    <x:row r="200">
      <x:c r="A200" t="str">
        <x:v>EV-2026-195</x:v>
      </x:c>
      <x:c r="B200"/>
      <x:c r="C200" s="21" t="n">
        <x:v>46289.51803240741</x:v>
      </x:c>
      <x:c r="D200" t="str">
        <x:v>Rejected Motley Fool trigger</x:v>
      </x:c>
      <x:c r="E200" t="str">
        <x:v>The Motley Fool — Keith Speights</x:v>
      </x:c>
      <x:c r="F200" t="str">
        <x:v>Idea generator only; free editorial content</x:v>
      </x:c>
      <x:c r="G200" s="44" t="str">
        <x:v>https://www.fool.com/investing/2026/09/24/intuitive-surgical-stock-has-plunged-29-this-year/</x:v>
      </x:c>
      <x:c r="H200" s="44" t="str">
        <x:v>Free editorial published September 24 argued that Intuitive Surgical was attractive after a 29% decline. The writer disclosed an Intuitive Surgical position; Motley Fool owns and recommends the shares and disclosed options positions.</x:v>
      </x:c>
      <x:c r="I200" s="44" t="str">
        <x:v>Rejected as valuation opinion without a new catalyst</x:v>
      </x:c>
      <x:c r="J200" s="44" t="n">
        <x:v>3</x:v>
      </x:c>
      <x:c r="K200" s="44" t="str">
        <x:v>Ticker ISRG. Primary Q2 materials showed revenue up 19%, da Vinci procedure growth of 15%, installed-base growth of 12% and non-GAAP gross margin near 70%, but growth decelerated and valuation remains demanding. Next earnings are the cleaner checkpoint. Not an official paid-service recommendation; no distinct thesis created.</x:v>
      </x:c>
    </x:row>
    <x:row r="201">
      <x:c r="A201" t="str">
        <x:v>EV-2026-196</x:v>
      </x:c>
      <x:c r="B201"/>
      <x:c r="C201" s="21" t="n">
        <x:v>46289.51803240741</x:v>
      </x:c>
      <x:c r="D201" t="str">
        <x:v>Rejected government-award trigger</x:v>
      </x:c>
      <x:c r="E201" t="str">
        <x:v>U.S. Army</x:v>
      </x:c>
      <x:c r="F201" t="str">
        <x:v>Primary government contract announcement</x:v>
      </x:c>
      <x:c r="G201" s="44" t="str">
        <x:v>https://www.army.mil/article/295461/u_s_army_awards_contract_to_modernize_ammunition_management</x:v>
      </x:c>
      <x:c r="H201" s="44" t="str">
        <x:v>The Army announced a $48.094 million firm-fixed-price delivery order to Palantir for ammunition-management modernization after a competitive three-phase evaluation. The underlying announcement was dated September 17 rather than a new September 24 award.</x:v>
      </x:c>
      <x:c r="I201" s="44" t="str">
        <x:v>Rejected as stale and immaterial</x:v>
      </x:c>
      <x:c r="J201" s="44" t="n">
        <x:v>5</x:v>
      </x:c>
      <x:c r="K201" s="44" t="str">
        <x:v>Recipient and parent: Palantir Technologies; action: delivery order; reported value: $48.094 million; competition: three-phase competitive process. Award identifier, initial obligation, NAICS/PSC and complete period of performance were not established in the accessible record. The value is not material to Palantir at company scale and the market had time to expect it.</x:v>
      </x:c>
    </x:row>
    <x:row r="202">
      <x:c r="A202" t="str">
        <x:v>EV-2026-197</x:v>
      </x:c>
      <x:c r="B202" t="str">
        <x:v>EEI-2026-009</x:v>
      </x:c>
      <x:c r="C202" s="21" t="n">
        <x:v>46289.51803240741</x:v>
      </x:c>
      <x:c r="D202" t="str">
        <x:v>Long-run supply modifier</x:v>
      </x:c>
      <x:c r="E202" t="str">
        <x:v>Reuters</x:v>
      </x:c>
      <x:c r="F202" t="str">
        <x:v>High-quality reporting of company and government statements</x:v>
      </x:c>
      <x:c r="G202" s="44" t="str">
        <x:v>https://www.reuters.com/business/energy/russia-starts-exports-arctic-vostok-oil-project-boost-long-term-production-2026-09-24/</x:v>
      </x:c>
      <x:c r="H202" s="44" t="str">
        <x:v>Russia began exports from the Vostok Oil project at about 150,000 barrels per day and expects roughly 600,000 barrels per day in the second half of 2027 and 1 million by 2030.</x:v>
      </x:c>
      <x:c r="I202" s="44" t="str">
        <x:v>Long-run crude-supply contradiction; limited immediate diesel effect</x:v>
      </x:c>
      <x:c r="J202" s="44" t="n">
        <x:v>4</x:v>
      </x:c>
      <x:c r="K202" s="44" t="str">
        <x:v>The project can add crude supply over years, but current volume is small relative to the diesel shortage and does not directly restore refinery capacity, product exports or impaired logistics.</x:v>
      </x:c>
    </x:row>
    <x:row r="203">
      <x:c r="A203" t="str">
        <x:v>EV-2026-198</x:v>
      </x:c>
      <x:c r="B203" t="str">
        <x:v>EEI-2026-003</x:v>
      </x:c>
      <x:c r="C203" s="21" t="n">
        <x:v>46289.65069444444</x:v>
      </x:c>
      <x:c r="D203" t="str">
        <x:v>Intraday breadth and sector check</x:v>
      </x:c>
      <x:c r="E203" t="str">
        <x:v>Current ETF market data</x:v>
      </x:c>
      <x:c r="F203" t="str">
        <x:v>Quoted market data</x:v>
      </x:c>
      <x:c r="G203" s="44" t="str">
        <x:v>https://www.reuters.com/lseg/</x:v>
      </x:c>
      <x:c r="H203" s="44" t="str">
        <x:v>At approximately 11:24 a.m. ET, SPY was -0.46% and RSP -0.50%; IWM -0.83%, XLI -0.91%, XLB -1.03%, XBI -1.04%, CPER -0.30% and XLF -0.36%. XLV +0.85% was the only positive candidate.</x:v>
      </x:c>
      <x:c r="I203" s="44" t="str">
        <x:v>Weakens breadth and cyclical confirmation</x:v>
      </x:c>
      <x:c r="J203" s="44" t="n">
        <x:v>5</x:v>
      </x:c>
      <x:c r="K203" s="44" t="str">
        <x:v>Defensive XLV strength does not confirm broad uncertainty relief, while biotech and small caps declined.</x:v>
      </x:c>
    </x:row>
    <x:row r="204">
      <x:c r="A204" t="str">
        <x:v>EV-2026-199</x:v>
      </x:c>
      <x:c r="B204" t="str">
        <x:v>EEI-2026-003</x:v>
      </x:c>
      <x:c r="C204" s="21" t="n">
        <x:v>46289.65069444444</x:v>
      </x:c>
      <x:c r="D204" t="str">
        <x:v>Rates, oil and inflation modifier</x:v>
      </x:c>
      <x:c r="E204" t="str">
        <x:v>Reuters</x:v>
      </x:c>
      <x:c r="F204" t="str">
        <x:v>High-quality reporting</x:v>
      </x:c>
      <x:c r="G204" s="44" t="str">
        <x:v>https://www.reuters.com/business/energy/oil-prices-edge-lower-iran-says-it-is-open-diplomacy-end-war-2026-09-24/</x:v>
      </x:c>
      <x:c r="H204" s="44" t="str">
        <x:v>Reuters reported Brent near $105.51 and WTI near $93.90 on September 24. Reuters' Morning Bid also noted U.S. Treasury yields above 5% amid strong data, energy costs and expectations for additional tightening.</x:v>
      </x:c>
      <x:c r="I204" s="44" t="str">
        <x:v>Strengthens the inflation-to-rates headwind</x:v>
      </x:c>
      <x:c r="J204" s="44" t="n">
        <x:v>4</x:v>
      </x:c>
      <x:c r="K204" s="44" t="str">
        <x:v>Diplomatic signals and the denial of an export ban offer possible oil relief; earnings estimates remain supportive.</x:v>
      </x:c>
    </x:row>
    <x:row r="205">
      <x:c r="A205" t="str">
        <x:v>EV-2026-200</x:v>
      </x:c>
      <x:c r="B205" t="str">
        <x:v>EEI-2026-001</x:v>
      </x:c>
      <x:c r="C205" s="21" t="n">
        <x:v>46289.833333333336</x:v>
      </x:c>
      <x:c r="D205" t="str">
        <x:v>Paper-trade outcome</x:v>
      </x:c>
      <x:c r="E205" t="str">
        <x:v>S&amp;P Global Market Intelligence via StockAnalysis</x:v>
      </x:c>
      <x:c r="F205" t="str">
        <x:v>Daily closing market data</x:v>
      </x:c>
      <x:c r="G205" s="44" t="str">
        <x:v>https://stockanalysis.com/etf/bno/history/</x:v>
      </x:c>
      <x:c r="H205" s="44" t="str">
        <x:v>BNO closed September 24 at $61.56 versus the $57.21 September 8 opening entry. The $1,000 paper position was worth $1,076.04, up $76.04 or 7.60%; BNO rose 1.99% for the session.</x:v>
      </x:c>
      <x:c r="I205" s="44" t="str">
        <x:v>Supports the cleanest direct expression</x:v>
      </x:c>
      <x:c r="J205" s="44" t="n">
        <x:v>5</x:v>
      </x:c>
      <x:c r="K205" s="44" t="str">
        <x:v>BNO remains the strongest of the three positions. This is continued tracking after the formal September 18 horizon and does not change the completed outcome score.</x:v>
      </x:c>
    </x:row>
    <x:row r="206">
      <x:c r="A206" t="str">
        <x:v>EV-2026-201</x:v>
      </x:c>
      <x:c r="B206" t="str">
        <x:v>EEI-2026-001</x:v>
      </x:c>
      <x:c r="C206" s="21" t="n">
        <x:v>46289.833333333336</x:v>
      </x:c>
      <x:c r="D206" t="str">
        <x:v>Paper-trade outcome</x:v>
      </x:c>
      <x:c r="E206" t="str">
        <x:v>S&amp;P Global Market Intelligence via StockAnalysis</x:v>
      </x:c>
      <x:c r="F206" t="str">
        <x:v>Daily closing market data</x:v>
      </x:c>
      <x:c r="G206" s="44" t="str">
        <x:v>https://stockanalysis.com/etf/uso/history/</x:v>
      </x:c>
      <x:c r="H206" s="44" t="str">
        <x:v>USO closed September 24 at $153.25 versus the $144.60 September 8 opening entry. The $1,000 paper position was worth $1,059.82, up $59.82 or 5.98%; USO rose 2.97% for the session.</x:v>
      </x:c>
      <x:c r="I206" s="44" t="str">
        <x:v>Supports direct crude expression</x:v>
      </x:c>
      <x:c r="J206" s="44" t="n">
        <x:v>5</x:v>
      </x:c>
      <x:c r="K206" s="44" t="str">
        <x:v>USO remains profitable and continues to outperform XOP. This is a post-horizon observation.</x:v>
      </x:c>
    </x:row>
    <x:row r="207">
      <x:c r="A207" t="str">
        <x:v>EV-2026-202</x:v>
      </x:c>
      <x:c r="B207" t="str">
        <x:v>EEI-2026-001</x:v>
      </x:c>
      <x:c r="C207" s="21" t="n">
        <x:v>46289.833333333336</x:v>
      </x:c>
      <x:c r="D207" t="str">
        <x:v>Paper-trade outcome</x:v>
      </x:c>
      <x:c r="E207" t="str">
        <x:v>S&amp;P Global Market Intelligence via StockAnalysis</x:v>
      </x:c>
      <x:c r="F207" t="str">
        <x:v>Daily closing market data</x:v>
      </x:c>
      <x:c r="G207" s="44" t="str">
        <x:v>https://stockanalysis.com/etf/xop/history/</x:v>
      </x:c>
      <x:c r="H207" s="44" t="str">
        <x:v>XOP closed September 24 at $184.31 versus the $193.84 September 8 opening entry. The $1,000 paper position was worth $950.84, down $49.16 or 4.92%; XOP rose 0.91% for the session.</x:v>
      </x:c>
      <x:c r="I207" s="44" t="str">
        <x:v>Continues to weaken the indirect equity expression</x:v>
      </x:c>
      <x:c r="J207" s="44" t="n">
        <x:v>5</x:v>
      </x:c>
      <x:c r="K207" s="44" t="str">
        <x:v>The producer-equity proxy remains below entry and materially trails both direct crude funds, reinforcing the clean-expression rule.</x:v>
      </x:c>
    </x:row>
    <x:row r="208">
      <x:c r="A208" t="str">
        <x:v>EV-2026-203</x:v>
      </x:c>
      <x:c r="B208" t="str">
        <x:v>EEI-2026-001</x:v>
      </x:c>
      <x:c r="C208" s="21" t="n">
        <x:v>46289.833333333336</x:v>
      </x:c>
      <x:c r="D208" t="str">
        <x:v>Diplomatic invalidation development</x:v>
      </x:c>
      <x:c r="E208" t="str">
        <x:v>Reuters</x:v>
      </x:c>
      <x:c r="F208" t="str">
        <x:v>High-quality reporting</x:v>
      </x:c>
      <x:c r="G208" s="44" t="str">
        <x:v>https://www.reuters.com/world/asia-pacific/us-iran-discuss-phased-deal-reopen-hormuz-end-us-blockade-sources-say-2026-09-24/</x:v>
      </x:c>
      <x:c r="H208" s="44" t="str">
        <x:v>U.S. and Iranian negotiators were exploring a phased arrangement under which Iran would reopen Hormuz and the United States would lift its economic blockade, but neither side wanted to give up leverage first and no agreement had been reached.</x:v>
      </x:c>
      <x:c r="I208" s="44" t="str">
        <x:v>Weakens extended-hold thesis; not yet an invalidation</x:v>
      </x:c>
      <x:c r="J208" s="44" t="n">
        <x:v>4</x:v>
      </x:c>
      <x:c r="K208" s="44" t="str">
        <x:v>A durable reopening would compress the scarcity premium. The paper portfolio nevertheless closed at $3,086.69, +$86.69 (+2.89%) from inception. The formal September 18 outcome remains unchanged.</x:v>
      </x:c>
    </x:row>
    <x:row r="209">
      <x:c r="A209" t="str">
        <x:v>EV-2026-204</x:v>
      </x:c>
      <x:c r="B209" t="str">
        <x:v>EEI-2026-001</x:v>
      </x:c>
      <x:c r="C209" s="21" t="n">
        <x:v>46289.833333333336</x:v>
      </x:c>
      <x:c r="D209" t="str">
        <x:v>Continuing disruption confirmation</x:v>
      </x:c>
      <x:c r="E209" t="str">
        <x:v>Reuters</x:v>
      </x:c>
      <x:c r="F209" t="str">
        <x:v>High-quality reporting of joint government statement</x:v>
      </x:c>
      <x:c r="G209" s="44" t="str">
        <x:v>https://www.reuters.com/world/middle-east/un-80-countries-demand-reopening-hormuz-condemn-iran-houthi-attacks-2026-09-24/</x:v>
      </x:c>
      <x:c r="H209" s="44" t="str">
        <x:v>A joint statement backed by about 80 countries called for the urgent reopening of Hormuz and condemned continuing disruption to international trade and energy security, while also warning that Houthi activity near Bab el-Mandeb increased shipping risk.</x:v>
      </x:c>
      <x:c r="I209" s="44" t="str">
        <x:v>Confirms disruption remains unresolved</x:v>
      </x:c>
      <x:c r="J209" s="44" t="n">
        <x:v>4</x:v>
      </x:c>
      <x:c r="K209" s="44" t="str">
        <x:v>The statement confirms the chokepoint problem is still live, but political pressure for reopening and active U.S.-Iran talks make the extended hold highly headline-sensitive.</x:v>
      </x:c>
    </x:row>
    <x:row r="210">
      <x:c r="A210" t="str">
        <x:v>EV-2026-205</x:v>
      </x:c>
      <x:c r="B210" t="str">
        <x:v>EEI-2026-003</x:v>
      </x:c>
      <x:c r="C210" s="21" t="n">
        <x:v>46290.66180555556</x:v>
      </x:c>
      <x:c r="D210" t="str">
        <x:v>Competitive-state election confirmation</x:v>
      </x:c>
      <x:c r="E210" t="str">
        <x:v>Reuters</x:v>
      </x:c>
      <x:c r="F210" t="str">
        <x:v>High-quality reporting of polls, campaign filings and party behavior</x:v>
      </x:c>
      <x:c r="G210" s="44" t="str">
        <x:v>https://www.reuters.com/world/us/rush-money-campaign-stops-show-republicans-feel-vulnerable-iowa-kansas-2026-09-25/</x:v>
      </x:c>
      <x:c r="H210" s="44" t="str">
        <x:v>Reuters reported unusual Republican campaign attention and spending in Iowa, Kansas and Nebraska. A September 22 Iowa poll put the Democratic Senate candidate ahead 50% to 42%; Kansas polling showed the Democratic challenger at 45% versus 43%, within the margin of error.</x:v>
      </x:c>
      <x:c r="I210" s="44" t="str">
        <x:v>Strengthens political-shift probability with state-level evidence</x:v>
      </x:c>
      <x:c r="J210" s="44" t="n">
        <x:v>5</x:v>
      </x:c>
      <x:c r="K210" s="44" t="str">
        <x:v>The races remain unsettled, polls have sampling error, and vulnerability in several states does not establish control of either chamber.</x:v>
      </x:c>
    </x:row>
    <x:row r="211">
      <x:c r="A211" t="str">
        <x:v>EV-2026-206</x:v>
      </x:c>
      <x:c r="B211" t="str">
        <x:v>EEI-2026-003</x:v>
      </x:c>
      <x:c r="C211" s="21" t="n">
        <x:v>46290.66180555556</x:v>
      </x:c>
      <x:c r="D211" t="str">
        <x:v>Market, rates and sector confirmation</x:v>
      </x:c>
      <x:c r="E211" t="str">
        <x:v>Current ETF market data and Reuters</x:v>
      </x:c>
      <x:c r="F211" t="str">
        <x:v>Quoted market data and high-quality reporting</x:v>
      </x:c>
      <x:c r="G211" s="44" t="str">
        <x:v>https://www.reuters.com/world/china/global-markets-global-markets-2026-09-24/</x:v>
      </x:c>
      <x:c r="H211" s="44" t="str">
        <x:v>At approximately 11:40 a.m. ET, SPY was +0.12%, RSP +0.05%, IWM -0.14%, XLI +0.37%, XLB -0.22%, XLV +0.04%, XBI -0.79%, XLF +0.04% and CPER -0.27%. Reuters reported the 10-year Treasury yield at 5.196% on September 24 and a 71% market-implied chance of an October rate increase.</x:v>
      </x:c>
      <x:c r="I211" s="44" t="str">
        <x:v>XLI improves selectively; broad confirmation remains absent</x:v>
      </x:c>
      <x:c r="J211" s="44" t="n">
        <x:v>5</x:v>
      </x:c>
      <x:c r="K211" s="44" t="str">
        <x:v>SPY and RSP were positive, and earnings estimates remain supportive, but small caps, biotech, materials and copper contradicted broad risk appetite.</x:v>
      </x:c>
    </x:row>
    <x:row r="212">
      <x:c r="A212" t="str">
        <x:v>EV-2026-207</x:v>
      </x:c>
      <x:c r="B212" t="str">
        <x:v>EEI-2026-001</x:v>
      </x:c>
      <x:c r="C212" s="56" t="n">
        <x:v>46290.833333333336</x:v>
      </x:c>
      <x:c r="D212" t="str">
        <x:v>Paper-trade outcome</x:v>
      </x:c>
      <x:c r="E212" t="str">
        <x:v>S&amp;P Global Market Intelligence via StockAnalysis</x:v>
      </x:c>
      <x:c r="F212" t="str">
        <x:v>Regular-session closing market data</x:v>
      </x:c>
      <x:c r="G212" s="44" t="str">
        <x:v>https://stockanalysis.com/etf/bno/</x:v>
      </x:c>
      <x:c r="H212" s="44" t="str">
        <x:v>BNO closed September 25 at $59.65 versus the $57.21 September 8 opening entry. The $1,000 paper position was worth $1,042.65, up $42.65 or 4.26%.</x:v>
      </x:c>
      <x:c r="I212" s="44" t="str">
        <x:v>Supports the cleanest direct expression, but with a shrinking gain</x:v>
      </x:c>
      <x:c r="J212" s="44" t="n">
        <x:v>5</x:v>
      </x:c>
      <x:c r="K212" s="44" t="str">
        <x:v>BNO remains the strongest position. This is continued tracking after the formal September 18 horizon and does not change the completed outcome score.</x:v>
      </x:c>
    </x:row>
    <x:row r="213">
      <x:c r="A213" t="str">
        <x:v>EV-2026-208</x:v>
      </x:c>
      <x:c r="B213" t="str">
        <x:v>EEI-2026-001</x:v>
      </x:c>
      <x:c r="C213" s="56" t="n">
        <x:v>46290.833333333336</x:v>
      </x:c>
      <x:c r="D213" t="str">
        <x:v>Paper-trade outcome</x:v>
      </x:c>
      <x:c r="E213" t="str">
        <x:v>S&amp;P Global Market Intelligence via StockAnalysis</x:v>
      </x:c>
      <x:c r="F213" t="str">
        <x:v>Regular-session closing market data</x:v>
      </x:c>
      <x:c r="G213" s="44" t="str">
        <x:v>https://stockanalysis.com/etf/uso/</x:v>
      </x:c>
      <x:c r="H213" s="44" t="str">
        <x:v>USO closed September 25 at $148.39 versus the $144.60 September 8 opening entry. The $1,000 paper position was worth $1,026.21, up $26.21 or 2.62%.</x:v>
      </x:c>
      <x:c r="I213" s="44" t="str">
        <x:v>Supports direct crude expression, but the extended-hold cushion has narrowed</x:v>
      </x:c>
      <x:c r="J213" s="44" t="n">
        <x:v>5</x:v>
      </x:c>
      <x:c r="K213" s="44" t="str">
        <x:v>USO remains above entry and continues to outperform XOP. This is a post-horizon observation.</x:v>
      </x:c>
    </x:row>
    <x:row r="214">
      <x:c r="A214" t="str">
        <x:v>EV-2026-209</x:v>
      </x:c>
      <x:c r="B214" t="str">
        <x:v>EEI-2026-001</x:v>
      </x:c>
      <x:c r="C214" s="56" t="n">
        <x:v>46290.833333333336</x:v>
      </x:c>
      <x:c r="D214" t="str">
        <x:v>Paper-trade outcome</x:v>
      </x:c>
      <x:c r="E214" t="str">
        <x:v>S&amp;P Global Market Intelligence via StockAnalysis</x:v>
      </x:c>
      <x:c r="F214" t="str">
        <x:v>Regular-session closing market data</x:v>
      </x:c>
      <x:c r="G214" s="44" t="str">
        <x:v>https://stockanalysis.com/etf/xop/</x:v>
      </x:c>
      <x:c r="H214" s="44" t="str">
        <x:v>XOP closed September 25 at $181.50 versus the $193.84 September 8 opening entry. The $1,000 paper position was worth $936.34, down $63.66 or 6.37%.</x:v>
      </x:c>
      <x:c r="I214" s="44" t="str">
        <x:v>Continues to weaken the indirect equity expression</x:v>
      </x:c>
      <x:c r="J214" s="44" t="n">
        <x:v>5</x:v>
      </x:c>
      <x:c r="K214" s="44" t="str">
        <x:v>The producer-equity proxy remains the expression failure and materially trails both direct crude funds, reinforcing the methodology's clean-expression rule.</x:v>
      </x:c>
    </x:row>
    <x:row r="215">
      <x:c r="A215" t="str">
        <x:v>EV-2026-210</x:v>
      </x:c>
      <x:c r="B215" t="str">
        <x:v>EEI-2026-001</x:v>
      </x:c>
      <x:c r="C215" s="56" t="n">
        <x:v>46290.833333333336</x:v>
      </x:c>
      <x:c r="D215" t="str">
        <x:v>Post-horizon reversal and diplomatic modifier</x:v>
      </x:c>
      <x:c r="E215" t="str">
        <x:v>Reuters and S&amp;P Global Market Intelligence via StockAnalysis</x:v>
      </x:c>
      <x:c r="F215" t="str">
        <x:v>High-quality reporting and regular-session closing market data</x:v>
      </x:c>
      <x:c r="G215" s="44" t="str">
        <x:v>https://www.reuters.com/world/asia-pacific/us-iran-discuss-phased-deal-reopen-hormuz-end-us-blockade-sources-say-2026-09-24/</x:v>
      </x:c>
      <x:c r="H215" s="44" t="str">
        <x:v>U.S. and Iranian negotiators were exploring a phased arrangement to reopen Hormuz and lift the U.S. economic blockade, although sequencing remained unresolved and no agreement had been reached. By the September 25 close, the three-position paper portfolio had fallen to $3,005.20, up only $5.20 or 0.17% from inception.</x:v>
      </x:c>
      <x:c r="I215" s="44" t="str">
        <x:v>Materially weakens the extended-hold thesis; not a retroactive change to the formal result</x:v>
      </x:c>
      <x:c r="J215" s="44" t="n">
        <x:v>4</x:v>
      </x:c>
      <x:c r="K215" s="44" t="str">
        <x:v>Diplomacy, increased Hormuz flows and partial Saudi bypass restoration are compressing the scarcity premium. The original thesis still succeeded during its formal horizon, while the extended hold is now essentially at breakeven.</x:v>
      </x:c>
    </x:row>
    <x:row r="216">
      <x:c r="A216" t="str">
        <x:v>EV-2026-211</x:v>
      </x:c>
      <x:c r="B216" t="str">
        <x:v>EEI-2026-001</x:v>
      </x:c>
      <x:c r="C216" s="56" t="n">
        <x:v>46290.833333333336</x:v>
      </x:c>
      <x:c r="D216" t="str">
        <x:v>Continuing infrastructure-risk confirmation</x:v>
      </x:c>
      <x:c r="E216" t="str">
        <x:v>Reuters</x:v>
      </x:c>
      <x:c r="F216" t="str">
        <x:v>High-quality reporting; attack claims not independently verified</x:v>
      </x:c>
      <x:c r="G216" s="44" t="str">
        <x:v>https://www.reuters.com/world/middle-east/houthis-say-they-attacked-riyadh-aramco-facilities-yanbu-2026-09-24/</x:v>
      </x:c>
      <x:c r="H216" s="44" t="str">
        <x:v>The Houthis claimed missile and drone attacks on Riyadh and Aramco facilities at Yanbu, while Saudi Arabia said it intercepted six ballistic missiles aimed at Taif and Yanbu. Damage to oil infrastructure was not confirmed.</x:v>
      </x:c>
      <x:c r="I216" s="44" t="str">
        <x:v>Confirms residual infrastructure risk, but not a verified new supply loss</x:v>
      </x:c>
      <x:c r="J216" s="44" t="n">
        <x:v>4</x:v>
      </x:c>
      <x:c r="K216" s="44" t="str">
        <x:v>The chokepoint and bypass network remain exposed to renewed disruption. Without confirmed damage, this is risk evidence rather than proof of a fresh supply shock.</x:v>
      </x:c>
    </x:row>
    <x:row r="217">
      <x:c r="A217" t="str">
        <x:v>EV-2026-212</x:v>
      </x:c>
      <x:c r="B217" t="str">
        <x:v>EEI-2026-003</x:v>
      </x:c>
      <x:c r="C217" s="21" t="n">
        <x:v>46291.50768518519</x:v>
      </x:c>
      <x:c r="D217" t="str">
        <x:v>Independent confirmation</x:v>
      </x:c>
      <x:c r="E217" t="str">
        <x:v>Cook Political Report</x:v>
      </x:c>
      <x:c r="F217" t="str">
        <x:v>Specialist nonpartisan analysis</x:v>
      </x:c>
      <x:c r="G217" s="44" t="str">
        <x:v>https://www.cookpolitical.com/</x:v>
      </x:c>
      <x:c r="H217" s="44" t="str">
        <x:v>On September 25 Cook shifted 15 House race ratings toward Democrats and said Republicans are on track to lose their House majority; on September 23 it described Senate control as a true toss-up.</x:v>
      </x:c>
      <x:c r="I217" s="44" t="str">
        <x:v>Strengthens</x:v>
      </x:c>
      <x:c r="J217" s="44" t="n">
        <x:v>4</x:v>
      </x:c>
      <x:c r="K217" s="44" t="str">
        <x:v>This is forecast evidence, not an election result. It independently reinforces the Reuters/Ipsos generic-ballot lead and previously logged state polling; House conviction rises more than Senate conviction.</x:v>
      </x:c>
    </x:row>
    <x:row r="218">
      <x:c r="A218" t="str">
        <x:v>EV-2026-213</x:v>
      </x:c>
      <x:c r="B218" t="str">
        <x:v>EEI-2026-003</x:v>
      </x:c>
      <x:c r="C218" s="21" t="n">
        <x:v>46291.50768518519</x:v>
      </x:c>
      <x:c r="D218" t="str">
        <x:v>Market confirmation</x:v>
      </x:c>
      <x:c r="E218" t="str">
        <x:v>Reuters via MarketScreener</x:v>
      </x:c>
      <x:c r="F218" t="str">
        <x:v>High quality reporting</x:v>
      </x:c>
      <x:c r="G218" s="44" t="str">
        <x:v>https://www.marketscreener.com/news/wall-street-climbs-as-investors-buy-ai-stocks-microsoft-rallies-ce785adfd18fff20</x:v>
      </x:c>
      <x:c r="H218" s="44" t="str">
        <x:v>At the September 25 close SPY rose 0.53%, RSP 0.40%, IWM 0.11%, XLI 0.94%, XLB 0.22%, XBI fell 0.67%, XLF rose 0.52% and CPER fell 0.02%.</x:v>
      </x:c>
      <x:c r="I218" s="44" t="str">
        <x:v>Mixed</x:v>
      </x:c>
      <x:c r="J218" s="44" t="n">
        <x:v>4</x:v>
      </x:c>
      <x:c r="K218" s="44" t="str">
        <x:v>Industrials led and seven of eleven sectors advanced, but equal-weight and small caps lagged SPY and biotech declined. This supports Strong rather than Actionable and keeps Entry Window at WAIT.</x:v>
      </x:c>
    </x:row>
    <x:row r="219">
      <x:c r="A219" t="str">
        <x:v>EV-2026-214</x:v>
      </x:c>
      <x:c r="B219" t="str">
        <x:v>EEI-2026-003</x:v>
      </x:c>
      <x:c r="C219" s="21" t="n">
        <x:v>46291.50768518519</x:v>
      </x:c>
      <x:c r="D219" t="str">
        <x:v>Trigger</x:v>
      </x:c>
      <x:c r="E219" t="str">
        <x:v>The Motley Fool / Ben Gran</x:v>
      </x:c>
      <x:c r="F219" t="str">
        <x:v>Public editorial trigger only</x:v>
      </x:c>
      <x:c r="G219" s="44" t="str">
        <x:v>https://www.fool.com/investing/2026/09/26/history-shows-this-midterm-election-result-could-b/</x:v>
      </x:c>
      <x:c r="H219" s="44" t="str">
        <x:v>A free September 26 article argued that a Democratic Congress under a Republican president could modestly alter near-term returns and cited a third-party forecast of Democratic control.</x:v>
      </x:c>
      <x:c r="I219" s="44" t="str">
        <x:v>Neutral trigger</x:v>
      </x:c>
      <x:c r="J219" s="44" t="n">
        <x:v>2</x:v>
      </x:c>
      <x:c r="K219" s="44" t="str">
        <x:v>Published 6:33 a.m. ET. Ben Gran disclosed no position; Motley Fool disclosed positions/recommendations in USB and VOO. Not an official paid-service recommendation. Promotional framing and the cited forecast were not treated as confirmation; Cook and Reuters/Ipsos supplied the independent evidence.</x:v>
      </x:c>
    </x:row>
    <x:row r="220">
      <x:c r="A220" t="str">
        <x:v>EV-2026-215</x:v>
      </x:c>
      <x:c r="B220" t="str"/>
      <x:c r="C220" s="21" t="n">
        <x:v>46291.50768518519</x:v>
      </x:c>
      <x:c r="D220" t="str">
        <x:v>Rejected trigger</x:v>
      </x:c>
      <x:c r="E220" t="str">
        <x:v>The Motley Fool / Alex Carchidi</x:v>
      </x:c>
      <x:c r="F220" t="str">
        <x:v>Public editorial trigger only</x:v>
      </x:c>
      <x:c r="G220" s="44" t="str">
        <x:v>https://www.fool.com/investing/2026/09/26/bitcoin-is-not-the-only-cryptocurrency-with-a-halv/</x:v>
      </x:c>
      <x:c r="H220" s="44" t="str">
        <x:v>The article presented Zcash protocol changes, privacy demand and a future halving as potential catalysts after a roughly 197% year-to-date rise.</x:v>
      </x:c>
      <x:c r="I220" s="44" t="str">
        <x:v>Rejected</x:v>
      </x:c>
      <x:c r="J220" s="44" t="n">
        <x:v>2</x:v>
      </x:c>
      <x:c r="K220" s="44" t="str">
        <x:v>Free editorial, not a verified paid-service recommendation. Rejected as a distinct thesis: extreme prior appreciation, speculative demand, weak valuation anchor, regulatory risk and no independently verified new material catalyst produced unfavorable already-priced and entry-risk conditions.</x:v>
      </x:c>
    </x:row>
    <x:row r="221">
      <x:c r="A221" t="str">
        <x:v>EV-2026-216</x:v>
      </x:c>
      <x:c r="B221" t="str"/>
      <x:c r="C221" s="21" t="n">
        <x:v>46291.50768518519</x:v>
      </x:c>
      <x:c r="D221" t="str">
        <x:v>Rejected trigger</x:v>
      </x:c>
      <x:c r="E221" t="str">
        <x:v>The Motley Fool / Jack Delaney</x:v>
      </x:c>
      <x:c r="F221" t="str">
        <x:v>Public editorial trigger only</x:v>
      </x:c>
      <x:c r="G221" s="44" t="str">
        <x:v>https://www.fool.com/investing/2026/09/26/2-ai-stocks-that-could-split-in-2027/</x:v>
      </x:c>
      <x:c r="H221" s="44" t="str">
        <x:v>The article speculated that Costco and Micron could split their shares in 2027.</x:v>
      </x:c>
      <x:c r="I221" s="44" t="str">
        <x:v>Rejected</x:v>
      </x:c>
      <x:c r="J221" s="44" t="n">
        <x:v>2</x:v>
      </x:c>
      <x:c r="K221" s="44" t="str">
        <x:v>Published 6:54 a.m. ET. The author disclosed no position; Motley Fool disclosed positions/recommendations in Costco and Micron. Free editorial. Neither company had announced the proposed split, and a split would not change intrinsic economics; Micron's AI-memory catalyst is already established rather than new.</x:v>
      </x:c>
    </x:row>
    <x:row r="222">
      <x:c r="A222" t="str">
        <x:v>EV-2026-217</x:v>
      </x:c>
      <x:c r="B222" t="str"/>
      <x:c r="C222" s="21" t="n">
        <x:v>46291.50768518519</x:v>
      </x:c>
      <x:c r="D222" t="str">
        <x:v>Rejected trigger</x:v>
      </x:c>
      <x:c r="E222" t="str">
        <x:v>The Motley Fool / Neil Patel</x:v>
      </x:c>
      <x:c r="F222" t="str">
        <x:v>Public editorial trigger only</x:v>
      </x:c>
      <x:c r="G222" s="44" t="str">
        <x:v>https://www.fool.com/investing/2026/09/26/how-much-will-procter-gamble-pay-in-dividends-over/</x:v>
      </x:c>
      <x:c r="H222" s="44" t="str">
        <x:v>The article projected Procter &amp; Gamble dividend payments over the next five years.</x:v>
      </x:c>
      <x:c r="I222" s="44" t="str">
        <x:v>Rejected</x:v>
      </x:c>
      <x:c r="J222" s="44" t="n">
        <x:v>2</x:v>
      </x:c>
      <x:c r="K222" s="44" t="str">
        <x:v>Published 6:25 a.m. ET. The author and Motley Fool disclosed no position. Free editorial. Generic dividend extrapolation did not identify a new material economic-variable catalyst, so no thesis was opened.</x:v>
      </x:c>
    </x:row>
    <x:row r="223">
      <x:c r="A223" t="str">
        <x:v>EV-2026-218</x:v>
      </x:c>
      <x:c r="B223" t="str"/>
      <x:c r="C223" s="21" t="n">
        <x:v>46291.50768518519</x:v>
      </x:c>
      <x:c r="D223" t="str">
        <x:v>Rejected trigger</x:v>
      </x:c>
      <x:c r="E223" t="str">
        <x:v>The Motley Fool / John Ballard</x:v>
      </x:c>
      <x:c r="F223" t="str">
        <x:v>Public editorial trigger only</x:v>
      </x:c>
      <x:c r="G223" s="44" t="str">
        <x:v>https://www.fool.com/investing/2026/09/26/2-ai-infrastructure-stocks-to-buy-now/</x:v>
      </x:c>
      <x:c r="H223" s="44" t="str">
        <x:v>The article highlighted IREN and Vertiv as AI-infrastructure beneficiaries.</x:v>
      </x:c>
      <x:c r="I223" s="44" t="str">
        <x:v>Rejected</x:v>
      </x:c>
      <x:c r="J223" s="44" t="n">
        <x:v>3</x:v>
      </x:c>
      <x:c r="K223" s="44" t="str">
        <x:v>Free editorial. Ballard disclosed owning IREN; Motley Fool disclosed Microsoft and Vertiv positions/recommendations. IREN's Horizon 1 Microsoft delivery and $9.7 billion contract were independently checked against its August 13 issuer release and SEC materials, while Vertiv's long-term growth targets were previously published. The catalysts were months old, execution and financing risks remain, and large prior price gains make the setup too priced-in for a new thesis.</x:v>
      </x:c>
    </x:row>
    <x:row r="224">
      <x:c r="A224" t="str">
        <x:v>EV-2026-219</x:v>
      </x:c>
      <x:c r="B224" t="str"/>
      <x:c r="C224" s="21" t="n">
        <x:v>46291.50768518519</x:v>
      </x:c>
      <x:c r="D224" t="str">
        <x:v>Rejected trigger</x:v>
      </x:c>
      <x:c r="E224" t="str">
        <x:v>The Motley Fool / John Ballard</x:v>
      </x:c>
      <x:c r="F224" t="str">
        <x:v>Public editorial trigger only</x:v>
      </x:c>
      <x:c r="G224" s="44" t="str">
        <x:v>https://www.fool.com/investing/2026/09/26/2-semiconductor-stocks-to-buy-and-hold-for-10-year/</x:v>
      </x:c>
      <x:c r="H224" s="44" t="str">
        <x:v>The article highlighted Marvell and ASML as long-term AI semiconductor beneficiaries.</x:v>
      </x:c>
      <x:c r="I224" s="44" t="str">
        <x:v>Rejected</x:v>
      </x:c>
      <x:c r="J224" s="44" t="n">
        <x:v>3</x:v>
      </x:c>
      <x:c r="K224" s="44" t="str">
        <x:v>Free editorial. The author disclosed no position; Motley Fool disclosed positions/recommendations in ASML, Marvell and Micron. Marvell's August results and ASML's July capacity outlook were older public catalysts, while elevated valuation and strong prior appreciation reduce unpriced edge. No new distinct thesis was opened.</x:v>
      </x:c>
    </x:row>
    <x:row r="225">
      <x:c r="A225" t="str">
        <x:v>EV-2026-220</x:v>
      </x:c>
      <x:c r="B225" t="str">
        <x:v>EEI-2026-005</x:v>
      </x:c>
      <x:c r="C225" s="21" t="n">
        <x:v>46292.51123842593</x:v>
      </x:c>
      <x:c r="D225" t="str">
        <x:v>Supporting</x:v>
      </x:c>
      <x:c r="E225" t="str">
        <x:v>Bristol Myers Squibb</x:v>
      </x:c>
      <x:c r="F225" t="str">
        <x:v>Primary company clinical data</x:v>
      </x:c>
      <x:c r="G225" s="44" t="str">
        <x:v>https://news.bms.com/news/corporate-financial/2026/Bristol-Myers-Squibb-Announces-First-Presentation-of-Results-for-ZENBEXUS-iberdomide-in-Combination-with-Daratumumab-from-Phase-3-EXCALIBER-RRMM-Trial-in-Relapsed-or-Refractory-Multiple-Myeloma/default.aspx</x:v>
      </x:c>
      <x:c r="H225" s="44" t="str">
        <x:v>In the September 25 detailed Phase 3 EXCALIBER-RRMM presentation, ZENBEXUS plus daratumumab and dexamethasone produced an MRD-negative complete response in 41.1% of evaluable patients versus 20.7% for DVd; overall response was 88.9% versus 76.1%, and complete response or better was 45.9% versus 24.9%.</x:v>
      </x:c>
      <x:c r="I225" s="44" t="str">
        <x:v>Strengthens clinical support; does not change stage</x:v>
      </x:c>
      <x:c r="J225" s="44" t="n">
        <x:v>5</x:v>
      </x:c>
      <x:c r="K225" s="44" t="str">
        <x:v>The detailed presentation reinforces an already known positive trial and the August accelerated approval. It does not establish the product revenue needed to offset the broader patent cliff.</x:v>
      </x:c>
    </x:row>
    <x:row r="226">
      <x:c r="A226" t="str">
        <x:v>EV-2026-221</x:v>
      </x:c>
      <x:c r="B226" t="str">
        <x:v>EEI-2026-005</x:v>
      </x:c>
      <x:c r="C226" s="21" t="n">
        <x:v>46292.51123842593</x:v>
      </x:c>
      <x:c r="D226" t="str">
        <x:v>Contradictory</x:v>
      </x:c>
      <x:c r="E226" t="str">
        <x:v>Bristol Myers Squibb</x:v>
      </x:c>
      <x:c r="F226" t="str">
        <x:v>Primary company clinical data</x:v>
      </x:c>
      <x:c r="G226" s="44" t="str">
        <x:v>https://news.bms.com/news/corporate-financial/2026/Bristol-Myers-Squibb-Announces-First-Presentation-of-Results-for-ZENBEXUS-iberdomide-in-Combination-with-Daratumab-from-Phase-3-EXCALIBER-RRMM-Trial-in-Relapsed-or-Refractory-Multiple-Myeloma/default.aspx</x:v>
      </x:c>
      <x:c r="H226" s="44" t="str">
        <x:v>The confirmatory progression-free-survival endpoint in the 800-patient cohort remains ongoing. Grade 3/4 neutropenia occurred in 84.3% of ZENBEXUS patients versus 11.3% for DVd, and Grade 3/4 infections occurred in 39.2% versus 21.6%.</x:v>
      </x:c>
      <x:c r="I226" s="44" t="str">
        <x:v>Limits commercial and full-approval certainty</x:v>
      </x:c>
      <x:c r="J226" s="44" t="n">
        <x:v>5</x:v>
      </x:c>
      <x:c r="K226" s="44" t="str">
        <x:v>The safety burden and unresolved PFS endpoint prevent promotion of EEI-2026-005 despite strong response-depth data.</x:v>
      </x:c>
    </x:row>
    <x:row r="227">
      <x:c r="A227" t="str">
        <x:v>EV-2026-222</x:v>
      </x:c>
      <x:c r="B227"/>
      <x:c r="C227" s="21" t="n">
        <x:v>46292.51123842593</x:v>
      </x:c>
      <x:c r="D227" t="str">
        <x:v>Rejected trigger</x:v>
      </x:c>
      <x:c r="E227" t="str">
        <x:v>The Motley Fool / Daniel Sparks</x:v>
      </x:c>
      <x:c r="F227" t="str">
        <x:v>Public editorial trigger only</x:v>
      </x:c>
      <x:c r="G227" s="44" t="str">
        <x:v>https://www.fool.com/investing/2026/09/27/broadcom-stock-is-back-where-it-ended-2025-but-its-earnings-are-about-43-higher-is-it-a-buy/</x:v>
      </x:c>
      <x:c r="H227" s="44" t="str">
        <x:v>The free September 27 article argued Broadcom was attractive after a 29% drawdown while adjusted trailing EPS was about 43% above fiscal 2025. It cited the September 2 company forecast for $115 billion of fiscal 2027 AI revenue and $230 billion in 2028.</x:v>
      </x:c>
      <x:c r="I227" s="44" t="str">
        <x:v>Rejected</x:v>
      </x:c>
      <x:c r="J227" s="44" t="n">
        <x:v>3</x:v>
      </x:c>
      <x:c r="K227" s="44" t="str">
        <x:v>Daniel Sparks and clients disclosed no Broadcom position; Motley Fool disclosed a Broadcom position and recommendation. Primary results support growth, but the catalyst was already public, the stock still traded near 36 times trailing adjusted earnings, the top five customers represented about 55% of revenue and financing backstops add risk. No distinct thesis was opened.</x:v>
      </x:c>
    </x:row>
    <x:row r="228">
      <x:c r="A228" t="str">
        <x:v>EV-2026-223</x:v>
      </x:c>
      <x:c r="B228"/>
      <x:c r="C228" s="21" t="n">
        <x:v>46292.51123842593</x:v>
      </x:c>
      <x:c r="D228" t="str">
        <x:v>Rejected trigger</x:v>
      </x:c>
      <x:c r="E228" t="str">
        <x:v>The Motley Fool / Keith Speights</x:v>
      </x:c>
      <x:c r="F228" t="str">
        <x:v>Public editorial trigger only</x:v>
      </x:c>
      <x:c r="G228" s="44" t="str">
        <x:v>https://www.fool.com/investing/2026/09/27/anthropic-and-openai-are-both-racing-to-ipo-ge-ver/</x:v>
      </x:c>
      <x:c r="H228" s="44" t="str">
        <x:v>The free September 27 article presented GE Vernova as an AI-power infrastructure beneficiary, citing 88% year-over-year Q2 order growth and more than $5 billion of first-half data-center electrification orders.</x:v>
      </x:c>
      <x:c r="I228" s="44" t="str">
        <x:v>Rejected</x:v>
      </x:c>
      <x:c r="J228" s="44" t="n">
        <x:v>3</x:v>
      </x:c>
      <x:c r="K228" s="44" t="str">
        <x:v>Keith Speights disclosed no position; Motley Fool disclosed a GE Vernova position and recommendation. The cited quarterly results were already public, the stock was up about 45% in 2026 and traded near 38 times forward earnings. No independently verified new material catalyst or favorable entry justified a distinct thesis.</x:v>
      </x:c>
    </x:row>
    <x:row r="229">
      <x:c r="A229" t="str">
        <x:v>EV-2026-224</x:v>
      </x:c>
      <x:c r="B229"/>
      <x:c r="C229" s="21" t="n">
        <x:v>46292.51123842593</x:v>
      </x:c>
      <x:c r="D229" t="str">
        <x:v>Rejected trigger</x:v>
      </x:c>
      <x:c r="E229" t="str">
        <x:v>The Motley Fool / Reuben Gregg Brewer</x:v>
      </x:c>
      <x:c r="F229" t="str">
        <x:v>Public editorial trigger only</x:v>
      </x:c>
      <x:c r="G229" s="44" t="str">
        <x:v>https://www.fool.com/investing/2026/09/27/blue-owl-stock-yields-about-9-after-falling-45-fro/</x:v>
      </x:c>
      <x:c r="H229" s="44" t="str">
        <x:v>The free September 27 article examined Blue Owl after a roughly 45% share decline and a yield near 9.8%. It noted the $0.23 quarterly dividend exceeded Q2 distributable earnings of $0.22 per share.</x:v>
      </x:c>
      <x:c r="I229" s="44" t="str">
        <x:v>Rejected</x:v>
      </x:c>
      <x:c r="J229" s="44" t="n">
        <x:v>3</x:v>
      </x:c>
      <x:c r="K229" s="44" t="str">
        <x:v>The author and Motley Fool disclosed no Blue Owl position. SEC materials confirm the fixed dividend policy, while Reuters reported $4.7 billion of Q2 withdrawal requests across two flagship private-credit funds and continued 5% limits. Dividend coverage and redemption risk remain unresolved, so the high yield is not a qualifying positive catalyst and no thesis was opened.</x:v>
      </x:c>
    </x:row>
    <x:row r="230">
      <x:c r="A230" t="str">
        <x:v>EV-2026-225</x:v>
      </x:c>
      <x:c r="B230" t="str">
        <x:v>EEI-2026-009</x:v>
      </x:c>
      <x:c r="C230" s="21" t="n">
        <x:v>46293.498344907406</x:v>
      </x:c>
      <x:c r="D230" t="str">
        <x:v>Market confirmation</x:v>
      </x:c>
      <x:c r="E230" t="str">
        <x:v>Reuters</x:v>
      </x:c>
      <x:c r="F230" t="str">
        <x:v>High-quality reporting and market data</x:v>
      </x:c>
      <x:c r="G230" s="44" t="str">
        <x:v>https://www.reuters.com/business/energy/oil-rebounds-after-trump-rejects-iran-peace-deal-2026-09-27/</x:v>
      </x:c>
      <x:c r="H230" s="44" t="str">
        <x:v>Brent rose 3.82% to $108.30 and WTI rose 3.81% to $95.93 after the United States rejected Iran's peace proposal; an independent economist said the market remained in deficit despite improving Hormuz flows.</x:v>
      </x:c>
      <x:c r="I230" s="44" t="str">
        <x:v>Strengthens scarcity; weakens entry</x:v>
      </x:c>
      <x:c r="J230" s="44" t="n">
        <x:v>5</x:v>
      </x:c>
      <x:c r="K230" s="44" t="str">
        <x:v>Middle East exports also rebounded to 12.8 million barrels per day, the highest since the war began. The two-sided evidence supports Actionable / WAIT rather than a confidence or entry upgrade.</x:v>
      </x:c>
    </x:row>
    <x:row r="231">
      <x:c r="A231" t="str">
        <x:v>EV-2026-226</x:v>
      </x:c>
      <x:c r="B231" t="str">
        <x:v>EEI-2026-011</x:v>
      </x:c>
      <x:c r="C231" s="21" t="n">
        <x:v>46293.498344907406</x:v>
      </x:c>
      <x:c r="D231" t="str">
        <x:v>Normalization modifier</x:v>
      </x:c>
      <x:c r="E231" t="str">
        <x:v>Reuters</x:v>
      </x:c>
      <x:c r="F231" t="str">
        <x:v>High-quality reporting and shipping context</x:v>
      </x:c>
      <x:c r="G231" s="44" t="str">
        <x:v>https://www.reuters.com/business/energy/oil-rebounds-after-trump-rejects-iran-peace-deal-2026-09-27/</x:v>
      </x:c>
      <x:c r="H231" s="44" t="str">
        <x:v>Preliminary Kpler data showed Middle East crude exports at 12.8 million barrels per day in September, the highest since the war began, as Saudi Arabia and the UAE raised shipments.</x:v>
      </x:c>
      <x:c r="I231" s="44" t="str">
        <x:v>Mixed</x:v>
      </x:c>
      <x:c r="J231" s="44" t="n">
        <x:v>5</x:v>
      </x:c>
      <x:c r="K231" s="44" t="str">
        <x:v>Higher volumes can consume vessel-days, but improving Hormuz flows and continued talks reduce disruption risk. No fresh verified VLCC-rate evidence changed the Strong / WAIT classification.</x:v>
      </x:c>
    </x:row>
    <x:row r="232">
      <x:c r="A232" t="str">
        <x:v>EV-2026-227</x:v>
      </x:c>
      <x:c r="B232" t="str"/>
      <x:c r="C232" s="21" t="n">
        <x:v>46293.498344907406</x:v>
      </x:c>
      <x:c r="D232" t="str">
        <x:v>Rejected trigger</x:v>
      </x:c>
      <x:c r="E232" t="str">
        <x:v>The Motley Fool / Adria Cimino</x:v>
      </x:c>
      <x:c r="F232" t="str">
        <x:v>Public editorial trigger only</x:v>
      </x:c>
      <x:c r="G232" s="44" t="str">
        <x:v>https://www.fool.com/investing/2026/09/28/eli-lilly-just-announced-game-changing-news/</x:v>
      </x:c>
      <x:c r="H232" s="44" t="str">
        <x:v>The free September 28 article cited roughly 700,000 new Medicare GLP-1 users, Lilly capturing about seven of ten prescriptions, and Foundayo taking about 30% of new oral starts as a multi-year obesity-market catalyst.</x:v>
      </x:c>
      <x:c r="I232" s="44" t="str">
        <x:v>Rejected</x:v>
      </x:c>
      <x:c r="J232" s="44" t="n">
        <x:v>3</x:v>
      </x:c>
      <x:c r="K232" s="44" t="str">
        <x:v>Published 4:03 a.m. ET. The author disclosed no position; Motley Fool disclosed positions and recommendations in LLY and NVO. Reuters and Lilly results confirm demand, but the catalyst was already public, LLY already reflected leadership expectations, and no new unpriced event justified a distinct thesis.</x:v>
      </x:c>
    </x:row>
    <x:row r="233">
      <x:c r="A233" t="str">
        <x:v>EV-2026-228</x:v>
      </x:c>
      <x:c r="B233" t="str"/>
      <x:c r="C233" s="21" t="n">
        <x:v>46293.498344907406</x:v>
      </x:c>
      <x:c r="D233" t="str">
        <x:v>Rejected trigger</x:v>
      </x:c>
      <x:c r="E233" t="str">
        <x:v>The Motley Fool / James Halley</x:v>
      </x:c>
      <x:c r="F233" t="str">
        <x:v>Public editorial trigger only</x:v>
      </x:c>
      <x:c r="G233" s="44" t="str">
        <x:v>https://www.fool.com/investing/2026/09/28/i-keep-adding-to-this-pipeline-stock-heres-why-the/</x:v>
      </x:c>
      <x:c r="H233" s="44" t="str">
        <x:v>The free September 28 article presented WMB's covered dividend, take-or-pay pipeline cash flows, data-center power demand and project backlog as a long-term growth catalyst.</x:v>
      </x:c>
      <x:c r="I233" s="44" t="str">
        <x:v>Rejected</x:v>
      </x:c>
      <x:c r="J233" s="44" t="n">
        <x:v>3</x:v>
      </x:c>
      <x:c r="K233" s="44" t="str">
        <x:v>Published 2:00 a.m. ET. The author disclosed owning WMB. The operating facts came from already public quarterly and project information; shares were up more than 15% in 2026 and valuation exceeded 28 times forward earnings, leaving no new unpriced catalyst or favorable entry.</x:v>
      </x:c>
    </x:row>
    <x:row r="234">
      <x:c r="A234" t="str">
        <x:v>EV-2026-229</x:v>
      </x:c>
      <x:c r="B234" t="str"/>
      <x:c r="C234" s="21" t="n">
        <x:v>46293.498344907406</x:v>
      </x:c>
      <x:c r="D234" t="str">
        <x:v>Rejected trigger</x:v>
      </x:c>
      <x:c r="E234" t="str">
        <x:v>The Motley Fool / Neil Patel</x:v>
      </x:c>
      <x:c r="F234" t="str">
        <x:v>Public editorial trigger only</x:v>
      </x:c>
      <x:c r="G234" s="44" t="str">
        <x:v>https://www.fool.com/investing/2026/09/28/financial-stock-great-business-bad-investment-how/</x:v>
      </x:c>
      <x:c r="H234" s="44" t="str">
        <x:v>The free September 28 article argued that AXP's 2026 decline and sub-19 price-to-earnings ratio created a better entry while revenue, profit, premium-card demand and credit quality remained solid.</x:v>
      </x:c>
      <x:c r="I234" s="44" t="str">
        <x:v>Rejected</x:v>
      </x:c>
      <x:c r="J234" s="44" t="n">
        <x:v>3</x:v>
      </x:c>
      <x:c r="K234" s="44" t="str">
        <x:v>Published 2:45 a.m. ET. American Express is an advertising partner; the author disclosed no position and Motley Fool disclosed an AXP position and recommendation. Primary Q2 results support the business, but the article supplied valuation framing rather than a new material catalyst.</x:v>
      </x:c>
    </x:row>
    <x:row r="235">
      <x:c r="A235" t="str">
        <x:v>EV-2026-230</x:v>
      </x:c>
      <x:c r="B235" t="str"/>
      <x:c r="C235" s="21" t="n">
        <x:v>46293.498344907406</x:v>
      </x:c>
      <x:c r="D235" t="str">
        <x:v>Rejected trigger</x:v>
      </x:c>
      <x:c r="E235" t="str">
        <x:v>The Motley Fool / Chris Neiger</x:v>
      </x:c>
      <x:c r="F235" t="str">
        <x:v>Public editorial trigger only</x:v>
      </x:c>
      <x:c r="G235" s="44" t="str">
        <x:v>https://www.fool.com/investing/2026/09/28/oracle-vs-salesforce-which-enterprise-ai-stock-has/</x:v>
      </x:c>
      <x:c r="H235" s="44" t="str">
        <x:v>The free September 28 comparison favored enterprise-AI exposure after Oracle reported 121% cloud-infrastructure growth and Salesforce advanced agentic AI products.</x:v>
      </x:c>
      <x:c r="I235" s="44" t="str">
        <x:v>Rejected</x:v>
      </x:c>
      <x:c r="J235" s="44" t="n">
        <x:v>3</x:v>
      </x:c>
      <x:c r="K235" s="44" t="str">
        <x:v>The author disclosed no position; Motley Fool disclosed positions and recommendations in ORCL and CRM. Oracle's growth, $28.5 billion quarterly capital spending, negative free cash flow and project risk were already public, while the comparison identified no new material catalyst.</x:v>
      </x:c>
    </x:row>
    <x:row r="236">
      <x:c r="A236" t="str">
        <x:v>EV-2026-231</x:v>
      </x:c>
      <x:c r="B236" t="str"/>
      <x:c r="C236" s="21" t="n">
        <x:v>46293.498344907406</x:v>
      </x:c>
      <x:c r="D236" t="str">
        <x:v>Rejected trigger</x:v>
      </x:c>
      <x:c r="E236" t="str">
        <x:v>The Motley Fool / Keithen Drury</x:v>
      </x:c>
      <x:c r="F236" t="str">
        <x:v>Public editorial trigger only</x:v>
      </x:c>
      <x:c r="G236" s="44" t="str">
        <x:v>https://www.fool.com/investing/2026/09/28/better-ai-stock-spacex-or-nvidia/</x:v>
      </x:c>
      <x:c r="H236" s="44" t="str">
        <x:v>The free September 28 article preferred NVDA to SPCX based on stronger profitability, scale and SpaceX's stated Nvidia exclusivity.</x:v>
      </x:c>
      <x:c r="I236" s="44" t="str">
        <x:v>Rejected</x:v>
      </x:c>
      <x:c r="J236" s="44" t="n">
        <x:v>3</x:v>
      </x:c>
      <x:c r="K236" s="44" t="str">
        <x:v>Published 5:39 a.m. ET. The analysis reused already public quarterly results and partnership statements. NVDA traded near its 52-week high and both companies carried very large valuations; no new catalyst or entry edge justified a distinct thesis.</x:v>
      </x:c>
    </x:row>
    <x:row r="237">
      <x:c r="A237" t="str">
        <x:v>EV-2026-232</x:v>
      </x:c>
      <x:c r="B237" t="str"/>
      <x:c r="C237" s="21" t="n">
        <x:v>46293.498344907406</x:v>
      </x:c>
      <x:c r="D237" t="str">
        <x:v>Rejected trigger</x:v>
      </x:c>
      <x:c r="E237" t="str">
        <x:v>The Motley Fool / Daniel Sparks</x:v>
      </x:c>
      <x:c r="F237" t="str">
        <x:v>Public editorial trigger only</x:v>
      </x:c>
      <x:c r="G237" s="44" t="str">
        <x:v>https://www.fool.com/investing/2026/09/28/prediction-netflix-stock-gets-back-to-usd100-before-2030/</x:v>
      </x:c>
      <x:c r="H237" s="44" t="str">
        <x:v>The free September 28 article projected NFLX could reach $100 before 2030 if revenue grows about 11% annually, margins expand and buybacks continue.</x:v>
      </x:c>
      <x:c r="I237" s="44" t="str">
        <x:v>Rejected</x:v>
      </x:c>
      <x:c r="J237" s="44" t="n">
        <x:v>2</x:v>
      </x:c>
      <x:c r="K237" s="44" t="str">
        <x:v>Published 4:37 a.m. ET. The case rests on extrapolating management guidance and assumed 2029 margins rather than a newly verified catalyst. Advertising, pricing, competition and growth-deceleration risks remain, so no thesis was opened.</x:v>
      </x:c>
    </x:row>
    <x:row r="238">
      <x:c r="A238" t="str">
        <x:v>EV-2026-233</x:v>
      </x:c>
      <x:c r="B238" t="str">
        <x:v>EEI-2026-009</x:v>
      </x:c>
      <x:c r="C238" s="21" t="n">
        <x:v>46293.498344907406</x:v>
      </x:c>
      <x:c r="D238" t="str">
        <x:v>Neutral trigger</x:v>
      </x:c>
      <x:c r="E238" t="str">
        <x:v>The Motley Fool / Sean Williams</x:v>
      </x:c>
      <x:c r="F238" t="str">
        <x:v>Public editorial trigger only</x:v>
      </x:c>
      <x:c r="G238" s="44" t="str">
        <x:v>https://www.fool.com/investing/2026/09/28/donald-trump-float-idea-partial-or-full-ban-diesel-exports-unintended-consequences-catastrophic/</x:v>
      </x:c>
      <x:c r="H238" s="44" t="str">
        <x:v>The free September 28 article argued that restricting U.S. diesel exports could lower domestic prices temporarily while worsening global scarcity and rerouting costs.</x:v>
      </x:c>
      <x:c r="I238" s="44" t="str">
        <x:v>No independent thesis change</x:v>
      </x:c>
      <x:c r="J238" s="44" t="n">
        <x:v>2</x:v>
      </x:c>
      <x:c r="K238" s="44" t="str">
        <x:v>Published 4:06 a.m. ET. The author disclosed no position; Motley Fool disclosed a Chevron position and recommendation. The article repeated an already logged policy risk and was not used as confirmation; Reuters supplied the independent energy evidence.</x:v>
      </x:c>
    </x:row>
    <x:row r="239">
      <x:c r="A239" t="str">
        <x:v>EV-2026-234</x:v>
      </x:c>
      <x:c r="B239" t="str">
        <x:v>EEI-2026-003</x:v>
      </x:c>
      <x:c r="C239" s="53" t="n">
        <x:v>46293.62850694445</x:v>
      </x:c>
      <x:c r="D239" t="str">
        <x:v>Supporting</x:v>
      </x:c>
      <x:c r="E239" t="str">
        <x:v>Reuters</x:v>
      </x:c>
      <x:c r="F239" t="str">
        <x:v>High-quality reporting and campaign-finance review</x:v>
      </x:c>
      <x:c r="G239" s="44" t="str">
        <x:v>https://www.reuters.com/legal/government/republicans-pour-money-into-dozens-us-house-races-previously-considered-safe-2026-09-27/</x:v>
      </x:c>
      <x:c r="H239" s="44" t="str">
        <x:v>Major Republican groups began spending in at least 39 additional House races after internal polling showed risk in districts previously considered safe; leaders warned campaigns not to assume victory even where Trump won by double digits.</x:v>
      </x:c>
      <x:c r="I239" s="44" t="str">
        <x:v>Strengthens House-shift evidence</x:v>
      </x:c>
      <x:c r="J239" s="44" t="n">
        <x:v>5</x:v>
      </x:c>
      <x:c r="K239" s="44" t="str">
        <x:v>Campaign allocation is an independent behavioral signal that supports Cook's district-rating changes, but the Republican funding advantage and unresolved voting outcome prevent an Actionable classification.</x:v>
      </x:c>
    </x:row>
    <x:row r="240">
      <x:c r="A240" t="str">
        <x:v>EV-2026-235</x:v>
      </x:c>
      <x:c r="B240" t="str">
        <x:v>EEI-2026-003</x:v>
      </x:c>
      <x:c r="C240" s="53" t="n">
        <x:v>46293.62850694445</x:v>
      </x:c>
      <x:c r="D240" t="str">
        <x:v>Market confirmation</x:v>
      </x:c>
      <x:c r="E240" t="str">
        <x:v>Reuters and current fund market data</x:v>
      </x:c>
      <x:c r="F240" t="str">
        <x:v>High-quality reporting and live market data</x:v>
      </x:c>
      <x:c r="G240" s="44" t="str">
        <x:v>https://www.reuters.com/world/china/global-markets-global-markets-2026-09-28/</x:v>
      </x:c>
      <x:c r="H240" s="44" t="str">
        <x:v>Brent rose about 4% to $108.50, the 10-year Treasury yield reached about 5.22%, and markets implied a 68% chance of another Fed hike in October. Near 10:53 a.m. ET, SPY, RSP, IWM, XLI, XLB, XLF and CPER were all lower; only XLV and XBI were slightly positive, while VIXY rose.</x:v>
      </x:c>
      <x:c r="I240" s="44" t="str">
        <x:v>Contradicts broad risk participation</x:v>
      </x:c>
      <x:c r="J240" s="44" t="n">
        <x:v>5</x:v>
      </x:c>
      <x:c r="K240" s="44" t="str">
        <x:v>Equal weight modestly outperformed SPY, but negative absolute breadth among the tracked candidates, weaker cyclicals and higher volatility exposure do not confirm the expected broad uncertainty-relief mechanism.</x:v>
      </x:c>
    </x:row>
    <x:row r="241">
      <x:c r="A241" t="str">
        <x:v>EV-2026-236</x:v>
      </x:c>
      <x:c r="B241" t="str">
        <x:v>EEI-2026-003</x:v>
      </x:c>
      <x:c r="C241" s="53" t="n">
        <x:v>46293.62850694445</x:v>
      </x:c>
      <x:c r="D241" t="str">
        <x:v>Policy modifier</x:v>
      </x:c>
      <x:c r="E241" t="str">
        <x:v>Reuters</x:v>
      </x:c>
      <x:c r="F241" t="str">
        <x:v>High-quality reporting</x:v>
      </x:c>
      <x:c r="G241" s="44" t="str">
        <x:v>https://www.reuters.com/legal/government/democrats-probe-lucrative-trump-family-business-deals-if-they-win-midterms-2026-09-28/</x:v>
      </x:c>
      <x:c r="H241" s="44" t="str">
        <x:v>Democratic lawmakers and staff described plans to use subpoena power and expanded investigative staff if the party controls either chamber, with inquiries potentially beginning in February.</x:v>
      </x:c>
      <x:c r="I241" s="44" t="str">
        <x:v>Clarifies oversight mechanism; no direct sector signal</x:v>
      </x:c>
      <x:c r="J241" s="44" t="n">
        <x:v>4</x:v>
      </x:c>
      <x:c r="K241" s="44" t="str">
        <x:v>This defines a plausible policy consequence of a chamber shift, but it is conditional on control and maps more directly to oversight and legal risk than to the broad equity, industrial, materials, health-care, financial or small-cap candidates.</x:v>
      </x:c>
    </x:row>
    <x:row r="242">
      <x:c r="A242" t="str">
        <x:v>EV-2026-237</x:v>
      </x:c>
      <x:c r="B242" t="str">
        <x:v>EEI-2026-001</x:v>
      </x:c>
      <x:c r="C242" s="56" t="n">
        <x:v>46293.833333333336</x:v>
      </x:c>
      <x:c r="D242" t="str">
        <x:v>Paper-trade outcome</x:v>
      </x:c>
      <x:c r="E242" t="str">
        <x:v>S&amp;P Global Market Intelligence via StockAnalysis</x:v>
      </x:c>
      <x:c r="F242" t="str">
        <x:v>Regular-session closing market data</x:v>
      </x:c>
      <x:c r="G242" s="44" t="str">
        <x:v>https://stockanalysis.com/etf/bno/</x:v>
      </x:c>
      <x:c r="H242" s="44" t="str">
        <x:v>BNO closed September 28 at $60.33 versus the $57.21 September 8 opening entry. The $1,000 paper position was worth $1,054.54, up $54.54 or 5.45%; BNO gained 1.14% for the session.</x:v>
      </x:c>
      <x:c r="I242" s="44" t="str">
        <x:v>Supports the cleanest direct expression</x:v>
      </x:c>
      <x:c r="J242" s="44" t="n">
        <x:v>5</x:v>
      </x:c>
      <x:c r="K242" s="44" t="str">
        <x:v>BNO remains the strongest of the three positions. This is continued tracking after the formal September 18 horizon and does not change the completed outcome score.</x:v>
      </x:c>
    </x:row>
    <x:row r="243">
      <x:c r="A243" t="str">
        <x:v>EV-2026-238</x:v>
      </x:c>
      <x:c r="B243" t="str">
        <x:v>EEI-2026-001</x:v>
      </x:c>
      <x:c r="C243" s="56" t="n">
        <x:v>46293.833333333336</x:v>
      </x:c>
      <x:c r="D243" t="str">
        <x:v>Paper-trade outcome</x:v>
      </x:c>
      <x:c r="E243" t="str">
        <x:v>S&amp;P Global Market Intelligence via StockAnalysis</x:v>
      </x:c>
      <x:c r="F243" t="str">
        <x:v>Regular-session closing market data</x:v>
      </x:c>
      <x:c r="G243" s="44" t="str">
        <x:v>https://stockanalysis.com/etf/uso/</x:v>
      </x:c>
      <x:c r="H243" s="44" t="str">
        <x:v>USO closed September 28 at $150.01 versus the $144.60 September 8 opening entry. The $1,000 paper position was worth $1,037.41, up $37.41 or 3.74%; USO gained 1.13% for the session.</x:v>
      </x:c>
      <x:c r="I243" s="44" t="str">
        <x:v>Supports direct crude expression</x:v>
      </x:c>
      <x:c r="J243" s="44" t="n">
        <x:v>5</x:v>
      </x:c>
      <x:c r="K243" s="44" t="str">
        <x:v>USO remains above entry and continues to outperform XOP. This is a post-horizon observation.</x:v>
      </x:c>
    </x:row>
    <x:row r="244">
      <x:c r="A244" t="str">
        <x:v>EV-2026-239</x:v>
      </x:c>
      <x:c r="B244" t="str">
        <x:v>EEI-2026-001</x:v>
      </x:c>
      <x:c r="C244" s="56" t="n">
        <x:v>46293.833333333336</x:v>
      </x:c>
      <x:c r="D244" t="str">
        <x:v>Paper-trade outcome</x:v>
      </x:c>
      <x:c r="E244" t="str">
        <x:v>S&amp;P Global Market Intelligence via StockAnalysis</x:v>
      </x:c>
      <x:c r="F244" t="str">
        <x:v>Regular-session closing market data</x:v>
      </x:c>
      <x:c r="G244" s="44" t="str">
        <x:v>https://stockanalysis.com/etf/xop/</x:v>
      </x:c>
      <x:c r="H244" s="44" t="str">
        <x:v>XOP closed September 28 at $180.14 versus the $193.84 September 8 opening entry. The $1,000 paper position was worth $929.32, down $70.68 or 7.07%; XOP fell 0.75% for the session.</x:v>
      </x:c>
      <x:c r="I244" s="44" t="str">
        <x:v>Continues to weaken the indirect equity expression</x:v>
      </x:c>
      <x:c r="J244" s="44" t="n">
        <x:v>5</x:v>
      </x:c>
      <x:c r="K244" s="44" t="str">
        <x:v>The producer-equity proxy remains the expression failure and materially trails both direct crude funds, reinforcing the methodology's clean-expression rule.</x:v>
      </x:c>
    </x:row>
    <x:row r="245">
      <x:c r="A245" t="str">
        <x:v>EV-2026-240</x:v>
      </x:c>
      <x:c r="B245" t="str">
        <x:v>EEI-2026-001</x:v>
      </x:c>
      <x:c r="C245" s="56" t="n">
        <x:v>46293.833333333336</x:v>
      </x:c>
      <x:c r="D245" t="str">
        <x:v>Post-horizon scarcity confirmation</x:v>
      </x:c>
      <x:c r="E245" t="str">
        <x:v>Reuters</x:v>
      </x:c>
      <x:c r="F245" t="str">
        <x:v>High-quality reporting and market data</x:v>
      </x:c>
      <x:c r="G245" s="44" t="str">
        <x:v>https://www.reuters.com/business/energy/oil-rebounds-after-trump-rejects-iran-peace-deal-2026-09-27/</x:v>
      </x:c>
      <x:c r="H245" s="44" t="str">
        <x:v>Oil rebounded after President Trump rejected Iran's proposal to end the conflict and reopen Hormuz. The diplomatic setback kept Middle East supply risk elevated and lifted the direct crude paper positions at the September 28 close.</x:v>
      </x:c>
      <x:c r="I245" s="44" t="str">
        <x:v>Confirms residual scarcity risk and headline sensitivity</x:v>
      </x:c>
      <x:c r="J245" s="44" t="n">
        <x:v>5</x:v>
      </x:c>
      <x:c r="K245" s="44" t="str">
        <x:v>BNO and USO rose while XOP fell. The three-position portfolio closed at $3,021.27, up $21.27 or 0.71% from inception. The formal September 18 result remains unchanged.</x:v>
      </x:c>
    </x:row>
    <x:row r="246">
      <x:c r="A246" t="str">
        <x:v>EV-2026-241</x:v>
      </x:c>
      <x:c r="B246" t="str">
        <x:v>EEI-2026-001</x:v>
      </x:c>
      <x:c r="C246" s="56" t="n">
        <x:v>46293.833333333336</x:v>
      </x:c>
      <x:c r="D246" t="str">
        <x:v>Post-horizon normalization modifier</x:v>
      </x:c>
      <x:c r="E246" t="str">
        <x:v>Reuters</x:v>
      </x:c>
      <x:c r="F246" t="str">
        <x:v>High-quality reporting based on preliminary Kpler data</x:v>
      </x:c>
      <x:c r="G246" s="44" t="str">
        <x:v>https://www.reuters.com/business/energy/oil-rebounds-after-trump-rejects-iran-peace-deal-2026-09-27/</x:v>
      </x:c>
      <x:c r="H246" s="44" t="str">
        <x:v>Preliminary Kpler data showed crude exports from key Middle East producers at 12.8 million barrels per day in September, the highest level since the war began, as Saudi Arabia and the UAE increased shipments. Further Qatar-mediated talks were also expected.</x:v>
      </x:c>
      <x:c r="I246" s="44" t="str">
        <x:v>Offsets the scarcity signal and limits extended-hold upside</x:v>
      </x:c>
      <x:c r="J246" s="44" t="n">
        <x:v>5</x:v>
      </x:c>
      <x:c r="K246" s="44" t="str">
        <x:v>The market is adapting even though Hormuz risk persists. Higher export volumes and continuing diplomacy remain the main path toward further compression of the scarcity premium.</x:v>
      </x:c>
    </x:row>
    <x:row r="247">
      <x:c r="A247" t="str">
        <x:v>EV-2026-242</x:v>
      </x:c>
      <x:c r="B247" t="str">
        <x:v>EEI-2026-002</x:v>
      </x:c>
      <x:c r="C247" s="21" t="n">
        <x:v>46294.50347222222</x:v>
      </x:c>
      <x:c r="D247" t="str">
        <x:v>Contradictory</x:v>
      </x:c>
      <x:c r="E247" t="str">
        <x:v>Reuters via Business Recorder</x:v>
      </x:c>
      <x:c r="F247" t="str">
        <x:v>High quality reporting</x:v>
      </x:c>
      <x:c r="G247" s="44" t="str">
        <x:v>https://www.brecorder.com/news/40441719/qatar-linked-lng-traffic-thru-hormuz-picks-up</x:v>
      </x:c>
      <x:c r="H247" s="44" t="str">
        <x:v>Visible Qatar-linked LNG tanker transits resumed in September after none were observed in August; GasLog Skagen emerged outside Hormuz with a Ras Laffan cargo.</x:v>
      </x:c>
      <x:c r="I247" s="44" t="str">
        <x:v>Weakens</x:v>
      </x:c>
      <x:c r="J247" s="44" t="n">
        <x:v>4</x:v>
      </x:c>
      <x:c r="K247" s="44" t="str">
        <x:v>Partial route normalization; force majeure and damaged-train constraints remain.</x:v>
      </x:c>
    </x:row>
    <x:row r="248">
      <x:c r="A248" t="str">
        <x:v>EV-2026-243</x:v>
      </x:c>
      <x:c r="B248" t="str">
        <x:v>EEI-2026-009</x:v>
      </x:c>
      <x:c r="C248" s="21" t="n">
        <x:v>46294.50347222222</x:v>
      </x:c>
      <x:c r="D248" t="str">
        <x:v>Neutral</x:v>
      </x:c>
      <x:c r="E248" t="str">
        <x:v>Reuters</x:v>
      </x:c>
      <x:c r="F248" t="str">
        <x:v>High quality reporting</x:v>
      </x:c>
      <x:c r="G248" s="44" t="str">
        <x:v>https://www.reuters.com/business/energy/oil-prices-rise-second-session-continued-middle-east-supply-concern-2026-09-29/</x:v>
      </x:c>
      <x:c r="H248" s="44" t="str">
        <x:v>The U.S. considered broader sales of red-dyed diesel as an alternative to an export ban; Gulf crude exports reached 12.8 million bpd while costly workarounds persisted.</x:v>
      </x:c>
      <x:c r="I248" s="44" t="str">
        <x:v>Mixed</x:v>
      </x:c>
      <x:c r="J248" s="44" t="n">
        <x:v>4</x:v>
      </x:c>
      <x:c r="K248" s="44" t="str">
        <x:v>Reduces immediate export-ban risk without resolving global diesel scarcity.</x:v>
      </x:c>
    </x:row>
    <x:row r="249">
      <x:c r="A249" t="str">
        <x:v>EV-2026-244</x:v>
      </x:c>
      <x:c r="B249" t="str">
        <x:v>EEI-2026-011</x:v>
      </x:c>
      <x:c r="C249" s="21" t="n">
        <x:v>46294.50347222222</x:v>
      </x:c>
      <x:c r="D249" t="str">
        <x:v>Supporting and contradictory</x:v>
      </x:c>
      <x:c r="E249" t="str">
        <x:v>Reuters</x:v>
      </x:c>
      <x:c r="F249" t="str">
        <x:v>High quality reporting</x:v>
      </x:c>
      <x:c r="G249" s="44" t="str">
        <x:v>https://www.reuters.com/business/energy/oil-prices-rise-second-session-continued-middle-east-supply-concern-2026-09-29/</x:v>
      </x:c>
      <x:c r="H249" s="44" t="str">
        <x:v>Higher Gulf exports still relied on inefficient ship-to-ship transfers, but aggregate exports recovered and mediation continued.</x:v>
      </x:c>
      <x:c r="I249" s="44" t="str">
        <x:v>Mixed</x:v>
      </x:c>
      <x:c r="J249" s="44" t="n">
        <x:v>4</x:v>
      </x:c>
      <x:c r="K249" s="44" t="str">
        <x:v>Supports vessel-day use while increasing normalization risk.</x:v>
      </x:c>
    </x:row>
    <x:row r="250">
      <x:c r="A250" t="str">
        <x:v>EV-2026-245</x:v>
      </x:c>
      <x:c r="B250" t="str">
        <x:v>EEI-2026-003</x:v>
      </x:c>
      <x:c r="C250" s="21" t="n">
        <x:v>46294.50347222222</x:v>
      </x:c>
      <x:c r="D250" t="str">
        <x:v>Supporting</x:v>
      </x:c>
      <x:c r="E250" t="str">
        <x:v>Associated Press</x:v>
      </x:c>
      <x:c r="F250" t="str">
        <x:v>High quality reporting</x:v>
      </x:c>
      <x:c r="G250" s="44" t="str">
        <x:v>https://apnews.com/article/196b287c170f2e8e6386908b441339d2</x:v>
      </x:c>
      <x:c r="H250" s="44" t="str">
        <x:v>Republicans shifted Senate resources toward defending Texas and Ohio as their Georgia and North Carolina prospects weakened.</x:v>
      </x:c>
      <x:c r="I250" s="44" t="str">
        <x:v>Strengthens</x:v>
      </x:c>
      <x:c r="J250" s="44" t="n">
        <x:v>4</x:v>
      </x:c>
      <x:c r="K250" s="44" t="str">
        <x:v>Campaign allocation is independent behavior evidence, not an election result.</x:v>
      </x:c>
    </x:row>
    <x:row r="251">
      <x:c r="A251" t="str">
        <x:v>EV-2026-246</x:v>
      </x:c>
      <x:c r="B251" t="str">
        <x:v>EEI-2026-003</x:v>
      </x:c>
      <x:c r="C251" s="21" t="n">
        <x:v>46294.50347222222</x:v>
      </x:c>
      <x:c r="D251" t="str">
        <x:v>Contradictory and market confirmation</x:v>
      </x:c>
      <x:c r="E251" t="str">
        <x:v>Reuters</x:v>
      </x:c>
      <x:c r="F251" t="str">
        <x:v>High quality reporting</x:v>
      </x:c>
      <x:c r="G251" s="44" t="str">
        <x:v>https://www.reuters.com/world/china/global-markets-global-markets-2026-09-29/</x:v>
      </x:c>
      <x:c r="H251" s="44" t="str">
        <x:v>The U.S. 10-year yield was near 5.27%, oil remained elevated and global equities faced rate pressure.</x:v>
      </x:c>
      <x:c r="I251" s="44" t="str">
        <x:v>Weakens entry</x:v>
      </x:c>
      <x:c r="J251" s="44" t="n">
        <x:v>4</x:v>
      </x:c>
      <x:c r="K251" s="44" t="str">
        <x:v>High yields and oil remain adverse to broadening and small-cap confirmation.</x:v>
      </x:c>
    </x:row>
    <x:row r="252">
      <x:c r="A252" t="str">
        <x:v>EV-2026-247</x:v>
      </x:c>
      <x:c r="B252"/>
      <x:c r="C252" s="21" t="n">
        <x:v>46294.50347222222</x:v>
      </x:c>
      <x:c r="D252" t="str">
        <x:v>Rejected Motley Fool trigger</x:v>
      </x:c>
      <x:c r="E252" t="str">
        <x:v>The Motley Fool — Stefon Walters</x:v>
      </x:c>
      <x:c r="F252" t="str">
        <x:v>Idea generator only</x:v>
      </x:c>
      <x:c r="G252" s="44" t="str">
        <x:v>https://www.fool.com/investing/2026/09/25/the-magnificent-seven-stocks-heres-the-1-im-buying/</x:v>
      </x:c>
      <x:c r="H252" s="44" t="str">
        <x:v>A free September 25 editorial called Alphabet the best Magnificent Seven value, citing 82% Google Cloud growth and roughly $514 billion of cloud backlog.</x:v>
      </x:c>
      <x:c r="I252" s="44" t="str">
        <x:v>Rejected</x:v>
      </x:c>
      <x:c r="J252" s="44" t="n">
        <x:v>2</x:v>
      </x:c>
      <x:c r="K252" s="44" t="str">
        <x:v>Ticker GOOGL; long-term AI/cloud thesis. The author disclosed positions in Apple, Microsoft and TSM, not Alphabet; Motley Fool disclosed an Alphabet position and recommendation. SEC and company records confirm the growth, but Q2 also produced negative $5.9 billion free cash flow and $195-$205 billion 2026 capex guidance. The catalyst was two months old, not a new paid-service recommendation, and did not justify a distinct thesis or entry.</x:v>
      </x:c>
    </x:row>
    <x:row r="253">
      <x:c r="A253" t="str">
        <x:v>EV-2026-248</x:v>
      </x:c>
      <x:c r="B253" t="str">
        <x:v>EEI-2026-012</x:v>
      </x:c>
      <x:c r="C253" s="21" t="n">
        <x:v>46294.50347222222</x:v>
      </x:c>
      <x:c r="D253" t="str">
        <x:v>Primary confirmation</x:v>
      </x:c>
      <x:c r="E253" t="str">
        <x:v>U.S. Department of War / Air Force</x:v>
      </x:c>
      <x:c r="F253" t="str">
        <x:v>Primary government</x:v>
      </x:c>
      <x:c r="G253" s="44" t="str">
        <x:v>https://www.war.gov/News/Contracts/Contract/Article/4613098/contracts-for-sept-28-2026/</x:v>
      </x:c>
      <x:c r="H253" s="44" t="str">
        <x:v>New award FA8556-26-C-B001 is a sole-source, not-to-exceed $20,699,334,581 multiyear AMRAAM contract through June 30, 2033; $85,715 of FY2026 weapons funds and $154,266,225 of FMS funds were obligated at award.</x:v>
      </x:c>
      <x:c r="I253" s="44" t="str">
        <x:v>Strengthens</x:v>
      </x:c>
      <x:c r="J253" s="44" t="n">
        <x:v>5</x:v>
      </x:c>
      <x:c r="K253" s="44" t="str">
        <x:v>Recipient Raytheon Co.; parent RTX Corp.; Air Force Life Cycle Management Center. New contract action, not a routine modification. Fixed-price incentive firm and firm-fixed-price undefinitized. FMS includes 16 named allies. NAICS/PSC and USAspending current/potential fields were not yet indexed at scan time and are left unresolved rather than inferred.</x:v>
      </x:c>
    </x:row>
    <x:row r="254">
      <x:c r="A254" t="str">
        <x:v>EV-2026-249</x:v>
      </x:c>
      <x:c r="B254" t="str">
        <x:v>EEI-2026-012</x:v>
      </x:c>
      <x:c r="C254" s="21" t="n">
        <x:v>46294.50347222222</x:v>
      </x:c>
      <x:c r="D254" t="str">
        <x:v>Primary confirmation</x:v>
      </x:c>
      <x:c r="E254" t="str">
        <x:v>RTX / Raytheon</x:v>
      </x:c>
      <x:c r="F254" t="str">
        <x:v>Primary company</x:v>
      </x:c>
      <x:c r="G254" s="44" t="str">
        <x:v>https://www.rtx.com/news/news-center/2026/09/28/rtxs-raytheon-awarded-20-7-billion-multi-year-contract-for-amraam-under-landmar</x:v>
      </x:c>
      <x:c r="H254" s="44" t="str">
        <x:v>RTX confirmed the five-year contract plus two option years and said production nearly doubled in 2025, with a goal of at least 1,900 AMRAAM missiles annually.</x:v>
      </x:c>
      <x:c r="I254" s="44" t="str">
        <x:v>Strengthens</x:v>
      </x:c>
      <x:c r="J254" s="44" t="n">
        <x:v>5</x:v>
      </x:c>
      <x:c r="K254" s="44" t="str">
        <x:v>Issuer announcement; confirm economics through obligations and filings rather than promotional language.</x:v>
      </x:c>
    </x:row>
    <x:row r="255">
      <x:c r="A255" t="str">
        <x:v>EV-2026-250</x:v>
      </x:c>
      <x:c r="B255" t="str">
        <x:v>EEI-2026-012</x:v>
      </x:c>
      <x:c r="C255" s="21" t="n">
        <x:v>46294.50347222222</x:v>
      </x:c>
      <x:c r="D255" t="str">
        <x:v>Independent confirmation</x:v>
      </x:c>
      <x:c r="E255" t="str">
        <x:v>Reuters</x:v>
      </x:c>
      <x:c r="F255" t="str">
        <x:v>High quality reporting</x:v>
      </x:c>
      <x:c r="G255" s="44" t="str">
        <x:v>https://www.reuters.com/business/aerospace-defense/pentagon-awards-rtxs-raytheon-207-billion-contract-for-amraam-missiles-amid-2026-09-28/</x:v>
      </x:c>
      <x:c r="H255" s="44" t="str">
        <x:v>Reuters confirmed the provisional multiyear award and reported that full-scale investment depends on Congressional appropriations.</x:v>
      </x:c>
      <x:c r="I255" s="44" t="str">
        <x:v>Strengthens with modifier</x:v>
      </x:c>
      <x:c r="J255" s="44" t="n">
        <x:v>4</x:v>
      </x:c>
      <x:c r="K255" s="44" t="str">
        <x:v>Independent confirmation and strongest funding contradiction. RTX 2025 sales exceeded $88 billion, making the ceiling about 23.5% of one year of company sales, but only about $154.35 million was initially obligated and revenue recognition spans years.</x:v>
      </x:c>
    </x:row>
    <x:row r="256">
      <x:c r="A256" t="str">
        <x:v>EV-2026-251</x:v>
      </x:c>
      <x:c r="B256" t="str">
        <x:v>EEI-2026-012</x:v>
      </x:c>
      <x:c r="C256" s="21" t="n">
        <x:v>46294.50347222222</x:v>
      </x:c>
      <x:c r="D256" t="str">
        <x:v>Market confirmation</x:v>
      </x:c>
      <x:c r="E256" t="str">
        <x:v>Wall Street Journal</x:v>
      </x:c>
      <x:c r="F256" t="str">
        <x:v>High quality reporting</x:v>
      </x:c>
      <x:c r="G256" s="44" t="str">
        <x:v>https://www.wsj.com/business/raytheon-gets-20-7-billion-contract-to-accelerate-amraam-missile-production-25f96d73</x:v>
      </x:c>
      <x:c r="H256" s="44" t="str">
        <x:v>RTX shares rose about 1.3% to $190 after hours following the award announcement.</x:v>
      </x:c>
      <x:c r="I256" s="44" t="str">
        <x:v>Modest confirmation</x:v>
      </x:c>
      <x:c r="J256" s="44" t="n">
        <x:v>4</x:v>
      </x:c>
      <x:c r="K256" s="44" t="str">
        <x:v>The reaction was positive but not a sustained breakout; current scan quote was about $187.66.</x:v>
      </x:c>
    </x:row>
    <x:row r="257">
      <x:c r="A257" t="str">
        <x:v>EV-2026-252</x:v>
      </x:c>
      <x:c r="B257"/>
      <x:c r="C257" s="21" t="n">
        <x:v>46294.50347222222</x:v>
      </x:c>
      <x:c r="D257" t="str">
        <x:v>Rejected corporate trigger</x:v>
      </x:c>
      <x:c r="E257" t="str">
        <x:v>Reuters</x:v>
      </x:c>
      <x:c r="F257" t="str">
        <x:v>High quality reporting</x:v>
      </x:c>
      <x:c r="G257" s="44" t="str">
        <x:v>https://www.reuters.com/business/ftse-100-rises-astraZeneca-lifts-healthcare-sector-2026-09-29/</x:v>
      </x:c>
      <x:c r="H257" s="44" t="str">
        <x:v>AstraZeneca announced a $2 billion investment in Summit Therapeutics and Summit shares jumped about 18.4%.</x:v>
      </x:c>
      <x:c r="I257" s="44" t="str">
        <x:v>Rejected as entry</x:v>
      </x:c>
      <x:c r="J257" s="44" t="n">
        <x:v>4</x:v>
      </x:c>
      <x:c r="K257" s="44" t="str">
        <x:v>A material oncology partnership, but the immediate price jump, clinical concentration and incomplete program economics create headline-chasing risk. No distinct thesis was opened without further primary clinical and transaction review.</x:v>
      </x:c>
    </x:row>
    <x:row r="258">
      <x:c r="A258" t="str">
        <x:v>EV-2026-253</x:v>
      </x:c>
      <x:c r="B258" t="str">
        <x:v>EEI-2026-003</x:v>
      </x:c>
      <x:c r="C258" s="53" t="n">
        <x:v>46294.62361111111</x:v>
      </x:c>
      <x:c r="D258" t="str">
        <x:v>Market confirmation</x:v>
      </x:c>
      <x:c r="E258" t="str">
        <x:v>Reuters and current fund market data</x:v>
      </x:c>
      <x:c r="F258" t="str">
        <x:v>High-quality reporting and live market data</x:v>
      </x:c>
      <x:c r="G258" s="44" t="str">
        <x:v>https://www.reuters.com/business/us-stock-futures-flat-tech-bounce-meets-crude-driven-caution-2026-09-29/</x:v>
      </x:c>
      <x:c r="H258" s="44" t="str">
        <x:v>Near 10:57 a.m. ET, SPY was nearly flat while RSP and IWM fell about 0.30%. XLI rose 0.21% and CPER 0.48%, but XLB, XLV, XBI and XLF declined. Reuters reported more decliners than advancers and the 10-year yield near 5.08%.</x:v>
      </x:c>
      <x:c r="I258" s="44" t="str">
        <x:v>Contradicts broad participation</x:v>
      </x:c>
      <x:c r="J258" s="44" t="n">
        <x:v>5</x:v>
      </x:c>
      <x:c r="K258" s="44" t="str">
        <x:v>The premarket health-care and biotech strength reversed. Isolated industrial and copper gains do not offset lagging equal weight, small caps and most tracked sectors, so the expected uncertainty-relief mechanism is not confirmed.</x:v>
      </x:c>
    </x:row>
    <x:row r="259">
      <x:c r="A259" t="str">
        <x:v>EV-2026-254</x:v>
      </x:c>
      <x:c r="B259" t="str">
        <x:v>EEI-2026-001</x:v>
      </x:c>
      <x:c r="C259" s="56" t="n">
        <x:v>46294.833333333336</x:v>
      </x:c>
      <x:c r="D259" t="str">
        <x:v>Paper-trade outcome</x:v>
      </x:c>
      <x:c r="E259" t="str">
        <x:v>S&amp;P Global Market Intelligence via StockAnalysis</x:v>
      </x:c>
      <x:c r="F259" t="str">
        <x:v>Regular-session closing market data</x:v>
      </x:c>
      <x:c r="G259" s="44" t="str">
        <x:v>https://stockanalysis.com/etf/bno/</x:v>
      </x:c>
      <x:c r="H259" s="44" t="str">
        <x:v>BNO closed September 29 at $58.75 versus the $57.21 September 8 opening entry. The $1,000 paper position was worth $1,026.92, up $26.92 or 2.69%; BNO fell 2.62% for the session.</x:v>
      </x:c>
      <x:c r="I259" s="44" t="str">
        <x:v>Still supports the cleanest direct expression, but weakens the extended hold</x:v>
      </x:c>
      <x:c r="J259" s="44" t="n">
        <x:v>5</x:v>
      </x:c>
      <x:c r="K259" s="44" t="str">
        <x:v>BNO remains the only profitable position. This is continued tracking after the formal September 18 horizon and does not change the completed outcome score.</x:v>
      </x:c>
    </x:row>
    <x:row r="260">
      <x:c r="A260" t="str">
        <x:v>EV-2026-255</x:v>
      </x:c>
      <x:c r="B260" t="str">
        <x:v>EEI-2026-001</x:v>
      </x:c>
      <x:c r="C260" s="56" t="n">
        <x:v>46294.833333333336</x:v>
      </x:c>
      <x:c r="D260" t="str">
        <x:v>Paper-trade outcome</x:v>
      </x:c>
      <x:c r="E260" t="str">
        <x:v>S&amp;P Global Market Intelligence via StockAnalysis</x:v>
      </x:c>
      <x:c r="F260" t="str">
        <x:v>Regular-session closing market data</x:v>
      </x:c>
      <x:c r="G260" s="44" t="str">
        <x:v>https://stockanalysis.com/etf/uso/</x:v>
      </x:c>
      <x:c r="H260" s="44" t="str">
        <x:v>USO closed September 29 at $143.35 versus the $144.60 September 8 opening entry. The $1,000 paper position was worth $991.36, down $8.64 or 0.86%; USO fell 4.44% for the session.</x:v>
      </x:c>
      <x:c r="I260" s="44" t="str">
        <x:v>Weakens the direct WTI expression after the evaluation horizon</x:v>
      </x:c>
      <x:c r="J260" s="44" t="n">
        <x:v>5</x:v>
      </x:c>
      <x:c r="K260" s="44" t="str">
        <x:v>USO moved below entry after being strongly profitable during the formal window, showing how quickly the post-horizon scarcity premium can reverse.</x:v>
      </x:c>
    </x:row>
    <x:row r="261">
      <x:c r="A261" t="str">
        <x:v>EV-2026-256</x:v>
      </x:c>
      <x:c r="B261" t="str">
        <x:v>EEI-2026-001</x:v>
      </x:c>
      <x:c r="C261" s="56" t="n">
        <x:v>46294.833333333336</x:v>
      </x:c>
      <x:c r="D261" t="str">
        <x:v>Paper-trade outcome</x:v>
      </x:c>
      <x:c r="E261" t="str">
        <x:v>S&amp;P Global Market Intelligence via StockAnalysis</x:v>
      </x:c>
      <x:c r="F261" t="str">
        <x:v>Regular-session closing market data</x:v>
      </x:c>
      <x:c r="G261" s="44" t="str">
        <x:v>https://stockanalysis.com/etf/xop/</x:v>
      </x:c>
      <x:c r="H261" s="44" t="str">
        <x:v>XOP closed September 29 at $178.63 versus the $193.84 September 8 opening entry. The $1,000 paper position was worth $921.53, down $78.47 or 7.85%; XOP fell 0.84% for the session.</x:v>
      </x:c>
      <x:c r="I261" s="44" t="str">
        <x:v>Continues to weaken the indirect equity expression</x:v>
      </x:c>
      <x:c r="J261" s="44" t="n">
        <x:v>5</x:v>
      </x:c>
      <x:c r="K261" s="44" t="str">
        <x:v>The producer-equity proxy remains the expression failure and materially trails the direct crude funds, reinforcing the methodology preference for cleaner exposure.</x:v>
      </x:c>
    </x:row>
    <x:row r="262">
      <x:c r="A262" t="str">
        <x:v>EV-2026-257</x:v>
      </x:c>
      <x:c r="B262" t="str">
        <x:v>EEI-2026-001</x:v>
      </x:c>
      <x:c r="C262" s="56" t="n">
        <x:v>46294.833333333336</x:v>
      </x:c>
      <x:c r="D262" t="str">
        <x:v>Post-horizon normalization confirmation</x:v>
      </x:c>
      <x:c r="E262" t="str">
        <x:v>Reuters</x:v>
      </x:c>
      <x:c r="F262" t="str">
        <x:v>High-quality reporting, settlement and shipping data</x:v>
      </x:c>
      <x:c r="G262" s="44" t="str">
        <x:v>https://www.reuters.com/business/energy/oil-prices-rise-second-session-continued-middle-east-supply-concern-2026-09-29/</x:v>
      </x:c>
      <x:c r="H262" s="44" t="str">
        <x:v>Brent settled 2.6% lower at $102.59 and WTI fell 3.5% to $89.38 as Saudi Arabia resumed Yanbu loadings, East-West Pipeline flows increased and Middle East crude exports reached 16.328 million barrels per day, the highest since the war began.</x:v>
      </x:c>
      <x:c r="I262" s="44" t="str">
        <x:v>Materially weakens the extended-hold scarcity thesis</x:v>
      </x:c>
      <x:c r="J262" s="44" t="n">
        <x:v>5</x:v>
      </x:c>
      <x:c r="K262" s="44" t="str">
        <x:v>The original thesis succeeded inside its formal horizon, but restored bypass capacity and record postwar regional export volume now show the market adapting to the disruption.</x:v>
      </x:c>
    </x:row>
    <x:row r="263">
      <x:c r="A263" t="str">
        <x:v>EV-2026-258</x:v>
      </x:c>
      <x:c r="B263" t="str">
        <x:v>EEI-2026-001</x:v>
      </x:c>
      <x:c r="C263" s="56" t="n">
        <x:v>46294.833333333336</x:v>
      </x:c>
      <x:c r="D263" t="str">
        <x:v>Policy supply modifier</x:v>
      </x:c>
      <x:c r="E263" t="str">
        <x:v>Reuters</x:v>
      </x:c>
      <x:c r="F263" t="str">
        <x:v>High-quality reporting and U.S. Energy Department announcement</x:v>
      </x:c>
      <x:c r="G263" s="44" t="str">
        <x:v>https://www.reuters.com/business/energy/us-release-40-million-barrels-crude-strategic-petroleum-reserve-energy-2026-09-29/</x:v>
      </x:c>
      <x:c r="H263" s="44" t="str">
        <x:v>The U.S. government offered to loan energy companies up to 40 million barrels from the Strategic Petroleum Reserve, with proposals due October 6 and repayment extending through late 2028.</x:v>
      </x:c>
      <x:c r="I263" s="44" t="str">
        <x:v>Weakens near-term scarcity and adds policy-driven supply</x:v>
      </x:c>
      <x:c r="J263" s="44" t="n">
        <x:v>5</x:v>
      </x:c>
      <x:c r="K263" s="44" t="str">
        <x:v>The offer does not erase Hormuz risk, but it creates another source of prompt barrels and reinforces the negative post-horizon move in the direct crude expressions.</x:v>
      </x:c>
    </x:row>
    <x:row r="264">
      <x:c r="A264" t="str">
        <x:v>EV-2026-259</x:v>
      </x:c>
      <x:c r="B264" t="str">
        <x:v>EEI-2026-009</x:v>
      </x:c>
      <x:c r="C264" s="21" t="n">
        <x:v>46295.51619212963</x:v>
      </x:c>
      <x:c r="D264" t="str">
        <x:v>Supporting</x:v>
      </x:c>
      <x:c r="E264" t="str">
        <x:v>Reuters / Russian government</x:v>
      </x:c>
      <x:c r="F264" t="str">
        <x:v>High quality reporting</x:v>
      </x:c>
      <x:c r="G264" s="44" t="str">
        <x:v>https://www.reuters.com/business/energy/russia-extends-diesel-export-ban-until-end-october-2026-09-30/</x:v>
      </x:c>
      <x:c r="H264" s="44" t="str">
        <x:v>Russia extended its diesel-export ban for producers through the end of October. Russia is normally the world's second-largest diesel exporter after the United States.</x:v>
      </x:c>
      <x:c r="I264" s="44" t="str">
        <x:v>Strengthens</x:v>
      </x:c>
      <x:c r="J264" s="44" t="n">
        <x:v>4</x:v>
      </x:c>
      <x:c r="K264" s="44" t="str">
        <x:v>Government policy action extends the supply constraint; exceptions remain for certain intergovernmental agreements.</x:v>
      </x:c>
    </x:row>
    <x:row r="265">
      <x:c r="A265" t="str">
        <x:v>EV-2026-260</x:v>
      </x:c>
      <x:c r="B265" t="str">
        <x:v>EEI-2026-009</x:v>
      </x:c>
      <x:c r="C265" s="21" t="n">
        <x:v>46295.51619212963</x:v>
      </x:c>
      <x:c r="D265" t="str">
        <x:v>Contradictory</x:v>
      </x:c>
      <x:c r="E265" t="str">
        <x:v>Reuters</x:v>
      </x:c>
      <x:c r="F265" t="str">
        <x:v>High quality reporting</x:v>
      </x:c>
      <x:c r="G265" s="44" t="str">
        <x:v>https://www.reuters.com/business/energy/oil-climbs-after-trump-denies-he-is-willing-ease-sanctions-iran-2026-09-30/</x:v>
      </x:c>
      <x:c r="H265" s="44" t="str">
        <x:v>Middle East crude exports recovered toward 2025 average levels even as tight fuel markets continued to support prices.</x:v>
      </x:c>
      <x:c r="I265" s="44" t="str">
        <x:v>Weakens crude/logistics component; does not remove diesel constraint</x:v>
      </x:c>
      <x:c r="J265" s="44" t="n">
        <x:v>4</x:v>
      </x:c>
      <x:c r="K265" s="44" t="str">
        <x:v>Separates recovering crude supply from persistent refined-product scarcity.</x:v>
      </x:c>
    </x:row>
    <x:row r="266">
      <x:c r="A266" t="str">
        <x:v>EV-2026-261</x:v>
      </x:c>
      <x:c r="B266" t="str">
        <x:v>EEI-2026-002</x:v>
      </x:c>
      <x:c r="C266" s="21" t="n">
        <x:v>46295.51619212963</x:v>
      </x:c>
      <x:c r="D266" t="str">
        <x:v>Supporting</x:v>
      </x:c>
      <x:c r="E266" t="str">
        <x:v>Reuters / Edison</x:v>
      </x:c>
      <x:c r="F266" t="str">
        <x:v>High quality reporting</x:v>
      </x:c>
      <x:c r="G266" s="44" t="str">
        <x:v>https://www.reuters.com/business/energy/qatar-linked-lng-traffic-through-hormuz-strait-picks-up-despite-conflict-2026-09-28/</x:v>
      </x:c>
      <x:c r="H266" s="44" t="str">
        <x:v>QatarEnergy-linked traffic resumed visibly, but customer force-majeure extensions remained consistent with incomplete restoration of LNG deliveries.</x:v>
      </x:c>
      <x:c r="I266" s="44" t="str">
        <x:v>Mixed; scarcity persists</x:v>
      </x:c>
      <x:c r="J266" s="44" t="n">
        <x:v>4</x:v>
      </x:c>
      <x:c r="K266" s="44" t="str">
        <x:v>Visible vessel movement is not equivalent to normal contracted supply.</x:v>
      </x:c>
    </x:row>
    <x:row r="267">
      <x:c r="A267" t="str">
        <x:v>EV-2026-262</x:v>
      </x:c>
      <x:c r="B267" t="str">
        <x:v>EEI-2026-002</x:v>
      </x:c>
      <x:c r="C267" s="21" t="n">
        <x:v>46295.51619212963</x:v>
      </x:c>
      <x:c r="D267" t="str">
        <x:v>Contradictory</x:v>
      </x:c>
      <x:c r="E267" t="str">
        <x:v>Reuters / Kpler / LSEG</x:v>
      </x:c>
      <x:c r="F267" t="str">
        <x:v>High quality reporting</x:v>
      </x:c>
      <x:c r="G267" s="44" t="str">
        <x:v>https://www.reuters.com/business/energy/qatar-linked-lng-traffic-through-hormuz-strait-picks-up-despite-conflict-2026-09-28/</x:v>
      </x:c>
      <x:c r="H267" s="44" t="str">
        <x:v>More QatarEnergy-linked LNG vessels transited Hormuz visibly in September after no visible transits were recorded in August.</x:v>
      </x:c>
      <x:c r="I267" s="44" t="str">
        <x:v>Weakens</x:v>
      </x:c>
      <x:c r="J267" s="44" t="n">
        <x:v>4</x:v>
      </x:c>
      <x:c r="K267" s="44" t="str">
        <x:v>Partial route normalization does not yet resolve damaged production or extended force majeure.</x:v>
      </x:c>
    </x:row>
    <x:row r="268">
      <x:c r="A268" t="str">
        <x:v>EV-2026-263</x:v>
      </x:c>
      <x:c r="B268" t="str">
        <x:v>EEI-2026-003</x:v>
      </x:c>
      <x:c r="C268" s="21" t="n">
        <x:v>46295.51619212963</x:v>
      </x:c>
      <x:c r="D268" t="str">
        <x:v>Contradictory</x:v>
      </x:c>
      <x:c r="E268" t="str">
        <x:v>Associated Press / AdImpact</x:v>
      </x:c>
      <x:c r="F268" t="str">
        <x:v>High quality reporting</x:v>
      </x:c>
      <x:c r="G268" s="44" t="str">
        <x:v>https://apnews.com/article/democrats-midterms-new-hampshire-republicans-advantage-61a954efa9fe840b8451136f02ffa592</x:v>
      </x:c>
      <x:c r="H268" s="44" t="str">
        <x:v>Republicans were spending about $1.63 billion on nationwide campaign advertising from September 1 through Election Day versus $1.19 billion for Democrats, with an advantage in every top-tier Senate state including New Hampshire.</x:v>
      </x:c>
      <x:c r="I268" s="44" t="str">
        <x:v>Weakens Senate-control confidence</x:v>
      </x:c>
      <x:c r="J268" s="44" t="n">
        <x:v>4</x:v>
      </x:c>
      <x:c r="K268" s="44" t="str">
        <x:v>Campaign spending is not an election result, but it is credible evidence against treating a blue wave as settled.</x:v>
      </x:c>
    </x:row>
    <x:row r="269">
      <x:c r="A269" t="str">
        <x:v>EV-2026-264</x:v>
      </x:c>
      <x:c r="B269" t="str">
        <x:v>EEI-2026-003</x:v>
      </x:c>
      <x:c r="C269" s="21" t="n">
        <x:v>46295.51619212963</x:v>
      </x:c>
      <x:c r="D269" t="str">
        <x:v>Market confirmation</x:v>
      </x:c>
      <x:c r="E269" t="str">
        <x:v>Reuters / Associated Press</x:v>
      </x:c>
      <x:c r="F269" t="str">
        <x:v>High quality reporting</x:v>
      </x:c>
      <x:c r="G269" s="44" t="str">
        <x:v>https://www.reuters.com/business/us-stock-futures-inch-up-yields-ease-inflation-report-looms-2026-09-30/</x:v>
      </x:c>
      <x:c r="H269" s="44" t="str">
        <x:v>The 10-year Treasury yield remained near 5.24%; September 29's S&amp;P 500 fell 0.2% and the Russell 2000 fell 0.4%, while futures were slightly lower before inflation data.</x:v>
      </x:c>
      <x:c r="I269" s="44" t="str">
        <x:v>Weakens</x:v>
      </x:c>
      <x:c r="J269" s="44" t="n">
        <x:v>4</x:v>
      </x:c>
      <x:c r="K269" s="44" t="str">
        <x:v>High yields and weak small-cap participation remain inconsistent with broad post-shift confirmation.</x:v>
      </x:c>
    </x:row>
    <x:row r="270">
      <x:c r="A270" t="str">
        <x:v>EV-2026-265</x:v>
      </x:c>
      <x:c r="B270" t="str">
        <x:v>EEI-2026-013</x:v>
      </x:c>
      <x:c r="C270" s="21" t="n">
        <x:v>46295.51619212963</x:v>
      </x:c>
      <x:c r="D270" t="str">
        <x:v>Supporting</x:v>
      </x:c>
      <x:c r="E270" t="str">
        <x:v>U.S. Department of Defense via Reuters</x:v>
      </x:c>
      <x:c r="F270" t="str">
        <x:v>Government confirmation / high quality reporting</x:v>
      </x:c>
      <x:c r="G270" s="44" t="str">
        <x:v>https://www.reuters.com/business/autos-transportation/boeing-wins-us-navys-next-generation-fighter-contract-sources-say-2026-09-29/</x:v>
      </x:c>
      <x:c r="H270" s="44" t="str">
        <x:v>The Pentagon selected Boeing for a roughly $20 billion F/A-XX development contract to produce test aircraft; first production aircraft are expected in the 2030s.</x:v>
      </x:c>
      <x:c r="I270" s="44" t="str">
        <x:v>Strengthens</x:v>
      </x:c>
      <x:c r="J270" s="44" t="n">
        <x:v>4</x:v>
      </x:c>
      <x:c r="K270" s="44" t="str">
        <x:v>Recipient: Boeing, parent The Boeing Company; agency: U.S. Navy / Department of Defense; action: new competitive development selection. Public award identifier, obligation, NAICS/PSC and detailed performance period were not disclosed.</x:v>
      </x:c>
    </x:row>
    <x:row r="271">
      <x:c r="A271" t="str">
        <x:v>EV-2026-266</x:v>
      </x:c>
      <x:c r="B271" t="str">
        <x:v>EEI-2026-013</x:v>
      </x:c>
      <x:c r="C271" s="21" t="n">
        <x:v>46295.51619212963</x:v>
      </x:c>
      <x:c r="D271" t="str">
        <x:v>Supporting</x:v>
      </x:c>
      <x:c r="E271" t="str">
        <x:v>The Boeing Company</x:v>
      </x:c>
      <x:c r="F271" t="str">
        <x:v>Primary company filing</x:v>
      </x:c>
      <x:c r="G271" s="44" t="str">
        <x:v>https://investors.boeing.com/investors/news/press-release-details/2026/Boeing-Reports-Second-Quarter-Results/</x:v>
      </x:c>
      <x:c r="H271" s="44" t="str">
        <x:v>Boeing reported $7.5 billion of Q2 2026 Defense, Space &amp; Security revenue and $715 billion of total company backlog.</x:v>
      </x:c>
      <x:c r="I271" s="44" t="str">
        <x:v>Establishes materiality context</x:v>
      </x:c>
      <x:c r="J271" s="44" t="n">
        <x:v>5</x:v>
      </x:c>
      <x:c r="K271" s="44" t="str">
        <x:v>A $20 billion development headline is material relative to annual defense revenue, but the undisclosed funding and recognition schedule prevent treating the full amount as near-term revenue.</x:v>
      </x:c>
    </x:row>
    <x:row r="272">
      <x:c r="A272" t="str">
        <x:v>EV-2026-267</x:v>
      </x:c>
      <x:c r="B272" t="str">
        <x:v>EEI-2026-013</x:v>
      </x:c>
      <x:c r="C272" s="21" t="n">
        <x:v>46295.51619212963</x:v>
      </x:c>
      <x:c r="D272" t="str">
        <x:v>Market confirmation</x:v>
      </x:c>
      <x:c r="E272" t="str">
        <x:v>Reuters</x:v>
      </x:c>
      <x:c r="F272" t="str">
        <x:v>High quality reporting</x:v>
      </x:c>
      <x:c r="G272" s="44" t="str">
        <x:v>https://www.reuters.com/business/us-stock-futures-inch-up-yields-ease-inflation-report-looms-2026-09-30/</x:v>
      </x:c>
      <x:c r="H272" s="44" t="str">
        <x:v>Boeing rose about 2.1% premarket after rising about 2.25% after hours; Northrop Grumman fell about 3.5% after losing the competition.</x:v>
      </x:c>
      <x:c r="I272" s="44" t="str">
        <x:v>Confirms importance; weakens entry</x:v>
      </x:c>
      <x:c r="J272" s="44" t="n">
        <x:v>4</x:v>
      </x:c>
      <x:c r="K272" s="44" t="str">
        <x:v>The immediate repricing supports WAIT rather than a headline-chasing entry.</x:v>
      </x:c>
    </x:row>
    <x:row r="273">
      <x:c r="A273" t="str">
        <x:v>EV-2026-268</x:v>
      </x:c>
      <x:c r="B273" t="str">
        <x:v>EEI-2026-013</x:v>
      </x:c>
      <x:c r="C273" s="21" t="n">
        <x:v>46295.51619212963</x:v>
      </x:c>
      <x:c r="D273" t="str">
        <x:v>Contradictory</x:v>
      </x:c>
      <x:c r="E273" t="str">
        <x:v>Reuters / FAA</x:v>
      </x:c>
      <x:c r="F273" t="str">
        <x:v>High quality reporting</x:v>
      </x:c>
      <x:c r="G273" s="44" t="str">
        <x:v>https://www.reuters.com/world/westjet-said-it-has-not-seen-any-in-service-events-related-software-under-faa-2026-09-28/</x:v>
      </x:c>
      <x:c r="H273" s="44" t="str">
        <x:v>The FAA delayed 737 MAX 10 certification over a newly disclosed software issue, sending Boeing shares down 6.9% on September 28.</x:v>
      </x:c>
      <x:c r="I273" s="44" t="str">
        <x:v>Weakens company expression</x:v>
      </x:c>
      <x:c r="J273" s="44" t="n">
        <x:v>4</x:v>
      </x:c>
      <x:c r="K273" s="44" t="str">
        <x:v>Commercial certification and cash-flow risk can dominate the stock even when the defense award is strategically important.</x:v>
      </x:c>
    </x:row>
    <x:row r="274">
      <x:c r="A274" t="str">
        <x:v>EV-2026-269</x:v>
      </x:c>
      <x:c r="B274" t="str">
        <x:v>EEI-2026-001</x:v>
      </x:c>
      <x:c r="C274" s="56" t="n">
        <x:v>46295.833333333336</x:v>
      </x:c>
      <x:c r="D274" t="str">
        <x:v>Paper-trade outcome</x:v>
      </x:c>
      <x:c r="E274" t="str">
        <x:v>Market data via StockAnalysis</x:v>
      </x:c>
      <x:c r="F274" t="str">
        <x:v>Regular-session closing market data</x:v>
      </x:c>
      <x:c r="G274" s="44" t="str">
        <x:v>https://stockanalysis.com/etf/bno/history/</x:v>
      </x:c>
      <x:c r="H274" s="44" t="str">
        <x:v>BNO closed September 30 at $60.09 versus the $57.21 September 8 opening entry. The $1,000 paper position was worth $1,050.34, up $50.34 or 5.03%; BNO gained 2.28% from the September 29 close.</x:v>
      </x:c>
      <x:c r="I274" s="44" t="str">
        <x:v>Supports the direct Brent expression after the prior-day reversal</x:v>
      </x:c>
      <x:c r="J274" s="44" t="n">
        <x:v>5</x:v>
      </x:c>
      <x:c r="K274" s="44" t="str">
        <x:v>BNO remains the strongest paper position. This post-horizon mark does not change the completed September 18 outcome score.</x:v>
      </x:c>
    </x:row>
    <x:row r="275">
      <x:c r="A275" t="str">
        <x:v>EV-2026-270</x:v>
      </x:c>
      <x:c r="B275" t="str">
        <x:v>EEI-2026-001</x:v>
      </x:c>
      <x:c r="C275" s="56" t="n">
        <x:v>46295.833333333336</x:v>
      </x:c>
      <x:c r="D275" t="str">
        <x:v>Paper-trade outcome</x:v>
      </x:c>
      <x:c r="E275" t="str">
        <x:v>S&amp;P Global Market Intelligence via StockAnalysis</x:v>
      </x:c>
      <x:c r="F275" t="str">
        <x:v>Regular-session closing market data</x:v>
      </x:c>
      <x:c r="G275" s="44" t="str">
        <x:v>https://stockanalysis.com/etf/uso/history/</x:v>
      </x:c>
      <x:c r="H275" s="44" t="str">
        <x:v>USO closed September 30 at $145.66 versus the $144.60 September 8 opening entry. The $1,000 paper position was worth $1,007.33, up $7.33 or 0.73%; USO gained 1.61% for the session.</x:v>
      </x:c>
      <x:c r="I275" s="44" t="str">
        <x:v>Returns the direct WTI expression to a small gain</x:v>
      </x:c>
      <x:c r="J275" s="44" t="n">
        <x:v>5</x:v>
      </x:c>
      <x:c r="K275" s="44" t="str">
        <x:v>USO moved back above entry but remains far below its formal-horizon and peak gains, confirming the headline sensitivity of the extended hold.</x:v>
      </x:c>
    </x:row>
    <x:row r="276">
      <x:c r="A276" t="str">
        <x:v>EV-2026-271</x:v>
      </x:c>
      <x:c r="B276" t="str">
        <x:v>EEI-2026-001</x:v>
      </x:c>
      <x:c r="C276" s="56" t="n">
        <x:v>46295.833333333336</x:v>
      </x:c>
      <x:c r="D276" t="str">
        <x:v>Paper-trade outcome</x:v>
      </x:c>
      <x:c r="E276" t="str">
        <x:v>S&amp;P Global Market Intelligence via StockAnalysis</x:v>
      </x:c>
      <x:c r="F276" t="str">
        <x:v>Regular-session closing market data</x:v>
      </x:c>
      <x:c r="G276" s="44" t="str">
        <x:v>https://stockanalysis.com/etf/xop/history/</x:v>
      </x:c>
      <x:c r="H276" s="44" t="str">
        <x:v>XOP closed September 30 at $179.33 versus the $193.84 September 8 opening entry. The $1,000 paper position was worth $925.14, down $74.86 or 7.49%; XOP gained 0.39% for the session.</x:v>
      </x:c>
      <x:c r="I276" s="44" t="str">
        <x:v>Continues to weaken the indirect equity expression</x:v>
      </x:c>
      <x:c r="J276" s="44" t="n">
        <x:v>5</x:v>
      </x:c>
      <x:c r="K276" s="44" t="str">
        <x:v>The producer-equity proxy remains the expression failure and materially trails both direct crude funds.</x:v>
      </x:c>
    </x:row>
    <x:row r="277">
      <x:c r="A277" t="str">
        <x:v>EV-2026-272</x:v>
      </x:c>
      <x:c r="B277" t="str">
        <x:v>EEI-2026-001</x:v>
      </x:c>
      <x:c r="C277" s="56" t="n">
        <x:v>46295.833333333336</x:v>
      </x:c>
      <x:c r="D277" t="str">
        <x:v>Post-horizon scarcity confirmation</x:v>
      </x:c>
      <x:c r="E277" t="str">
        <x:v>Reuters</x:v>
      </x:c>
      <x:c r="F277" t="str">
        <x:v>High-quality reporting, settlement and inventory data</x:v>
      </x:c>
      <x:c r="G277" s="44" t="str">
        <x:v>https://www.reuters.com/business/energy/oil-climbs-after-trump-denies-he-is-willing-ease-sanctions-iran-2026-09-30/</x:v>
      </x:c>
      <x:c r="H277" s="44" t="str">
        <x:v>Brent November settled 0.9% higher at $103.50 and WTI rose 1.2% to $90.42 as U.S.-Iran talks remained stalled and U.S. gasoline and distillate inventories fell despite a crude-stock build.</x:v>
      </x:c>
      <x:c r="I277" s="44" t="str">
        <x:v>Confirms residual geopolitical and refined-product scarcity</x:v>
      </x:c>
      <x:c r="J277" s="44" t="n">
        <x:v>5</x:v>
      </x:c>
      <x:c r="K277" s="44" t="str">
        <x:v>The direct crude funds rebounded, but the market support now includes tight refined products rather than only the original crude-flow disruption.</x:v>
      </x:c>
    </x:row>
    <x:row r="278">
      <x:c r="A278" t="str">
        <x:v>EV-2026-273</x:v>
      </x:c>
      <x:c r="B278" t="str">
        <x:v>EEI-2026-001</x:v>
      </x:c>
      <x:c r="C278" s="56" t="n">
        <x:v>46295.833333333336</x:v>
      </x:c>
      <x:c r="D278" t="str">
        <x:v>Post-horizon normalization modifier</x:v>
      </x:c>
      <x:c r="E278" t="str">
        <x:v>Reuters</x:v>
      </x:c>
      <x:c r="F278" t="str">
        <x:v>High-quality reporting and bank estimates</x:v>
      </x:c>
      <x:c r="G278" s="44" t="str">
        <x:v>https://www.reuters.com/business/energy/oil-climbs-after-trump-denies-he-is-willing-ease-sanctions-iran-2026-09-30/</x:v>
      </x:c>
      <x:c r="H278" s="44" t="str">
        <x:v>Saudi Arabia resumed Yanbu tanker loadings after restarting the East-West Pipeline. Goldman Sachs estimated Gulf exports at 23.3 million barrels per day over the prior week, in line with the 2025 average, while JPMorgan estimated the ten-day average at 89% of 2025 levels.</x:v>
      </x:c>
      <x:c r="I278" s="44" t="str">
        <x:v>Materially weakens the original crude-availability constraint after the formal horizon</x:v>
      </x:c>
      <x:c r="J278" s="44" t="n">
        <x:v>5</x:v>
      </x:c>
      <x:c r="K278" s="44" t="str">
        <x:v>Recovered export capacity limits the remaining crude scarcity premium even though stalled talks, product shortages and elevated freight costs keep broader energy markets tight.</x:v>
      </x:c>
    </x:row>
    <x:row r="279">
      <x:c r="A279" t="str">
        <x:v>EV-2026-274</x:v>
      </x:c>
      <x:c r="B279" t="str">
        <x:v>EEI-2026-011</x:v>
      </x:c>
      <x:c r="C279" s="21" t="n">
        <x:v>46296.345</x:v>
      </x:c>
      <x:c r="D279" t="str">
        <x:v>Supporting</x:v>
      </x:c>
      <x:c r="E279" t="str">
        <x:v>Reuters / Marisks / Kpler</x:v>
      </x:c>
      <x:c r="F279" t="str">
        <x:v>High quality reporting</x:v>
      </x:c>
      <x:c r="G279" s="44" t="str">
        <x:v>https://www.reuters.com/business/energy/three-oil-tankers-hit-by-projectiles-hormuz-strait-tuesday-marisks-says-2026-10-01/</x:v>
      </x:c>
      <x:c r="H279" s="44" t="str">
        <x:v>Three Liberian-flagged tankers were struck by projectiles while transiting Hormuz with AIS disabled; the vessels had carried or transferred diesel, Iraqi Basrah crude and refined products.</x:v>
      </x:c>
      <x:c r="I279" s="44" t="str">
        <x:v>Strengthens</x:v>
      </x:c>
      <x:c r="J279" s="44" t="n">
        <x:v>4</x:v>
      </x:c>
      <x:c r="K279" s="44" t="str">
        <x:v>Directly reinforces security, insurance, dark-transit and capacity risk; ship-to-ship activity also shows workarounds remain available.</x:v>
      </x:c>
    </x:row>
    <x:row r="280">
      <x:c r="A280" t="str">
        <x:v>EV-2026-275</x:v>
      </x:c>
      <x:c r="B280" t="str">
        <x:v>EEI-2026-009</x:v>
      </x:c>
      <x:c r="C280" s="21" t="n">
        <x:v>46296.345</x:v>
      </x:c>
      <x:c r="D280" t="str">
        <x:v>Physical market confirmation</x:v>
      </x:c>
      <x:c r="E280" t="str">
        <x:v>Wall Street Journal / Argus / HSBC</x:v>
      </x:c>
      <x:c r="F280" t="str">
        <x:v>High quality reporting</x:v>
      </x:c>
      <x:c r="G280" s="44" t="str">
        <x:v>https://www.wsj.com/livecoverage/stock-market-today-dow-s-p-500-nasdaq-10-01-2026/card/more-oil-moves-through-hormuz-but-supply-still-looks-tight-KoinqtZrJ2VpcAboVIuL</x:v>
      </x:c>
      <x:c r="H280" s="44" t="str">
        <x:v>Dated Brent for immediate delivery was reported near $121 while benchmark futures were around $100 despite recovering Middle East flows.</x:v>
      </x:c>
      <x:c r="I280" s="44" t="str">
        <x:v>Strengthens thesis; weakens entry</x:v>
      </x:c>
      <x:c r="J280" s="44" t="n">
        <x:v>4</x:v>
      </x:c>
      <x:c r="K280" s="44" t="str">
        <x:v>Prompt physical scarcity remains stronger than headline export normalization; the price gap raises headline-chasing risk.</x:v>
      </x:c>
    </x:row>
    <x:row r="281">
      <x:c r="A281" t="str">
        <x:v>EV-2026-276</x:v>
      </x:c>
      <x:c r="B281" t="str">
        <x:v>EEI-2026-009</x:v>
      </x:c>
      <x:c r="C281" s="21" t="n">
        <x:v>46296.345</x:v>
      </x:c>
      <x:c r="D281" t="str">
        <x:v>Contradictory</x:v>
      </x:c>
      <x:c r="E281" t="str">
        <x:v>Reuters / Kpler / LSEG</x:v>
      </x:c>
      <x:c r="F281" t="str">
        <x:v>High quality reporting</x:v>
      </x:c>
      <x:c r="G281" s="44" t="str">
        <x:v>https://www.reuters.com/business/energy/uaes-fujairah-restores-some-fuel-oil-supplies-despite-hormuz-disruption-boosts-2026-10-01/</x:v>
      </x:c>
      <x:c r="H281" s="44" t="str">
        <x:v>Fujairah Q3 fuel-oil imports rose to 2.6 million metric tons from 845,000 tons in Q2 and September exports reached more than a one-year high.</x:v>
      </x:c>
      <x:c r="I281" s="44" t="str">
        <x:v>Weakens</x:v>
      </x:c>
      <x:c r="J281" s="44" t="n">
        <x:v>4</x:v>
      </x:c>
      <x:c r="K281" s="44" t="str">
        <x:v>Prompt VLSFO remained tight and inventories below pre-war levels, so this is partial normalization rather than full invalidation.</x:v>
      </x:c>
    </x:row>
    <x:row r="282">
      <x:c r="A282" t="str">
        <x:v>EV-2026-277</x:v>
      </x:c>
      <x:c r="B282" t="str">
        <x:v>EEI-2026-003</x:v>
      </x:c>
      <x:c r="C282" s="21" t="n">
        <x:v>46296.345</x:v>
      </x:c>
      <x:c r="D282" t="str">
        <x:v>Supporting</x:v>
      </x:c>
      <x:c r="E282" t="str">
        <x:v>Reuters</x:v>
      </x:c>
      <x:c r="F282" t="str">
        <x:v>High quality reporting</x:v>
      </x:c>
      <x:c r="G282" s="44" t="str">
        <x:v>https://www.reuters.com/world/us/democratic-wave-is-hitting-republican-states-hardest-scrambling-senate-strategy-2026-10-01/</x:v>
      </x:c>
      <x:c r="H282" s="44" t="str">
        <x:v>Democrats were competitive in ten states Trump won by double digits in 2024, materially expanding the possible Senate map; Republicans were reallocating resources to defense.</x:v>
      </x:c>
      <x:c r="I282" s="44" t="str">
        <x:v>Strengthens</x:v>
      </x:c>
      <x:c r="J282" s="44" t="n">
        <x:v>4</x:v>
      </x:c>
      <x:c r="K282" s="44" t="str">
        <x:v>Polls can miss outcomes and Democratic funding is constrained; this strengthens the pathway, not the result.</x:v>
      </x:c>
    </x:row>
    <x:row r="283">
      <x:c r="A283" t="str">
        <x:v>EV-2026-278</x:v>
      </x:c>
      <x:c r="B283" t="str">
        <x:v>EEI-2026-003</x:v>
      </x:c>
      <x:c r="C283" s="21" t="n">
        <x:v>46296.345</x:v>
      </x:c>
      <x:c r="D283" t="str">
        <x:v>Supporting with modifier</x:v>
      </x:c>
      <x:c r="E283" t="str">
        <x:v>Reuters / FEC / AdImpact</x:v>
      </x:c>
      <x:c r="F283" t="str">
        <x:v>High quality reporting</x:v>
      </x:c>
      <x:c r="G283" s="44" t="str">
        <x:v>https://www.reuters.com/legal/government/super-pac-backed-by-hedge-fund-billionaire-ken-griffin-spends-5-million-aid-2026-10-01/</x:v>
      </x:c>
      <x:c r="H283" s="44" t="str">
        <x:v>A Griffin-backed super PAC spent $4.9 million defending Florida's Republican Senate candidate even though forecasters still rate the race safe or solid Republican; Republican leaders increasingly feared losing Senate control.</x:v>
      </x:c>
      <x:c r="I283" s="44" t="str">
        <x:v>Strengthens political case; funding remains contradictory</x:v>
      </x:c>
      <x:c r="J283" s="44" t="n">
        <x:v>4</x:v>
      </x:c>
      <x:c r="K283" s="44" t="str">
        <x:v>Defensive spending in a safe-rated state is an observable behavior signal, but Republican spending advantages remain substantial.</x:v>
      </x:c>
    </x:row>
    <x:row r="284">
      <x:c r="A284" t="str">
        <x:v>EV-2026-279</x:v>
      </x:c>
      <x:c r="B284" t="str">
        <x:v>EEI-2026-003</x:v>
      </x:c>
      <x:c r="C284" s="21" t="n">
        <x:v>46296.345</x:v>
      </x:c>
      <x:c r="D284" t="str">
        <x:v>Contradictory market confirmation</x:v>
      </x:c>
      <x:c r="E284" t="str">
        <x:v>Reuters and current fund market data</x:v>
      </x:c>
      <x:c r="F284" t="str">
        <x:v>Market data and high quality reporting</x:v>
      </x:c>
      <x:c r="G284" s="44" t="str">
        <x:v>https://www.reuters.com/world/china/global-markets-global-markets-2026-10-01/</x:v>
      </x:c>
      <x:c r="H284" s="44" t="str">
        <x:v>The 10-year Treasury yield reached 5.34% before easing near 5.28%; RSP, IWM, XLI, XLF, XLV, XLB and CPER all lagged or fell while only XBI was positive among tracked candidates.</x:v>
      </x:c>
      <x:c r="I284" s="44" t="str">
        <x:v>Weakens entry</x:v>
      </x:c>
      <x:c r="J284" s="44" t="n">
        <x:v>4</x:v>
      </x:c>
      <x:c r="K284" s="44" t="str">
        <x:v>The political signal improved but the broad-market and rates mechanism did not confirm.</x:v>
      </x:c>
    </x:row>
    <x:row r="285">
      <x:c r="A285" t="str">
        <x:v>EV-2026-280</x:v>
      </x:c>
      <x:c r="B285" t="str">
        <x:v>EEI-2026-014</x:v>
      </x:c>
      <x:c r="C285" s="21" t="n">
        <x:v>46296.345</x:v>
      </x:c>
      <x:c r="D285" t="str">
        <x:v>Motley Fool trigger</x:v>
      </x:c>
      <x:c r="E285" t="str">
        <x:v>The Motley Fool — TMF Breakfast News</x:v>
      </x:c>
      <x:c r="F285" t="str">
        <x:v>Trigger only</x:v>
      </x:c>
      <x:c r="G285" s="44" t="str">
        <x:v>https://www.fool.com/investing/breakfast-news/2026/10/01/breakfast-news-netflix-needs-a-new-plot-twist/</x:v>
      </x:c>
      <x:c r="H285" s="44" t="str">
        <x:v>A free October 1 editorial published at 7:30 a.m. ET highlighted Micron's record results, signed supply agreements and expected demand exceeding supply in 2027-2028.</x:v>
      </x:c>
      <x:c r="I285" s="44" t="str">
        <x:v>Triggered independent research</x:v>
      </x:c>
      <x:c r="J285" s="44" t="n">
        <x:v>2</x:v>
      </x:c>
      <x:c r="K285" s="44" t="str">
        <x:v>Ticker MU; catalyst is AI-memory scarcity and contracted demand; horizon is multi-year. The article identified MU as a Team Rule Breakers recommendation and disclosed that The Motley Fool holds MU. It is free editorial content, not a newly disclosed paid-service pick.</x:v>
      </x:c>
    </x:row>
    <x:row r="286">
      <x:c r="A286" t="str">
        <x:v>EV-2026-281</x:v>
      </x:c>
      <x:c r="B286" t="str">
        <x:v>EEI-2026-014</x:v>
      </x:c>
      <x:c r="C286" s="21" t="n">
        <x:v>46296.345</x:v>
      </x:c>
      <x:c r="D286" t="str">
        <x:v>Primary confirmation</x:v>
      </x:c>
      <x:c r="E286" t="str">
        <x:v>Micron Technology</x:v>
      </x:c>
      <x:c r="F286" t="str">
        <x:v>Primary company record</x:v>
      </x:c>
      <x:c r="G286" s="44" t="str">
        <x:v>https://investors.micron.com/news/press-release/2026/Micron-Technology-Inc--Reports-Record-Fiscal-Fourth-Quarter-and-Full-Year-2026-Results/default.aspx</x:v>
      </x:c>
      <x:c r="H286" s="44" t="str">
        <x:v>Micron reported Q4 revenue of $54.23 billion, GAAP net income of $37.70 billion, operating cash flow of $43.97 billion and Q1 FY2027 revenue guidance of $61.5 billion plus or minus $1.5 billion.</x:v>
      </x:c>
      <x:c r="I286" s="44" t="str">
        <x:v>Strengthens</x:v>
      </x:c>
      <x:c r="J286" s="44" t="n">
        <x:v>5</x:v>
      </x:c>
      <x:c r="K286" s="44" t="str">
        <x:v>FY2026 adjusted free cash flow was $62.31 billion and year-end cash, marketable investments and restricted cash were $73.48 billion.</x:v>
      </x:c>
    </x:row>
    <x:row r="287">
      <x:c r="A287" t="str">
        <x:v>EV-2026-282</x:v>
      </x:c>
      <x:c r="B287" t="str">
        <x:v>EEI-2026-014</x:v>
      </x:c>
      <x:c r="C287" s="21" t="n">
        <x:v>46296.345</x:v>
      </x:c>
      <x:c r="D287" t="str">
        <x:v>Independent confirmation</x:v>
      </x:c>
      <x:c r="E287" t="str">
        <x:v>Reuters</x:v>
      </x:c>
      <x:c r="F287" t="str">
        <x:v>High quality reporting</x:v>
      </x:c>
      <x:c r="G287" s="44" t="str">
        <x:v>https://www.reuters.com/world/china/global-markets-global-markets-2026-10-01/</x:v>
      </x:c>
      <x:c r="H287" s="44" t="str">
        <x:v>Reuters reported Micron's long-term strategic-customer commitments rose to $32 billion from $22 billion in June and that the results lifted Asian technology markets.</x:v>
      </x:c>
      <x:c r="I287" s="44" t="str">
        <x:v>Strengthens</x:v>
      </x:c>
      <x:c r="J287" s="44" t="n">
        <x:v>4</x:v>
      </x:c>
      <x:c r="K287" s="44" t="str">
        <x:v>Signed demand improves durability but does not remove cyclicality or valuation risk.</x:v>
      </x:c>
    </x:row>
    <x:row r="288">
      <x:c r="A288" t="str">
        <x:v>EV-2026-283</x:v>
      </x:c>
      <x:c r="B288" t="str">
        <x:v>EEI-2026-014</x:v>
      </x:c>
      <x:c r="C288" s="21" t="n">
        <x:v>46296.345</x:v>
      </x:c>
      <x:c r="D288" t="str">
        <x:v>Independent primary enhancer</x:v>
      </x:c>
      <x:c r="E288" t="str">
        <x:v>Nvidia earnings call</x:v>
      </x:c>
      <x:c r="F288" t="str">
        <x:v>Primary company record</x:v>
      </x:c>
      <x:c r="G288" s="44" t="str">
        <x:v>https://investor.nvidia.com/files/content_files/TRANSCRIPT_-NVIDIA-Corp-NVDA-US-Q2-2027-Earnings-Call-26-August-2026-5_00-PM-ET.pdf</x:v>
      </x:c>
      <x:c r="H288" s="44" t="str">
        <x:v>Nvidia said extreme memory pricing exceeded prior expectations, prices were headed higher into 2027 and supply should remain a bottleneck through fiscal 2028.</x:v>
      </x:c>
      <x:c r="I288" s="44" t="str">
        <x:v>Strengthens</x:v>
      </x:c>
      <x:c r="J288" s="44" t="n">
        <x:v>5</x:v>
      </x:c>
      <x:c r="K288" s="44" t="str">
        <x:v>Independent customer-side confirmation supports the memory-scarcity variable, while higher memory cost pressures Nvidia margins.</x:v>
      </x:c>
    </x:row>
    <x:row r="289">
      <x:c r="A289" t="str">
        <x:v>EV-2026-284</x:v>
      </x:c>
      <x:c r="B289" t="str">
        <x:v>EEI-2026-014</x:v>
      </x:c>
      <x:c r="C289" s="21" t="n">
        <x:v>46296.345</x:v>
      </x:c>
      <x:c r="D289" t="str">
        <x:v>Market confirmation and contradiction</x:v>
      </x:c>
      <x:c r="E289" t="str">
        <x:v>Current market data / Reuters</x:v>
      </x:c>
      <x:c r="F289" t="str">
        <x:v>Market data and high quality reporting</x:v>
      </x:c>
      <x:c r="G289" s="44" t="str">
        <x:v>https://www.reuters.com/world/china/global-markets-global-markets-2026-10-01/</x:v>
      </x:c>
      <x:c r="H289" s="44" t="str">
        <x:v>Micron was roughly flat to modestly positive before the open after a nearly sixfold one-year rise, while Asian chip markets rallied and U.S. Treasury yields remained near multi-decade highs.</x:v>
      </x:c>
      <x:c r="I289" s="44" t="str">
        <x:v>Confirms industry; weakens entry</x:v>
      </x:c>
      <x:c r="J289" s="44" t="n">
        <x:v>4</x:v>
      </x:c>
      <x:c r="K289" s="44" t="str">
        <x:v>Strong fundamentals appear substantially anticipated; Entry Window remains WAIT.</x:v>
      </x:c>
    </x:row>
    <x:row r="290">
      <x:c r="A290" t="str">
        <x:v>EV-2026-285</x:v>
      </x:c>
      <x:c r="B290" t="str"/>
      <x:c r="C290" s="21" t="n">
        <x:v>46296.345</x:v>
      </x:c>
      <x:c r="D290" t="str">
        <x:v>Rejected Motley Fool trigger</x:v>
      </x:c>
      <x:c r="E290" t="str">
        <x:v>The Motley Fool — Keithen Drury</x:v>
      </x:c>
      <x:c r="F290" t="str">
        <x:v>Trigger only</x:v>
      </x:c>
      <x:c r="G290" s="44" t="str">
        <x:v>https://www.fool.com/investing/2026/10/01/the-3-best-stocks-to-buy-in-october/</x:v>
      </x:c>
      <x:c r="H290" s="44" t="str">
        <x:v>A free October 1 editorial at 4:58 a.m. ET named NVDA, AMZN and NBIS as 2027 AI-buildout ideas. The author disclosed positions in all three; The Motley Fool disclosed positions in and recommendations of NVDA and AMZN.</x:v>
      </x:c>
      <x:c r="I290" s="44" t="str">
        <x:v>Rejected as distinct theses</x:v>
      </x:c>
      <x:c r="J290" s="44" t="n">
        <x:v>2</x:v>
      </x:c>
      <x:c r="K290" s="44" t="str">
        <x:v>Primary records confirm growth, but the catalysts were old, broadly known and substantially priced. NVDA's $5.5 trillion valuation and memory-cost pressure, AMZN's roughly $200-$220 billion capex burden, and NBIS's capital intensity and roughly $8.3 billion six-month investing cash use prevent a new high-edge thesis.</x:v>
      </x:c>
    </x:row>
    <x:row r="291">
      <x:c r="A291" t="str">
        <x:v>EV-2026-286</x:v>
      </x:c>
      <x:c r="B291" t="str"/>
      <x:c r="C291" s="21" t="n">
        <x:v>46296.345</x:v>
      </x:c>
      <x:c r="D291" t="str">
        <x:v>Rejected Motley Fool trigger</x:v>
      </x:c>
      <x:c r="E291" t="str">
        <x:v>The Motley Fool — TMF Breakfast News</x:v>
      </x:c>
      <x:c r="F291" t="str">
        <x:v>Trigger only</x:v>
      </x:c>
      <x:c r="G291" s="44" t="str">
        <x:v>https://www.fool.com/investing/breakfast-news/2026/10/01/breakfast-news-netflix-needs-a-new-plot-twist/</x:v>
      </x:c>
      <x:c r="H291" s="44" t="str">
        <x:v>The free editorial highlighted Rocket Lab's 20-launch Synspective contract and MercadoLibre's ecosystem/credit optionality; it referenced prior paid-service recommendations rather than disclosing new premium picks.</x:v>
      </x:c>
      <x:c r="I291" s="44" t="str">
        <x:v>Rejected as distinct theses</x:v>
      </x:c>
      <x:c r="J291" s="44" t="n">
        <x:v>2</x:v>
      </x:c>
      <x:c r="K291" s="44" t="str">
        <x:v>Rocket Lab did not disclose contract value and traded near flat at a high loss-making valuation. MercadoLibre's primary results confirmed 50% revenue growth but operating income fell 17% and unsecured-credit exposure increased. Neither offered a new high-edge entry.</x:v>
      </x:c>
    </x:row>
    <x:row r="292">
      <x:c r="A292" t="str">
        <x:v>EV-2026-287</x:v>
      </x:c>
      <x:c r="B292" t="str">
        <x:v>EEI-2026-001</x:v>
      </x:c>
      <x:c r="C292" s="56" t="n">
        <x:v>46296.833333333336</x:v>
      </x:c>
      <x:c r="D292" t="str">
        <x:v>Paper-trade outcome</x:v>
      </x:c>
      <x:c r="E292" t="str">
        <x:v>S&amp;P Global Market Intelligence via StockAnalysis</x:v>
      </x:c>
      <x:c r="F292" t="str">
        <x:v>Regular-session closing market data</x:v>
      </x:c>
      <x:c r="G292" s="44" t="str">
        <x:v>https://stockanalysis.com/etf/bno/history/</x:v>
      </x:c>
      <x:c r="H292" s="44" t="str">
        <x:v>BNO closed October 1 at $62.95 versus the $57.21 September 8 opening entry. The $1,000 paper position was worth $1,100.33, up $100.33 or 10.03%; BNO gained 4.76% for the session.</x:v>
      </x:c>
      <x:c r="I292" s="44" t="str">
        <x:v>Strengthens the direct Brent expression after renewed escalation</x:v>
      </x:c>
      <x:c r="J292" s="44" t="n">
        <x:v>5</x:v>
      </x:c>
      <x:c r="K292" s="44" t="str">
        <x:v>BNO remains the strongest paper position. This post-horizon mark does not change the completed September 18 outcome score.</x:v>
      </x:c>
    </x:row>
    <x:row r="293">
      <x:c r="A293" t="str">
        <x:v>EV-2026-288</x:v>
      </x:c>
      <x:c r="B293" t="str">
        <x:v>EEI-2026-001</x:v>
      </x:c>
      <x:c r="C293" s="56" t="n">
        <x:v>46296.833333333336</x:v>
      </x:c>
      <x:c r="D293" t="str">
        <x:v>Paper-trade outcome</x:v>
      </x:c>
      <x:c r="E293" t="str">
        <x:v>S&amp;P Global Market Intelligence via StockAnalysis</x:v>
      </x:c>
      <x:c r="F293" t="str">
        <x:v>Regular-session closing market data</x:v>
      </x:c>
      <x:c r="G293" s="44" t="str">
        <x:v>https://stockanalysis.com/etf/uso/history/</x:v>
      </x:c>
      <x:c r="H293" s="44" t="str">
        <x:v>USO closed October 1 at $150.02 versus the $144.60 September 8 opening entry. The $1,000 paper position was worth $1,037.48, up $37.48 or 3.75%; USO gained 2.99% for the session.</x:v>
      </x:c>
      <x:c r="I293" s="44" t="str">
        <x:v>Strengthens the direct WTI expression</x:v>
      </x:c>
      <x:c r="J293" s="44" t="n">
        <x:v>5</x:v>
      </x:c>
      <x:c r="K293" s="44" t="str">
        <x:v>USO recovered further above entry but remains well below its peak gain, confirming the headline sensitivity of the extended hold.</x:v>
      </x:c>
    </x:row>
    <x:row r="294">
      <x:c r="A294" t="str">
        <x:v>EV-2026-289</x:v>
      </x:c>
      <x:c r="B294" t="str">
        <x:v>EEI-2026-001</x:v>
      </x:c>
      <x:c r="C294" s="56" t="n">
        <x:v>46296.833333333336</x:v>
      </x:c>
      <x:c r="D294" t="str">
        <x:v>Paper-trade outcome</x:v>
      </x:c>
      <x:c r="E294" t="str">
        <x:v>S&amp;P Global Market Intelligence via StockAnalysis</x:v>
      </x:c>
      <x:c r="F294" t="str">
        <x:v>Regular-session closing market data</x:v>
      </x:c>
      <x:c r="G294" s="44" t="str">
        <x:v>https://stockanalysis.com/etf/xop/history/</x:v>
      </x:c>
      <x:c r="H294" s="44" t="str">
        <x:v>XOP closed October 1 at $184.30 versus the $193.84 September 8 opening entry. The $1,000 paper position was worth $950.78, down $49.22 or 4.92%; XOP gained 2.77% for the session.</x:v>
      </x:c>
      <x:c r="I294" s="44" t="str">
        <x:v>Still weakens the indirect equity expression</x:v>
      </x:c>
      <x:c r="J294" s="44" t="n">
        <x:v>5</x:v>
      </x:c>
      <x:c r="K294" s="44" t="str">
        <x:v>The producer-equity proxy remains the expression failure despite the session rebound and still trails both direct crude funds.</x:v>
      </x:c>
    </x:row>
    <x:row r="295">
      <x:c r="A295" t="str">
        <x:v>EV-2026-290</x:v>
      </x:c>
      <x:c r="B295" t="str">
        <x:v>EEI-2026-001</x:v>
      </x:c>
      <x:c r="C295" s="56" t="n">
        <x:v>46296.833333333336</x:v>
      </x:c>
      <x:c r="D295" t="str">
        <x:v>Post-horizon scarcity confirmation</x:v>
      </x:c>
      <x:c r="E295" t="str">
        <x:v>Reuters</x:v>
      </x:c>
      <x:c r="F295" t="str">
        <x:v>High-quality reporting and settlement data</x:v>
      </x:c>
      <x:c r="G295" s="44" t="str">
        <x:v>https://www.reuters.com/business/energy/oil-prices-barely-changed-investors-assess-us-iran-peace-talks-gulf-exports-2026-10-01/</x:v>
      </x:c>
      <x:c r="H295" s="44" t="str">
        <x:v>December Brent settled 4.37% higher at $102.31 and WTI rose 2.71% to $92.87 after reports that the United States would add a third aircraft carrier and up to 10,000 troops in the Middle East, while Chinese refiners suspended most fuel-product exports.</x:v>
      </x:c>
      <x:c r="I295" s="44" t="str">
        <x:v>Confirms renewed geopolitical and refined-product scarcity</x:v>
      </x:c>
      <x:c r="J295" s="44" t="n">
        <x:v>5</x:v>
      </x:c>
      <x:c r="K295" s="44" t="str">
        <x:v>The direct crude funds rallied sharply. The immediate support combines escalation risk with tight diesel and other refined-product markets.</x:v>
      </x:c>
    </x:row>
    <x:row r="296">
      <x:c r="A296" t="str">
        <x:v>EV-2026-291</x:v>
      </x:c>
      <x:c r="B296" t="str">
        <x:v>EEI-2026-001</x:v>
      </x:c>
      <x:c r="C296" s="56" t="n">
        <x:v>46296.833333333336</x:v>
      </x:c>
      <x:c r="D296" t="str">
        <x:v>Post-horizon normalization modifier</x:v>
      </x:c>
      <x:c r="E296" t="str">
        <x:v>Reuters / Goldman Sachs</x:v>
      </x:c>
      <x:c r="F296" t="str">
        <x:v>High-quality reporting and market-flow estimate</x:v>
      </x:c>
      <x:c r="G296" s="44" t="str">
        <x:v>https://www.reuters.com/business/energy/oil-prices-barely-changed-investors-assess-us-iran-peace-talks-gulf-exports-2026-10-01/</x:v>
      </x:c>
      <x:c r="H296" s="44" t="str">
        <x:v>Saudi Arabia resumed Yanbu tanker loadings after restarting the East-West Pipeline, and Goldman Sachs estimated Gulf oil exports at 23.3 million barrels per day over the prior week, in line with the 2025 average.</x:v>
      </x:c>
      <x:c r="I296" s="44" t="str">
        <x:v>Continues to weaken the original crude-availability constraint after the formal horizon</x:v>
      </x:c>
      <x:c r="J296" s="44" t="n">
        <x:v>5</x:v>
      </x:c>
      <x:c r="K296" s="44" t="str">
        <x:v>Recovered crude export capacity remains material counterevidence even as military risk and constrained refined-product supply support energy prices.</x:v>
      </x:c>
    </x:row>
    <x:row r="297">
      <x:c r="A297" t="str">
        <x:v>EV-2026-292</x:v>
      </x:c>
      <x:c r="B297" t="str">
        <x:v>EEI-2026-009</x:v>
      </x:c>
      <x:c r="C297" s="21" t="d">
        <x:v>2026-10-02T12:33:58.000Z</x:v>
      </x:c>
      <x:c r="D297" t="str">
        <x:v>Policy confirmation and modifier</x:v>
      </x:c>
      <x:c r="E297" t="str">
        <x:v>Reuters</x:v>
      </x:c>
      <x:c r="F297" t="str">
        <x:v>High quality reporting</x:v>
      </x:c>
      <x:c r="G297" s="44" t="str">
        <x:v>https://www.reuters.com/business/energy/europe-discussing-plan-diesel-stock-releases-after-us-pressure-source-says-2026-10-02/</x:v>
      </x:c>
      <x:c r="H297" s="44" t="str">
        <x:v>EU governments discussed a French proposal to release 50 million barrels of diesel while IEA members would release 50 million barrels of crude; the diesel volume equals about 17% of EU emergency diesel/gasoil stocks and roughly 3% of annual consumption.</x:v>
      </x:c>
      <x:c r="I297" s="44" t="str">
        <x:v>Confirms scarcity; weakens entry</x:v>
      </x:c>
      <x:c r="J297" s="44" t="n">
        <x:v>5</x:v>
      </x:c>
      <x:c r="K297" s="44" t="str">
        <x:v>A proposed emergency release validates acute refined-product tightness but could materially relieve spot pressure. The proposal was under discussion, not yet implemented.</x:v>
      </x:c>
    </x:row>
    <x:row r="298">
      <x:c r="A298" t="str">
        <x:v>EV-2026-293</x:v>
      </x:c>
      <x:c r="B298" t="str">
        <x:v>EEI-2026-009</x:v>
      </x:c>
      <x:c r="C298" s="21" t="d">
        <x:v>2026-10-02T12:33:58.000Z</x:v>
      </x:c>
      <x:c r="D298" t="str">
        <x:v>Market confirmation and contradiction</x:v>
      </x:c>
      <x:c r="E298" t="str">
        <x:v>Reuters</x:v>
      </x:c>
      <x:c r="F298" t="str">
        <x:v>High quality reporting and market data</x:v>
      </x:c>
      <x:c r="G298" s="44" t="str">
        <x:v>https://www.reuters.com/business/energy/oil-rises-slightly-market-weighs-mixed-supply-signals-2026-10-02/</x:v>
      </x:c>
      <x:c r="H298" s="44" t="str">
        <x:v>European gasoil futures fell about 5% to $1,380.50 per metric ton, Brent fell 2.51% to $99.74 and WTI fell 3.8% to $89.34 after reports of diesel and crude stock-release talks.</x:v>
      </x:c>
      <x:c r="I298" s="44" t="str">
        <x:v>Weakens entry; thesis remains intact</x:v>
      </x:c>
      <x:c r="J298" s="44" t="n">
        <x:v>5</x:v>
      </x:c>
      <x:c r="K298" s="44" t="str">
        <x:v>The sharp policy-sensitive reversal reinforces Entry Window WAIT. Reuters still reported inventory draws and steep prompt premiums, while China halted October fuel exports.</x:v>
      </x:c>
    </x:row>
    <x:row r="299">
      <x:c r="A299" t="str">
        <x:v>EV-2026-294</x:v>
      </x:c>
      <x:c r="B299" t="str">
        <x:v>EEI-2026-002</x:v>
      </x:c>
      <x:c r="C299" s="21" t="d">
        <x:v>2026-10-02T12:33:58.000Z</x:v>
      </x:c>
      <x:c r="D299" t="str">
        <x:v>Normalization contradiction</x:v>
      </x:c>
      <x:c r="E299" t="str">
        <x:v>Reuters / S&amp;P Global Energy / Kpler</x:v>
      </x:c>
      <x:c r="F299" t="str">
        <x:v>High quality reporting with independent shipping data</x:v>
      </x:c>
      <x:c r="G299" s="44" t="str">
        <x:v>https://www.reuters.com/business/energy/september-lng-shipments-through-hormuz-hit-highest-since-start-us-iran-war-2026-10-02/</x:v>
      </x:c>
      <x:c r="H299" s="44" t="str">
        <x:v>September LNG shipments through Hormuz rose to 19-21 cargoes from 15 in June; S&amp;P Global said sustained activity could lift October flows to about 25% of pre-war levels.</x:v>
      </x:c>
      <x:c r="I299" s="44" t="str">
        <x:v>Weakens</x:v>
      </x:c>
      <x:c r="J299" s="44" t="n">
        <x:v>4</x:v>
      </x:c>
      <x:c r="K299" s="44" t="str">
        <x:v>Dark transits, escort cost and escalation risk remain, and 25% of pre-war volume would still represent severe impairment.</x:v>
      </x:c>
    </x:row>
    <x:row r="300">
      <x:c r="A300" t="str">
        <x:v>EV-2026-295</x:v>
      </x:c>
      <x:c r="B300" t="str">
        <x:v>EEI-2026-003</x:v>
      </x:c>
      <x:c r="C300" s="21" t="d">
        <x:v>2026-10-02T12:33:58.000Z</x:v>
      </x:c>
      <x:c r="D300" t="str">
        <x:v>Market contradiction</x:v>
      </x:c>
      <x:c r="E300" t="str">
        <x:v>Reuters / LSEG / CFRA</x:v>
      </x:c>
      <x:c r="F300" t="str">
        <x:v>High quality reporting and market data</x:v>
      </x:c>
      <x:c r="G300" s="44" t="str">
        <x:v>https://www.reuters.com/business/wall-st-week-ahead-spiking-bond-yields-midterms-earnings-test-us-stocks-typical-2026-10-02/</x:v>
      </x:c>
      <x:c r="H300" s="44" t="str">
        <x:v>The 10-year Treasury yield reached 5.34%, its highest in 24 years. The S&amp;P 500 was up 12% in 2026 and less than 2% below its August record, while Reuters reported heavy dependence on AI spending and possible election-related pullback risk.</x:v>
      </x:c>
      <x:c r="I300" s="44" t="str">
        <x:v>Weakens investable breadth</x:v>
      </x:c>
      <x:c r="J300" s="44" t="n">
        <x:v>4</x:v>
      </x:c>
      <x:c r="K300" s="44" t="str">
        <x:v>Strong historical fourth-quarter and midterm seasonality is supportive, but high yields and AI concentration remain the nearer-term obstacles to EEI-2026-003's breadth mechanism.</x:v>
      </x:c>
    </x:row>
    <x:row r="301">
      <x:c r="A301" t="str">
        <x:v>EV-2026-296</x:v>
      </x:c>
      <x:c r="B301"/>
      <x:c r="C301" s="21" t="d">
        <x:v>2026-10-02T12:33:58.000Z</x:v>
      </x:c>
      <x:c r="D301" t="str">
        <x:v>Rejected Motley Fool trigger</x:v>
      </x:c>
      <x:c r="E301" t="str">
        <x:v>The Motley Fool — John Ballard</x:v>
      </x:c>
      <x:c r="F301" t="str">
        <x:v>Trigger only; free editorial content</x:v>
      </x:c>
      <x:c r="G301" s="44" t="str">
        <x:v>https://www.fool.com/investing/2026/10/02/marvell-custom-ai-silicon-deal-hyperscalers-growth/</x:v>
      </x:c>
      <x:c r="H301" s="44" t="str">
        <x:v>The article promoted MRVL using an August Google agreement and described up to $120 billion over six years as a growth opportunity; the author owns Amazon and Motley Fool disclosed positions/recommendations in MRVL and several customers.</x:v>
      </x:c>
      <x:c r="I301" s="44" t="str">
        <x:v>Rejected as a distinct thesis</x:v>
      </x:c>
      <x:c r="J301" s="44" t="n">
        <x:v>2</x:v>
      </x:c>
      <x:c r="K301" s="44" t="str">
        <x:v>SEC filings show the $120 billion figure is the purchase threshold needed to vest all 240 warrant tranches at $500 million each, not contracted revenue. The catalyst was already public, MRVL traded near 60 times forward earnings, and the article repeated a previously rejected theme.</x:v>
      </x:c>
    </x:row>
    <x:row r="302">
      <x:c r="A302" t="str">
        <x:v>EV-2026-297</x:v>
      </x:c>
      <x:c r="B302"/>
      <x:c r="C302" s="21" t="d">
        <x:v>2026-10-02T12:33:58.000Z</x:v>
      </x:c>
      <x:c r="D302" t="str">
        <x:v>Rejected Motley Fool trigger</x:v>
      </x:c>
      <x:c r="E302" t="str">
        <x:v>The Motley Fool — Lee Samaha</x:v>
      </x:c>
      <x:c r="F302" t="str">
        <x:v>Trigger only; free editorial content</x:v>
      </x:c>
      <x:c r="G302" s="44" t="str">
        <x:v>https://www.fool.com/investing/2026/10/02/prediction-stock-double-over-5-years-vktx/</x:v>
      </x:c>
      <x:c r="H302" s="44" t="str">
        <x:v>The article argued VKTX could double over five years based on VK2735's injectable and oral obesity-drug opportunity; the author disclosed no position and Motley Fool recommends VKTX.</x:v>
      </x:c>
      <x:c r="I302" s="44" t="str">
        <x:v>Rejected as a reopened thesis</x:v>
      </x:c>
      <x:c r="J302" s="44" t="n">
        <x:v>2</x:v>
      </x:c>
      <x:c r="K302" s="44" t="str">
        <x:v>No new primary catalyst followed the September 22 maintenance data already reviewed. The company then raised roughly $575 million gross through stock and convertible notes, adding dilution and debt while Phase 3, tolerability, approval and commercialization remain unresolved.</x:v>
      </x:c>
    </x:row>
    <x:row r="303">
      <x:c r="A303" t="str">
        <x:v>EV-2026-298</x:v>
      </x:c>
      <x:c r="B303"/>
      <x:c r="C303" s="21" t="d">
        <x:v>2026-10-02T12:33:58.000Z</x:v>
      </x:c>
      <x:c r="D303" t="str">
        <x:v>Rejected Motley Fool trigger cluster</x:v>
      </x:c>
      <x:c r="E303" t="str">
        <x:v>The Motley Fool — multiple authors</x:v>
      </x:c>
      <x:c r="F303" t="str">
        <x:v>Trigger only; free editorial content</x:v>
      </x:c>
      <x:c r="G303" s="44" t="str">
        <x:v>https://www.fool.com/investing-news/</x:v>
      </x:c>
      <x:c r="H303" s="44" t="str">
        <x:v>October 2 free editorials promoted AIQ, TSM, O, TXN/ADI/ON and TER/ZBRA/ROK as AI, income, analog-chip or robotics ideas; author and publication conflicts were disclosed on the individual articles.</x:v>
      </x:c>
      <x:c r="I303" s="44" t="str">
        <x:v>Rejected as distinct theses</x:v>
      </x:c>
      <x:c r="J303" s="44" t="n">
        <x:v>2</x:v>
      </x:c>
      <x:c r="K303" s="44" t="str">
        <x:v>These were broad thematic or income arguments without a new material catalyst. TSM and AIQ repeat the priced AI-capex theme; analog and robotics pieces relied on long-run adoption; O emphasized yield rather than a new economic variable. BMY, LULU and AVAV had no new primary evidence changing their states.</x:v>
      </x:c>
    </x:row>
    <x:row r="304">
      <x:c r="A304" t="str">
        <x:v>EV-2026-299</x:v>
      </x:c>
      <x:c r="B304" t="str">
        <x:v>EEI-2026-001</x:v>
      </x:c>
      <x:c r="C304" s="21" t="n">
        <x:v>46297.833333333336</x:v>
      </x:c>
      <x:c r="D304" t="str">
        <x:v>Paper-trade outcome</x:v>
      </x:c>
      <x:c r="E304" t="str">
        <x:v>S&amp;P Global Market Intelligence via StockAnalysis</x:v>
      </x:c>
      <x:c r="F304" t="str">
        <x:v>Regular-session closing market data</x:v>
      </x:c>
      <x:c r="G304" s="44" t="str">
        <x:v>https://stockanalysis.com/etf/bno/history/</x:v>
      </x:c>
      <x:c r="H304" s="44" t="str">
        <x:v>BNO closed October 2 at $63.10 versus the $57.21 September 8 opening entry. The $1,000 paper position was worth $1,102.95, up $102.95 or 10.30%; BNO gained 0.24% for the session.</x:v>
      </x:c>
      <x:c r="I304" s="44" t="str">
        <x:v>Strengthens the direct Brent expression</x:v>
      </x:c>
      <x:c r="J304" s="44" t="str">
        <x:v>5</x:v>
      </x:c>
      <x:c r="K304" s="44" t="str">
        <x:v>BNO remains the strongest paper position and held most of the prior session's surge. This post-horizon mark does not change the completed September 18 outcome score.</x:v>
      </x:c>
    </x:row>
    <x:row r="305">
      <x:c r="A305" t="str">
        <x:v>EV-2026-300</x:v>
      </x:c>
      <x:c r="B305" t="str">
        <x:v>EEI-2026-001</x:v>
      </x:c>
      <x:c r="C305" s="21" t="n">
        <x:v>46297.833333333336</x:v>
      </x:c>
      <x:c r="D305" t="str">
        <x:v>Paper-trade outcome</x:v>
      </x:c>
      <x:c r="E305" t="str">
        <x:v>S&amp;P Global Market Intelligence via StockAnalysis</x:v>
      </x:c>
      <x:c r="F305" t="str">
        <x:v>Regular-session closing market data</x:v>
      </x:c>
      <x:c r="G305" s="44" t="str">
        <x:v>https://stockanalysis.com/etf/uso/history/</x:v>
      </x:c>
      <x:c r="H305" s="44" t="str">
        <x:v>USO closed October 2 at $147.37 versus the $144.60 September 8 opening entry. The $1,000 paper position was worth $1,019.16, up $19.16 or 1.92%; USO fell 1.77% for the session.</x:v>
      </x:c>
      <x:c r="I305" s="44" t="str">
        <x:v>Direct WTI expression remains positive but weakened</x:v>
      </x:c>
      <x:c r="J305" s="44" t="str">
        <x:v>5</x:v>
      </x:c>
      <x:c r="K305" s="44" t="str">
        <x:v>USO stayed above entry but surrendered more of its gain as stock-release policy countered the scarcity premium.</x:v>
      </x:c>
    </x:row>
    <x:row r="306">
      <x:c r="A306" t="str">
        <x:v>EV-2026-301</x:v>
      </x:c>
      <x:c r="B306" t="str">
        <x:v>EEI-2026-001</x:v>
      </x:c>
      <x:c r="C306" s="21" t="n">
        <x:v>46297.833333333336</x:v>
      </x:c>
      <x:c r="D306" t="str">
        <x:v>Paper-trade outcome</x:v>
      </x:c>
      <x:c r="E306" t="str">
        <x:v>S&amp;P Global Market Intelligence via StockAnalysis</x:v>
      </x:c>
      <x:c r="F306" t="str">
        <x:v>Regular-session closing market data</x:v>
      </x:c>
      <x:c r="G306" s="44" t="str">
        <x:v>https://stockanalysis.com/etf/xop/history/</x:v>
      </x:c>
      <x:c r="H306" s="44" t="str">
        <x:v>XOP closed October 2 at $184.93 versus the $193.84 September 8 opening entry. The $1,000 paper position was worth $954.03, down $45.97 or 4.60%; XOP gained 0.34% for the session.</x:v>
      </x:c>
      <x:c r="I306" s="44" t="str">
        <x:v>Still weakens the indirect equity expression</x:v>
      </x:c>
      <x:c r="J306" s="44" t="str">
        <x:v>5</x:v>
      </x:c>
      <x:c r="K306" s="44" t="str">
        <x:v>The producer-equity proxy remains the expression failure and continues to trail both direct crude funds.</x:v>
      </x:c>
    </x:row>
    <x:row r="307">
      <x:c r="A307" t="str">
        <x:v>EV-2026-302</x:v>
      </x:c>
      <x:c r="B307" t="str">
        <x:v>EEI-2026-001</x:v>
      </x:c>
      <x:c r="C307" s="21" t="n">
        <x:v>46297.833333333336</x:v>
      </x:c>
      <x:c r="D307" t="str">
        <x:v>Post-horizon policy counterevidence</x:v>
      </x:c>
      <x:c r="E307" t="str">
        <x:v>Reuters</x:v>
      </x:c>
      <x:c r="F307" t="str">
        <x:v>High-quality reporting and settlement data</x:v>
      </x:c>
      <x:c r="G307" s="44" t="str">
        <x:v>https://www.reuters.com/business/energy/oil-rises-slightly-market-weighs-mixed-supply-signals-2026-10-02/</x:v>
      </x:c>
      <x:c r="H307" s="44" t="str">
        <x:v>Brent settled October 2 at $102.25, down 0.06%, and WTI at $91.11, down 1.90%, after Europe agreed to additional diesel-stock releases and IEA members prepared a crude-stock release.</x:v>
      </x:c>
      <x:c r="I307" s="44" t="str">
        <x:v>Weakens the extended crude-scarcity hold</x:v>
      </x:c>
      <x:c r="J307" s="44" t="str">
        <x:v>5</x:v>
      </x:c>
      <x:c r="K307" s="44" t="str">
        <x:v>Reuters reported that recovered Middle East crude flows reduced concern about crude availability, while the remaining stress was concentrated in refined products. Chinese export limits, prompt premiums and military risk still provided support.</x:v>
      </x:c>
    </x:row>
    <x:row r="308">
      <x:c r="A308" t="str">
        <x:v>EV-2026-303</x:v>
      </x:c>
      <x:c r="B308" t="str">
        <x:v>EEI-2026-001</x:v>
      </x:c>
      <x:c r="C308" s="21" t="n">
        <x:v>46297.833333333336</x:v>
      </x:c>
      <x:c r="D308" t="str">
        <x:v>Post-horizon route-normalization modifier</x:v>
      </x:c>
      <x:c r="E308" t="str">
        <x:v>Reuters / S&amp;P Global Energy / Kpler</x:v>
      </x:c>
      <x:c r="F308" t="str">
        <x:v>High-quality reporting with independent shipping data</x:v>
      </x:c>
      <x:c r="G308" s="44" t="str">
        <x:v>https://www.reuters.com/business/energy/september-lng-shipments-through-hormuz-hit-highest-since-start-us-iran-war-2026-10-02/</x:v>
      </x:c>
      <x:c r="H308" s="44" t="str">
        <x:v>September LNG shipments through Hormuz rose to 19-21 cargoes from 15 in June, the highest monthly count since the war; sustained activity could lift October flows to about 25% of pre-war levels.</x:v>
      </x:c>
      <x:c r="I308" s="44" t="str">
        <x:v>Weakens the original transport constraint; residual risk remains</x:v>
      </x:c>
      <x:c r="J308" s="44" t="str">
        <x:v>4</x:v>
      </x:c>
      <x:c r="K308" s="44" t="str">
        <x:v>Higher transit volumes show adaptation and partial normalization. Dark transits, escort costs and escalation risk remain, while 25% of pre-war LNG volume would still be severely impaired.</x:v>
      </x:c>
    </x:row>
    <x:row r="309">
      <x:c r="A309" t="str">
        <x:v>EV-2026-304</x:v>
      </x:c>
      <x:c r="B309" t="str">
        <x:v>EEI-2026-009</x:v>
      </x:c>
      <x:c r="C309" s="21" t="d">
        <x:v>2026-10-03T12:18:27.000Z</x:v>
      </x:c>
      <x:c r="D309" t="str">
        <x:v>Policy implementation and modifier</x:v>
      </x:c>
      <x:c r="E309" t="str">
        <x:v>Reuters / G7 statement</x:v>
      </x:c>
      <x:c r="F309" t="str">
        <x:v>High-quality reporting quoting the G7 joint statement</x:v>
      </x:c>
      <x:c r="G309" s="44" t="str">
        <x:v>https://www.reuters.com/business/energy/europe-discussing-plan-diesel-stock-releases-after-us-pressure-source-says-2026-10-02/</x:v>
      </x:c>
      <x:c r="H309" s="44" t="str">
        <x:v>The G7 committed to a coordinated IEA release of 100 million barrels of diesel, crude and other products, beginning immediately and lasting four months, with substantial diesel volumes due within 20 days. The statement did not identify the product split or national contributions.</x:v>
      </x:c>
      <x:c r="I309" s="44" t="str">
        <x:v>Confirms scarcity; weakens entry</x:v>
      </x:c>
      <x:c r="J309" s="44" t="n">
        <x:v>5</x:v>
      </x:c>
      <x:c r="K309" s="44" t="str">
        <x:v>Final implementation replaces the prior proposal. It validates severe product tightness but increases near-term supply and policy risk; EEI-2026-009 stays Actionable / WAIT.</x:v>
      </x:c>
    </x:row>
    <x:row r="310">
      <x:c r="A310" t="str">
        <x:v>EV-2026-305</x:v>
      </x:c>
      <x:c r="B310" t="str">
        <x:v>EEI-2026-011</x:v>
      </x:c>
      <x:c r="C310" s="21" t="d">
        <x:v>2026-10-03T12:18:27.000Z</x:v>
      </x:c>
      <x:c r="D310" t="str">
        <x:v>Geopolitical shipping trigger</x:v>
      </x:c>
      <x:c r="E310" t="str">
        <x:v>Reuters</x:v>
      </x:c>
      <x:c r="F310" t="str">
        <x:v>Six-source high-quality reporting; no public Saudi confirmation</x:v>
      </x:c>
      <x:c r="G310" s="44" t="str">
        <x:v>https://www.reuters.com/world/asia-pacific/saudis-plan-assault-houthis-break-red-sea-chokehold-2026-10-02/</x:v>
      </x:c>
      <x:c r="H310" s="44" t="str">
        <x:v>Saudi Arabia is preparing a Yemen offensive that could seek to retake territory around Bab el-Mandeb, the Red Sea exit route now more important because Hormuz remains impaired. Reported timing ranged from within a week to after the U.S. midterms.</x:v>
      </x:c>
      <x:c r="I310" s="44" t="str">
        <x:v>Strengthens route-disruption risk</x:v>
      </x:c>
      <x:c r="J310" s="44" t="n">
        <x:v>4</x:v>
      </x:c>
      <x:c r="K310" s="44" t="str">
        <x:v>The plan is not yet launched or officially confirmed. It could restore traffic if successful, but fighting first raises freight, insurance and operational risk; EEI-2026-011 remains Strong / WAIT.</x:v>
      </x:c>
    </x:row>
    <x:row r="311">
      <x:c r="A311" t="str">
        <x:v>EV-2026-306</x:v>
      </x:c>
      <x:c r="B311" t="str">
        <x:v>EEI-2026-009</x:v>
      </x:c>
      <x:c r="C311" s="21" t="d">
        <x:v>2026-10-03T12:18:27.000Z</x:v>
      </x:c>
      <x:c r="D311" t="str">
        <x:v>Unconfirmed infrastructure trigger</x:v>
      </x:c>
      <x:c r="E311" t="str">
        <x:v>Reuters eyewitness report</x:v>
      </x:c>
      <x:c r="F311" t="str">
        <x:v>High-quality reporting; operational effect unconfirmed</x:v>
      </x:c>
      <x:c r="G311" s="44" t="str">
        <x:v>https://www.reuters.com/business/energy/fire-smoke-seen-near-aramco-facility-riyadh-witness-says-2026-10-03/</x:v>
      </x:c>
      <x:c r="H311" s="44" t="str">
        <x:v>Fire and a large smoke plume were observed at an Aramco refinery in Riyadh amid escalating Houthi attacks. At the scan cutoff, Saudi authorities and Aramco had not confirmed the cause, damage, outage or production effect.</x:v>
      </x:c>
      <x:c r="I311" s="44" t="str">
        <x:v>Trigger only</x:v>
      </x:c>
      <x:c r="J311" s="44" t="n">
        <x:v>3</x:v>
      </x:c>
      <x:c r="K311" s="44" t="str">
        <x:v>No throughput loss was verified, so this cannot advance a scarcity thesis or support an entry. Monitor official damage and operating-status disclosure.</x:v>
      </x:c>
    </x:row>
    <x:row r="312">
      <x:c r="A312" t="str">
        <x:v>EV-2026-307</x:v>
      </x:c>
      <x:c r="B312" t="str">
        <x:v>EEI-2026-003</x:v>
      </x:c>
      <x:c r="C312" s="21" t="d">
        <x:v>2026-10-03T12:18:27.000Z</x:v>
      </x:c>
      <x:c r="D312" t="str">
        <x:v>Mixed market confirmation</x:v>
      </x:c>
      <x:c r="E312" t="str">
        <x:v>Reuters / U.S. Labor Department / CME FedWatch</x:v>
      </x:c>
      <x:c r="F312" t="str">
        <x:v>High-quality reporting and official economic data</x:v>
      </x:c>
      <x:c r="G312" s="44" t="str">
        <x:v>https://www.reuters.com/business/wall-st-futures-gain-yields-oil-prices-ease-ahead-jobs-report-2026-10-02/</x:v>
      </x:c>
      <x:c r="H312" s="44" t="str">
        <x:v>September payrolls rose 29,000 versus a 90,000 consensus. The S&amp;P 500 gained 0.73%, Nasdaq 1.19% and Russell 2000 0.9%; advancers led on both exchanges and October hike odds fell to 22.7% from 64.2% a week earlier.</x:v>
      </x:c>
      <x:c r="I312" s="44" t="str">
        <x:v>Modestly strengthens breadth</x:v>
      </x:c>
      <x:c r="J312" s="44" t="n">
        <x:v>4</x:v>
      </x:c>
      <x:c r="K312" s="44" t="str">
        <x:v>Nasdaq and mega-cap leaders still drove the tape, weekly S&amp;P and Dow returns were negative, and the 10-year yield ended near 5.26%. One session does not activate EEI-2026-003.</x:v>
      </x:c>
    </x:row>
    <x:row r="313">
      <x:c r="A313" t="str">
        <x:v>EV-2026-308</x:v>
      </x:c>
      <x:c r="B313" t="str">
        <x:v>EEI-2026-003</x:v>
      </x:c>
      <x:c r="C313" s="21" t="d">
        <x:v>2026-10-03T12:18:27.000Z</x:v>
      </x:c>
      <x:c r="D313" t="str">
        <x:v>Senate-path confirmation</x:v>
      </x:c>
      <x:c r="E313" t="str">
        <x:v>Reuters / FEC / AAA</x:v>
      </x:c>
      <x:c r="F313" t="str">
        <x:v>High-quality reporting using primary campaign and price data</x:v>
      </x:c>
      <x:c r="G313" s="44" t="str">
        <x:v>https://www.reuters.com/world/us/trump-speak-ohio-rally-republicans-defend-senate-seat-close-race-2026-10-03/</x:v>
      </x:c>
      <x:c r="H313" s="44" t="str">
        <x:v>Reuters identified Ohio as one of eight competitive Senate races as Republicans defend a narrow majority. The race has drawn tens of millions in outside spending amid gasoline prices 35% above a year earlier and trade retaliation affecting Ohio exports.</x:v>
      </x:c>
      <x:c r="I313" s="44" t="str">
        <x:v>Strengthens political shift; no stage change</x:v>
      </x:c>
      <x:c r="J313" s="44" t="n">
        <x:v>4</x:v>
      </x:c>
      <x:c r="K313" s="44" t="str">
        <x:v>Competitive does not establish a Democratic pickup, and Trump won Ohio by more than 55% in 2024. EEI-2026-003 remains Strong / WAIT pending control and breadth confirmation.</x:v>
      </x:c>
    </x:row>
    <x:row r="314">
      <x:c r="A314" t="str">
        <x:v>EV-2026-309</x:v>
      </x:c>
      <x:c r="B314" t="str">
        <x:v>EEI-2026-012</x:v>
      </x:c>
      <x:c r="C314" s="21" t="d">
        <x:v>2026-10-03T12:18:27.000Z</x:v>
      </x:c>
      <x:c r="D314" t="str">
        <x:v>New government award confirmation</x:v>
      </x:c>
      <x:c r="E314" t="str">
        <x:v>RTX Raytheon</x:v>
      </x:c>
      <x:c r="F314" t="str">
        <x:v>Primary company award announcement</x:v>
      </x:c>
      <x:c r="G314" s="44" t="str">
        <x:v>https://www.rtx.com/news/news-center/2026/10/01/rtxs-raytheon-awarded-24-4-billion-multi-year-contract-for-sm-6-interceptors</x:v>
      </x:c>
      <x:c r="H314" s="44" t="str">
        <x:v>Recipient Raytheon, parent RTX, announced a new five-year Navy SM-6 interceptor contract with two option years and a potential ceiling of $24.4 billion. Award ID, initial obligation, current funded value, NAICS/PSC and competition status were not disclosed; announcement status is public and USAspending identification remains pending.</x:v>
      </x:c>
      <x:c r="I314" s="44" t="str">
        <x:v>Strongly strengthens production variable</x:v>
      </x:c>
      <x:c r="J314" s="44" t="n">
        <x:v>5</x:v>
      </x:c>
      <x:c r="K314" s="44" t="str">
        <x:v>The ceiling is material versus RTX scale but is not funded revenue. The same Raytheon capacity and funded-backlog mechanism supports EEI-2026-012 rather than a duplicate thesis.</x:v>
      </x:c>
    </x:row>
    <x:row r="315">
      <x:c r="A315" t="str">
        <x:v>EV-2026-310</x:v>
      </x:c>
      <x:c r="B315" t="str">
        <x:v>EEI-2026-012</x:v>
      </x:c>
      <x:c r="C315" s="21" t="d">
        <x:v>2026-10-03T12:18:27.000Z</x:v>
      </x:c>
      <x:c r="D315" t="str">
        <x:v>Independent award confirmation and funding contradiction</x:v>
      </x:c>
      <x:c r="E315" t="str">
        <x:v>Reuters</x:v>
      </x:c>
      <x:c r="F315" t="str">
        <x:v>Independent high-quality reporting</x:v>
      </x:c>
      <x:c r="G315" s="44" t="str">
        <x:v>https://www.reuters.com/business/aerospace-defense/us-navy-awards-rtxs-raytheon-244-billion-contract-standard-missile-6-amid-2026-10-01/</x:v>
      </x:c>
      <x:c r="H315" s="44" t="str">
        <x:v>Reuters independently confirmed the Navy award and its five-year plus two-option structure, but reported that Congress had not appropriated the funding needed for contractors to invest at scale.</x:v>
      </x:c>
      <x:c r="I315" s="44" t="str">
        <x:v>Raises confidence; limits funded materiality</x:v>
      </x:c>
      <x:c r="J315" s="44" t="n">
        <x:v>5</x:v>
      </x:c>
      <x:c r="K315" s="44" t="str">
        <x:v>Repeated large munitions ceilings establish demand direction. Unfunded ceilings, execution time and margin conversion prevent an Actionable upgrade.</x:v>
      </x:c>
    </x:row>
    <x:row r="316">
      <x:c r="A316" t="str">
        <x:v>EV-2026-311</x:v>
      </x:c>
      <x:c r="B316" t="str">
        <x:v>EEI-2026-012</x:v>
      </x:c>
      <x:c r="C316" s="21" t="d">
        <x:v>2026-10-03T12:18:27.000Z</x:v>
      </x:c>
      <x:c r="D316" t="str">
        <x:v>Market contradiction</x:v>
      </x:c>
      <x:c r="E316" t="str">
        <x:v>Barron's / market data</x:v>
      </x:c>
      <x:c r="F316" t="str">
        <x:v>Credible independent market reporting</x:v>
      </x:c>
      <x:c r="G316" s="44" t="str">
        <x:v>https://www.barrons.com/articles/rtx-northrup-grumman-stock-price-defense-67f2e429</x:v>
      </x:c>
      <x:c r="H316" s="44" t="str">
        <x:v>RTX fell about 0.5% on October 2 after the SM-6 award and was roughly 9% below its Iran-war level; the iShares Aerospace &amp; Defense ETF was down about 15% over that span.</x:v>
      </x:c>
      <x:c r="I316" s="44" t="str">
        <x:v>Confirms low trading edge</x:v>
      </x:c>
      <x:c r="J316" s="44" t="n">
        <x:v>4</x:v>
      </x:c>
      <x:c r="K316" s="44" t="str">
        <x:v>The muted reaction suggests the production push, funding risk and defense-budget uncertainty were already reflected. Entry Window remains WAIT.</x:v>
      </x:c>
    </x:row>
    <x:row r="317">
      <x:c r="A317" t="str">
        <x:v>EV-2026-312</x:v>
      </x:c>
      <x:c r="B317"/>
      <x:c r="C317" s="21" t="d">
        <x:v>2026-10-03T12:18:27.000Z</x:v>
      </x:c>
      <x:c r="D317" t="str">
        <x:v>Rejected Motley Fool trigger</x:v>
      </x:c>
      <x:c r="E317" t="str">
        <x:v>The Motley Fool — Rich Smith</x:v>
      </x:c>
      <x:c r="F317" t="str">
        <x:v>Trigger only; free editorial, published Oct. 3 at 7:07 a.m. ET</x:v>
      </x:c>
      <x:c r="G317" s="44" t="str">
        <x:v>https://www.fool.com/investing/2026/10/03/heres-who-won-the-drone-dominance-gauntlet-2-conte/</x:v>
      </x:c>
      <x:c r="H317" s="44" t="str">
        <x:v>The article estimated more than $300 million of Gauntlet 2 drone orders and identified NOC as a lethality provider; the author disclosed no position and Motley Fool disclosed a KTOS position/recommendation.</x:v>
      </x:c>
      <x:c r="I317" s="44" t="str">
        <x:v>Rejected as a public-equity thesis</x:v>
      </x:c>
      <x:c r="J317" s="44" t="n">
        <x:v>2</x:v>
      </x:c>
      <x:c r="K317" s="44" t="str">
        <x:v>Named production winners were private, no NOC contract value or obligation was disclosed, and the article relied on a specialist report rather than a primary award record. KTOS and RCAT appeared to have been eliminated from this round.</x:v>
      </x:c>
    </x:row>
    <x:row r="318">
      <x:c r="A318" t="str">
        <x:v>EV-2026-313</x:v>
      </x:c>
      <x:c r="B318"/>
      <x:c r="C318" s="21" t="d">
        <x:v>2026-10-03T12:18:27.000Z</x:v>
      </x:c>
      <x:c r="D318" t="str">
        <x:v>Rejected Motley Fool trigger</x:v>
      </x:c>
      <x:c r="E318" t="str">
        <x:v>The Motley Fool — Rich Smith</x:v>
      </x:c>
      <x:c r="F318" t="str">
        <x:v>Trigger only; free editorial, published Oct. 3 at 6:06 a.m. ET</x:v>
      </x:c>
      <x:c r="G318" s="44" t="str">
        <x:v>https://www.fool.com/investing/2026/10/03/nasa-just-saved-boeings-space-program/</x:v>
      </x:c>
      <x:c r="H318" s="44" t="str">
        <x:v>The article argued that NASA's Starliner plan and an asserted additional $359 million could revive Boeing's space program; the author disclosed no position and Motley Fool disclosed a Boeing position and recommendation.</x:v>
      </x:c>
      <x:c r="I318" s="44" t="str">
        <x:v>Rejected as a distinct thesis</x:v>
      </x:c>
      <x:c r="J318" s="44" t="n">
        <x:v>2</x:v>
      </x:c>
      <x:c r="K318" s="44" t="str">
        <x:v>NASA confirmed an uncrewed test and options for fifth and sixth missions, but its release did not state the $359 million figure. Boeing's filing shows $558 million of precontract costs and continuing fixed-price loss risk. The catalyst is immaterial beside company scale and does not alter EEI-2026-013.</x:v>
      </x:c>
    </x:row>
    <x:row r="319">
      <x:c r="A319" t="str">
        <x:v>EV-2026-314</x:v>
      </x:c>
      <x:c r="B319" t="str">
        <x:v>EEI-2026-014</x:v>
      </x:c>
      <x:c r="C319" s="21" t="d">
        <x:v>2026-10-03T12:18:27.000Z</x:v>
      </x:c>
      <x:c r="D319" t="str">
        <x:v>Motley Fool trigger follow-through</x:v>
      </x:c>
      <x:c r="E319" t="str">
        <x:v>The Motley Fool — Harsh Chauhan</x:v>
      </x:c>
      <x:c r="F319" t="str">
        <x:v>Trigger only; free editorial, published Oct. 3 at 6:47 a.m. ET</x:v>
      </x:c>
      <x:c r="G319" s="44" t="str">
        <x:v>https://www.fool.com/investing/2026/10/03/the-memory-boom-helped-micron-deliver-a-record-year-here-s-where-the-stock-will-be-in-3-years/</x:v>
      </x:c>
      <x:c r="H319" s="44" t="str">
        <x:v>The article repeated Micron's record fiscal 2026 results, tight-memory outlook and long-term agreements; the author disclosed no position and Motley Fool disclosed a Micron position and recommendation.</x:v>
      </x:c>
      <x:c r="I319" s="44" t="str">
        <x:v>No new confirmation</x:v>
      </x:c>
      <x:c r="J319" s="44" t="n">
        <x:v>2</x:v>
      </x:c>
      <x:c r="K319" s="44" t="str">
        <x:v>All material facts were already recorded from Micron and independent sources. The article is not confirmation and does not change EEI-2026-014's Strong / WAIT classification.</x:v>
      </x:c>
    </x:row>
    <x:row r="320">
      <x:c r="A320" t="str">
        <x:v>EV-2026-315</x:v>
      </x:c>
      <x:c r="B320"/>
      <x:c r="C320" s="21" t="d">
        <x:v>2026-10-03T12:18:27.000Z</x:v>
      </x:c>
      <x:c r="D320" t="str">
        <x:v>Rejected Motley Fool trigger cluster</x:v>
      </x:c>
      <x:c r="E320" t="str">
        <x:v>The Motley Fool — multiple authors</x:v>
      </x:c>
      <x:c r="F320" t="str">
        <x:v>Trigger only; free editorials published Oct. 3</x:v>
      </x:c>
      <x:c r="G320" s="44" t="str">
        <x:v>https://www.fool.com/investing-news/</x:v>
      </x:c>
      <x:c r="H320" s="44" t="str">
        <x:v>October 3 editorials promoted MRVL, PANW, broad pullback lists, quantum stocks and historical midterm seasonality. Authors and publication disclosed relevant positions and recommendations on individual pages; none was an identified paid-service recommendation.</x:v>
      </x:c>
      <x:c r="I320" s="44" t="str">
        <x:v>Rejected as distinct theses</x:v>
      </x:c>
      <x:c r="J320" s="44" t="n">
        <x:v>2</x:v>
      </x:c>
      <x:c r="K320" s="44" t="str">
        <x:v>MRVL repeated the already rejected Google/warrant theme; PANW and pullback lists lacked a new material catalyst; speculative quantum ideas lacked current fundamental confirmation; the midterm article used historical seasonality and is not political or market confirmation. BMY, LULU and AVAV had no new primary evidence changing their states.</x:v>
      </x:c>
    </x:row>
    <x:row r="321">
      <x:c r="A321" t="str">
        <x:v>EV-2026-316</x:v>
      </x:c>
      <x:c r="B321" t="str">
        <x:v>EEI-2026-009</x:v>
      </x:c>
      <x:c r="C321" s="21" t="d">
        <x:v>2026-10-04T12:19:00.000Z</x:v>
      </x:c>
      <x:c r="D321" t="str">
        <x:v>Geopolitical persistence confirmation</x:v>
      </x:c>
      <x:c r="E321" t="str">
        <x:v>Reuters / Iranian state media</x:v>
      </x:c>
      <x:c r="F321" t="str">
        <x:v>High-quality reporting quoting Iran's chief negotiator</x:v>
      </x:c>
      <x:c r="G321" s="44" t="str">
        <x:v>https://www.reuters.com/world/middle-east/iran-says-strait-hormuz-will-not-reopen-until-conditions-are-met-2026-10-04/</x:v>
      </x:c>
      <x:c r="H321" s="44" t="str">
        <x:v>Iran's parliament speaker and chief negotiator said Hormuz will not reopen until seven conditions in the June memorandum with the U.S. are met. Iran proposed a seven-day reopening process if those conditions are satisfied.</x:v>
      </x:c>
      <x:c r="I321" s="44" t="str">
        <x:v>Strengthens persistence; preserves diplomatic reversal risk</x:v>
      </x:c>
      <x:c r="J321" s="44" t="n">
        <x:v>4</x:v>
      </x:c>
      <x:c r="K321" s="44" t="str">
        <x:v>Explicit conditions reduce the chance of immediate normalization, but the stated seven-day process means a negotiated sequence could compress the premium quickly. EEI-2026-009 remains Actionable / WAIT.</x:v>
      </x:c>
    </x:row>
    <x:row r="322">
      <x:c r="A322" t="str">
        <x:v>EV-2026-317</x:v>
      </x:c>
      <x:c r="B322" t="str">
        <x:v>EEI-2026-009</x:v>
      </x:c>
      <x:c r="C322" s="21" t="d">
        <x:v>2026-10-04T12:19:00.000Z</x:v>
      </x:c>
      <x:c r="D322" t="str">
        <x:v>Supply-policy confirmation and contradiction</x:v>
      </x:c>
      <x:c r="E322" t="str">
        <x:v>Reuters / OPEC data</x:v>
      </x:c>
      <x:c r="F322" t="str">
        <x:v>High-quality reporting citing OPEC data and three sources</x:v>
      </x:c>
      <x:c r="G322" s="44" t="str">
        <x:v>https://www.reuters.com/business/energy/opec-agrees-principle-keep-november-oil-output-targets-steady-sources-say-2026-10-04/</x:v>
      </x:c>
      <x:c r="H322" s="44" t="str">
        <x:v>OPEC+ agreed in principle to hold November output targets steady. Seven core producers pumped about 25 million barrels per day in August, up 630,000 month over month but still roughly 5 million below February prewar output; most planned 2026 increases remained on paper.</x:v>
      </x:c>
      <x:c r="I322" s="44" t="str">
        <x:v>Supports tight supply; mixed direction</x:v>
      </x:c>
      <x:c r="J322" s="44" t="n">
        <x:v>4</x:v>
      </x:c>
      <x:c r="K322" s="44" t="str">
        <x:v>The large output gap supports scarcity, while rising August output and the G7 stock release are normalization counterweights. No Sunday price confirmation was available.</x:v>
      </x:c>
    </x:row>
    <x:row r="323">
      <x:c r="A323" t="str">
        <x:v>EV-2026-318</x:v>
      </x:c>
      <x:c r="B323" t="str">
        <x:v>EEI-2026-011</x:v>
      </x:c>
      <x:c r="C323" s="21" t="d">
        <x:v>2026-10-04T12:19:00.000Z</x:v>
      </x:c>
      <x:c r="D323" t="str">
        <x:v>Geopolitical escalation confirmation</x:v>
      </x:c>
      <x:c r="E323" t="str">
        <x:v>Reuters / Yemen Presidential Leadership Council</x:v>
      </x:c>
      <x:c r="F323" t="str">
        <x:v>High-quality reporting quoting the Saudi-backed council head</x:v>
      </x:c>
      <x:c r="G323" s="44" t="str">
        <x:v>https://www.reuters.com/world/asia-pacific/head-yemens-presidential-council-announces-military-operations-retake-territory-2026-10-04/</x:v>
      </x:c>
      <x:c r="H323" s="44" t="str">
        <x:v>The head of Yemen's Saudi-backed presidential council announced the start of military operations to retake remaining Houthi-held territory and restore state authority.</x:v>
      </x:c>
      <x:c r="I323" s="44" t="str">
        <x:v>Materially strengthens route risk</x:v>
      </x:c>
      <x:c r="J323" s="44" t="n">
        <x:v>4</x:v>
      </x:c>
      <x:c r="K323" s="44" t="str">
        <x:v>The announcement converts the prior reported plan into active operations, but force size, exact objectives, timing and shipping effects were not disclosed. EEI-2026-011 remains Strong / WAIT.</x:v>
      </x:c>
    </x:row>
    <x:row r="324">
      <x:c r="A324" t="str">
        <x:v>EV-2026-319</x:v>
      </x:c>
      <x:c r="B324" t="str">
        <x:v>EEI-2026-011</x:v>
      </x:c>
      <x:c r="C324" s="21" t="d">
        <x:v>2026-10-04T12:19:00.000Z</x:v>
      </x:c>
      <x:c r="D324" t="str">
        <x:v>Infrastructure-attack claim</x:v>
      </x:c>
      <x:c r="E324" t="str">
        <x:v>Reuters / Houthi statement and eyewitness</x:v>
      </x:c>
      <x:c r="F324" t="str">
        <x:v>High-quality reporting; official Saudi and company confirmation absent</x:v>
      </x:c>
      <x:c r="G324" s="44" t="str">
        <x:v>https://www.reuters.com/business/energy/fire-smoke-seen-near-aramco-facility-riyadh-witness-says-2026-10-03/</x:v>
      </x:c>
      <x:c r="H324" s="44" t="str">
        <x:v>The Houthis claimed ballistic-missile and drone responsibility for the fire near an Aramco refinery in Riyadh. Reuters images and a witness confirmed fire and smoke, but Saudi authorities and Aramco did not confirm an attack or operating effect.</x:v>
      </x:c>
      <x:c r="I324" s="44" t="str">
        <x:v>Strengthens threat; no verified outage</x:v>
      </x:c>
      <x:c r="J324" s="44" t="n">
        <x:v>3</x:v>
      </x:c>
      <x:c r="K324" s="44" t="str">
        <x:v>A responsibility claim is stronger than the prior unexplained fire, but no damage, throughput loss, freight or price confirmation exists. Do not treat the claim as production loss.</x:v>
      </x:c>
    </x:row>
    <x:row r="325">
      <x:c r="A325" t="str">
        <x:v>EV-2026-320</x:v>
      </x:c>
      <x:c r="B325" t="str">
        <x:v>EEI-2026-015</x:v>
      </x:c>
      <x:c r="C325" s="21" t="d">
        <x:v>2026-10-04T12:19:00.000Z</x:v>
      </x:c>
      <x:c r="D325" t="str">
        <x:v>Government-financing trigger</x:v>
      </x:c>
      <x:c r="E325" t="str">
        <x:v>Reuters</x:v>
      </x:c>
      <x:c r="F325" t="str">
        <x:v>High-quality reporting based on one anonymous source</x:v>
      </x:c>
      <x:c r="G325" s="44" t="str">
        <x:v>https://www.reuters.com/legal/litigation/us-lend-42-billion-vistra-boost-nuclear-power-output-source-says-2026-10-03/</x:v>
      </x:c>
      <x:c r="H325" s="44" t="str">
        <x:v>Reuters reported a planned U.S. loan of about $4.2 billion to Vistra for uprates at at least three nuclear stations, with an Energy Department announcement expected October 5. Recipient: Vistra Corp.; action: planned federal loan; potential value: about $4.2 billion; current commitment and obligation: unconfirmed; award ID, NAICS/PSC, term, competition and period of performance: undisclosed; announcement status: reported, not official.</x:v>
      </x:c>
      <x:c r="I325" s="44" t="str">
        <x:v>Opens EEI-2026-015 as Hypothesis</x:v>
      </x:c>
      <x:c r="J325" s="44" t="n">
        <x:v>4</x:v>
      </x:c>
      <x:c r="K325" s="44" t="str">
        <x:v>DOE and Vistra did not comment. Materiality is high versus annual free cash flow and capital spending, but the amount and binding status require primary confirmation and no market session has tested expectations.</x:v>
      </x:c>
    </x:row>
    <x:row r="326">
      <x:c r="A326" t="str">
        <x:v>EV-2026-321</x:v>
      </x:c>
      <x:c r="B326" t="str">
        <x:v>EEI-2026-015</x:v>
      </x:c>
      <x:c r="C326" s="21" t="d">
        <x:v>2026-10-04T12:19:00.000Z</x:v>
      </x:c>
      <x:c r="D326" t="str">
        <x:v>Primary project confirmation</x:v>
      </x:c>
      <x:c r="E326" t="str">
        <x:v>U.S. Department of Energy</x:v>
      </x:c>
      <x:c r="F326" t="str">
        <x:v>Primary government environmental notice</x:v>
      </x:c>
      <x:c r="G326" s="44" t="str">
        <x:v>https://www.energy.gov/edf/edf-environmental-notices</x:v>
      </x:c>
      <x:c r="H326" s="44" t="str">
        <x:v>DOE lists a September 15-October 15 NHPA Section 106 finding of no effect for the Vistra Perry Nuclear Power Plant uprate project and identifies it as a proposed federal loan-guarantee review.</x:v>
      </x:c>
      <x:c r="I326" s="44" t="str">
        <x:v>Confirms project review, not award</x:v>
      </x:c>
      <x:c r="J326" s="44" t="n">
        <x:v>4</x:v>
      </x:c>
      <x:c r="K326" s="44" t="str">
        <x:v>The notice does not confirm a $4.2 billion commitment, binding terms, MW uplift, interest rate, maturity, obligation or multi-station scope. It supports the project mechanism but not the reported award amount.</x:v>
      </x:c>
    </x:row>
    <x:row r="327">
      <x:c r="A327" t="str">
        <x:v>EV-2026-322</x:v>
      </x:c>
      <x:c r="B327" t="str">
        <x:v>EEI-2026-015</x:v>
      </x:c>
      <x:c r="C327" s="21" t="d">
        <x:v>2026-10-04T12:19:00.000Z</x:v>
      </x:c>
      <x:c r="D327" t="str">
        <x:v>Primary financial and operating context</x:v>
      </x:c>
      <x:c r="E327" t="str">
        <x:v>Vistra / SEC</x:v>
      </x:c>
      <x:c r="F327" t="str">
        <x:v>Primary company filing and earnings release</x:v>
      </x:c>
      <x:c r="G327" s="44" t="str">
        <x:v>https://www.sec.gov/Archives/edgar/data/1692819/000169281926000017/vistra-20260630xearningsre.htm</x:v>
      </x:c>
      <x:c r="H327" s="44" t="str">
        <x:v>Vistra reported Q2 adjusted EBITDA of $1.77 billion, 2026 adjusted FCF-before-growth guidance of $3.93-$4.73 billion, $6.30 billion of liquidity and six-month operating cash flow of $2.22 billion. Expected generation was hedged about 100% for 2026, 94% for 2027 and 72% for 2028.</x:v>
      </x:c>
      <x:c r="I327" s="44" t="str">
        <x:v>Supports capacity; limits near-term price leverage</x:v>
      </x:c>
      <x:c r="J327" s="44" t="n">
        <x:v>4</x:v>
      </x:c>
      <x:c r="K327" s="44" t="str">
        <x:v>The balance sheet and cash flow can support execution, but heavy hedging limits immediate merchant-price sensitivity. Incremental MW, capex, financing cost and returns are unknown.</x:v>
      </x:c>
    </x:row>
    <x:row r="328">
      <x:c r="A328" t="str">
        <x:v>EV-2026-323</x:v>
      </x:c>
      <x:c r="B328"/>
      <x:c r="C328" s="21" t="d">
        <x:v>2026-10-04T12:19:00.000Z</x:v>
      </x:c>
      <x:c r="D328" t="str">
        <x:v>Rejected Motley Fool trigger</x:v>
      </x:c>
      <x:c r="E328" t="str">
        <x:v>The Motley Fool — Daniel Sparks</x:v>
      </x:c>
      <x:c r="F328" t="str">
        <x:v>Trigger only; free editorial published Oct. 4; author and clients disclosed no position; Motley Fool disclosed ADBE shares and options</x:v>
      </x:c>
      <x:c r="G328" s="44" t="str">
        <x:v>https://www.fool.com/investing/2026/10/04/adobe-still-has-usd24-5-billion-left-for-buybacks-that-s-about-a-quarter-of-the-company/</x:v>
      </x:c>
      <x:c r="H328" s="44" t="str">
        <x:v>The article argued Adobe's $24.55 billion remaining repurchase authority and roughly 10-times adjusted earnings valuation could lift per-share results if subscription growth persists. SEC filings confirm the authorization, cash-funded repurchases and share-count decline.</x:v>
      </x:c>
      <x:c r="I328" s="44" t="str">
        <x:v>Rejected as a new thesis</x:v>
      </x:c>
      <x:c r="J328" s="44" t="n">
        <x:v>3</x:v>
      </x:c>
      <x:c r="K328" s="44" t="str">
        <x:v>The authorization dates to April and Q3 facts were public September 10. Buybacks consumed close to operating cash flow, employee awards offset some shares, ARR growth is slowing and AI pricing-power risk remains. The piece repackages known facts rather than identifying a new catalyst.</x:v>
      </x:c>
    </x:row>
    <x:row r="329">
      <x:c r="A329" t="str">
        <x:v>EV-2026-324</x:v>
      </x:c>
      <x:c r="B329"/>
      <x:c r="C329" s="21" t="d">
        <x:v>2026-10-04T12:19:00.000Z</x:v>
      </x:c>
      <x:c r="D329" t="str">
        <x:v>Rejected Motley Fool trigger</x:v>
      </x:c>
      <x:c r="E329" t="str">
        <x:v>The Motley Fool — Lee Samaha</x:v>
      </x:c>
      <x:c r="F329" t="str">
        <x:v>Trigger only; free editorial published Oct. 4; author disclosed no position; Motley Fool disclosed a FIX position and recommendation</x:v>
      </x:c>
      <x:c r="G329" s="44" t="str">
        <x:v>https://www.fool.com/investing/2026/10/04/comfort-systems-usa-stock-crushing-market/</x:v>
      </x:c>
      <x:c r="H329" s="44" t="str">
        <x:v>The article highlighted FIX's $14.06 billion Q2 backlog and AI-data-center exposure. Company and SEC records confirm Q2 revenue rose 50%, EPS 92% and backlog 73% year over year.</x:v>
      </x:c>
      <x:c r="I329" s="44" t="str">
        <x:v>Rejected on catalyst and entry</x:v>
      </x:c>
      <x:c r="J329" s="44" t="n">
        <x:v>3</x:v>
      </x:c>
      <x:c r="K329" s="44" t="str">
        <x:v>The evidence is strong but two months old. FIX had risen 77% in 2026 and 871% over three years; short-duration backlog and hyperscaler concentration remain risks. No new catalyst or non-chasing entry justified a thesis.</x:v>
      </x:c>
    </x:row>
    <x:row r="330">
      <x:c r="A330" t="str">
        <x:v>EV-2026-325</x:v>
      </x:c>
      <x:c r="B330"/>
      <x:c r="C330" s="21" t="d">
        <x:v>2026-10-04T12:19:00.000Z</x:v>
      </x:c>
      <x:c r="D330" t="str">
        <x:v>Rejected Motley Fool trigger</x:v>
      </x:c>
      <x:c r="E330" t="str">
        <x:v>The Motley Fool — Reuben Gregg Brewer</x:v>
      </x:c>
      <x:c r="F330" t="str">
        <x:v>Trigger only; free editorial published Oct. 4 at 7:15 a.m. ET; author disclosed no position; Motley Fool disclosed a CVX position and recommendation</x:v>
      </x:c>
      <x:c r="G330" s="44" t="str">
        <x:v>https://www.fool.com/investing/2026/10/04/why-this-oil-giant-keeps-betting-on-countries-ever/</x:v>
      </x:c>
      <x:c r="H330" s="44" t="str">
        <x:v>The article favored Chevron's long-duration investment in Venezuela, Iraq and the Middle East and cited a low debt-to-equity ratio. Chevron's primary records confirm the Venezuela expansion and prior Iraq discussions.</x:v>
      </x:c>
      <x:c r="I330" s="44" t="str">
        <x:v>Rejected as distinct energy thesis</x:v>
      </x:c>
      <x:c r="J330" s="44" t="n">
        <x:v>2</x:v>
      </x:c>
      <x:c r="K330" s="44" t="str">
        <x:v>The investments were already public, have multi-year country and execution risk, and do not provide new physical confirmation or entry evidence for the existing energy theses. CVX was near its 52-week high.</x:v>
      </x:c>
    </x:row>
    <x:row r="331">
      <x:c r="A331" t="str">
        <x:v>EV-2026-326</x:v>
      </x:c>
      <x:c r="B331"/>
      <x:c r="C331" s="21" t="d">
        <x:v>2026-10-04T12:19:00.000Z</x:v>
      </x:c>
      <x:c r="D331" t="str">
        <x:v>Rejected Motley Fool trigger</x:v>
      </x:c>
      <x:c r="E331" t="str">
        <x:v>The Motley Fool — Rich Smith</x:v>
      </x:c>
      <x:c r="F331" t="str">
        <x:v>Trigger only; free editorial published Oct. 4; negative RKLB commentary</x:v>
      </x:c>
      <x:c r="G331" s="44" t="str">
        <x:v>https://www.fool.com/investing/2026/10/04/spacex-isnt-rocket-labs-big-threat-its-blue-origin/</x:v>
      </x:c>
      <x:c r="H331" s="44" t="str">
        <x:v>The article described Rocket Lab's September 11 protest of NASA's reported $700 million Mars Telecommunications Network selection of private Blue Origin and possible litigation timing.</x:v>
      </x:c>
      <x:c r="I331" s="44" t="str">
        <x:v>Rejected as investable signal</x:v>
      </x:c>
      <x:c r="J331" s="44" t="n">
        <x:v>2</x:v>
      </x:c>
      <x:c r="K331" s="44" t="str">
        <x:v>The award and protest were weeks old, Blue Origin is private, and the article is a bear-case discussion rather than a supported new public-equity catalyst. No separate RKLB thesis was opened.</x:v>
      </x:c>
    </x:row>
    <x:row r="332">
      <x:c r="A332" t="str">
        <x:v>EV-2026-327</x:v>
      </x:c>
      <x:c r="B332"/>
      <x:c r="C332" s="21" t="d">
        <x:v>2026-10-04T12:19:00.000Z</x:v>
      </x:c>
      <x:c r="D332" t="str">
        <x:v>Rejected Motley Fool trigger cluster</x:v>
      </x:c>
      <x:c r="E332" t="str">
        <x:v>The Motley Fool — multiple authors</x:v>
      </x:c>
      <x:c r="F332" t="str">
        <x:v>Trigger only; free editorials published Oct. 4</x:v>
      </x:c>
      <x:c r="G332" s="44" t="str">
        <x:v>https://www.fool.com/investing-news/</x:v>
      </x:c>
      <x:c r="H332" s="44" t="str">
        <x:v>Other October 4 editorials promoted HOOD, ADA, COST, KO, software and crash-protection ideas. Individual pages disclosed author and publication positions or recommendations; none was identified as an official paid-service pick.</x:v>
      </x:c>
      <x:c r="I332" s="44" t="str">
        <x:v>Rejected as distinct theses</x:v>
      </x:c>
      <x:c r="J332" s="44" t="n">
        <x:v>2</x:v>
      </x:c>
      <x:c r="K332" s="44" t="str">
        <x:v>The pieces relied on existing business narratives, historical market patterns, upcoming routine reports or promotional valuation framing rather than new material primary catalysts. BMY, LULU and AVAV had no new primary evidence changing their states.</x:v>
      </x:c>
    </x:row>
    <x:row r="333">
      <x:c r="A333" t="str">
        <x:v>EV-2026-328</x:v>
      </x:c>
      <x:c r="B333" t="str">
        <x:v>EEI-2026-011</x:v>
      </x:c>
      <x:c r="C333" s="21" t="d">
        <x:v>2026-10-05T12:57:00.000Z</x:v>
      </x:c>
      <x:c r="D333" t="str">
        <x:v>Physical-flow and attack confirmation</x:v>
      </x:c>
      <x:c r="E333" t="str">
        <x:v>Reuters / Kpler / Vortexa / UKMTO</x:v>
      </x:c>
      <x:c r="F333" t="str">
        <x:v>High-quality factual reporting using shipping data and official maritime reporting</x:v>
      </x:c>
      <x:c r="G333" s="44" t="str">
        <x:v>https://www.reuters.com/business/energy/middle-east-crude-oil-exports-exceed-pre-war-levels-tanker-attacks-increase-2026-10-05/</x:v>
      </x:c>
      <x:c r="H333" s="44" t="str">
        <x:v>Gulf crude exports reached or exceeded prewar averages while at least seven tanker incidents occurred in the prior week. Ship-to-ship transfer capacity was described as near its limits, and LNG cargoes reached their highest monthly count since February.</x:v>
      </x:c>
      <x:c r="I333" s="44" t="str">
        <x:v>Strongly confirms logistics mechanism; contradicts simple crude shortage</x:v>
      </x:c>
      <x:c r="J333" s="44" t="n">
        <x:v>5</x:v>
      </x:c>
      <x:c r="K333" s="44" t="str">
        <x:v>High flows and high attack frequency jointly support vessel scarcity and transfer congestion. The export normalization weakens the crude-supply leg of EEI-2026-009 but strengthens EEI-2026-011.</x:v>
      </x:c>
    </x:row>
    <x:row r="334">
      <x:c r="A334" t="str">
        <x:v>EV-2026-329</x:v>
      </x:c>
      <x:c r="B334" t="str">
        <x:v>EEI-2026-011</x:v>
      </x:c>
      <x:c r="C334" s="21" t="d">
        <x:v>2026-10-05T12:57:00.000Z</x:v>
      </x:c>
      <x:c r="D334" t="str">
        <x:v>Freight economics confirmation</x:v>
      </x:c>
      <x:c r="E334" t="str">
        <x:v>Reuters Open Interest / Poten &amp; Partners / Energy Aspects</x:v>
      </x:c>
      <x:c r="F334" t="str">
        <x:v>Data-rich Reuters commentary; factual freight and flow inputs separated from author opinion</x:v>
      </x:c>
      <x:c r="G334" s="44" t="str">
        <x:v>https://www.reuters.com/commentary/reuters-open-interest/oils-new-problem-isnt-supply-its-logistics-2026-10-05/</x:v>
      </x:c>
      <x:c r="H334" s="44" t="str">
        <x:v>Middle East-to-Asia VLCC rates exceeded $1.2 million per day versus roughly $30,000 in January; freight approached 27% of delivered-barrel cost versus about 3% previously. Hormuz flows recovered to about 80% of prewar levels while rerouting and shuttle networks tied up vessels.</x:v>
      </x:c>
      <x:c r="I334" s="44" t="str">
        <x:v>Promotes EEI-2026-011 to Actionable</x:v>
      </x:c>
      <x:c r="J334" s="44" t="n">
        <x:v>5</x:v>
      </x:c>
      <x:c r="K334" s="44" t="str">
        <x:v>The physical variable, mechanism and realized economics are now confirmed. Reuters opinion framing is not used as proof; cited freight and flow data provide the confirmation.</x:v>
      </x:c>
    </x:row>
    <x:row r="335">
      <x:c r="A335" t="str">
        <x:v>EV-2026-330</x:v>
      </x:c>
      <x:c r="B335" t="str">
        <x:v>EEI-2026-009</x:v>
      </x:c>
      <x:c r="C335" s="21" t="d">
        <x:v>2026-10-05T12:57:00.000Z</x:v>
      </x:c>
      <x:c r="D335" t="str">
        <x:v>Normalization contradiction</x:v>
      </x:c>
      <x:c r="E335" t="str">
        <x:v>Reuters / Kpler / Vortexa</x:v>
      </x:c>
      <x:c r="F335" t="str">
        <x:v>High-quality reporting and observable market data</x:v>
      </x:c>
      <x:c r="G335" s="44" t="str">
        <x:v>https://www.reuters.com/business/energy/middle-east-crude-oil-exports-exceed-pre-war-levels-tanker-attacks-increase-2026-10-05/</x:v>
      </x:c>
      <x:c r="H335" s="44" t="str">
        <x:v>Seven- and fourteen-day Gulf export averages exceeded prewar norms and oil prices eased as the G7 prepared a 100-million-barrel stock release.</x:v>
      </x:c>
      <x:c r="I335" s="44" t="str">
        <x:v>Weakens broad crude scarcity; refined-product thesis remains</x:v>
      </x:c>
      <x:c r="J335" s="44" t="n">
        <x:v>4</x:v>
      </x:c>
      <x:c r="K335" s="44" t="str">
        <x:v>EEI-2026-009 remains Actionable / WAIT because diesel and logistics constraints persist, but the best-supported variable is refined-product availability rather than outright crude volume.</x:v>
      </x:c>
    </x:row>
    <x:row r="336">
      <x:c r="A336" t="str">
        <x:v>EV-2026-331</x:v>
      </x:c>
      <x:c r="B336" t="str">
        <x:v>EEI-2026-003</x:v>
      </x:c>
      <x:c r="C336" s="21" t="d">
        <x:v>2026-10-05T12:57:00.000Z</x:v>
      </x:c>
      <x:c r="D336" t="str">
        <x:v>Economic and political context</x:v>
      </x:c>
      <x:c r="E336" t="str">
        <x:v>Reuters</x:v>
      </x:c>
      <x:c r="F336" t="str">
        <x:v>High-quality reporting using official labor and income data</x:v>
      </x:c>
      <x:c r="G336" s="44" t="str">
        <x:v>https://www.reuters.com/world/us/us-goes-into-midterm-elections-with-less-dynamic-form-full-employment-2026-10-05/</x:v>
      </x:c>
      <x:c r="H336" s="44" t="str">
        <x:v>U.S. unemployment remained 4.2%, but hiring momentum, confidence and real disposable-income growth were weak, inflation offset wage gains and manufacturing employment remained below January 2025.</x:v>
      </x:c>
      <x:c r="I336" s="44" t="str">
        <x:v>Supports voter dissatisfaction; no control confirmation</x:v>
      </x:c>
      <x:c r="J336" s="44" t="n">
        <x:v>3</x:v>
      </x:c>
      <x:c r="K336" s="44" t="str">
        <x:v>The backdrop can raise incumbent vulnerability, but it does not independently establish House or Senate control or provide market-breadth confirmation. EEI-2026-003 remains Strong / WAIT.</x:v>
      </x:c>
    </x:row>
    <x:row r="337">
      <x:c r="A337" t="str">
        <x:v>EV-2026-332</x:v>
      </x:c>
      <x:c r="B337" t="str">
        <x:v>EEI-2026-015</x:v>
      </x:c>
      <x:c r="C337" s="21" t="d">
        <x:v>2026-10-05T12:57:00.000Z</x:v>
      </x:c>
      <x:c r="D337" t="str">
        <x:v>Primary project and offtake confirmation</x:v>
      </x:c>
      <x:c r="E337" t="str">
        <x:v>Vistra / SEC / Meta</x:v>
      </x:c>
      <x:c r="F337" t="str">
        <x:v>Primary issuer release and SEC filing</x:v>
      </x:c>
      <x:c r="G337" s="44" t="str">
        <x:v>https://investor.vistracorp.com/2026-01-09-Vistra-and-Meta-Announce-Agreements-to-Support-Nuclear-Plants-in-PJM-and-Add-New-Nuclear-Generation-to-the-Grid</x:v>
      </x:c>
      <x:c r="H337" s="44" t="str">
        <x:v>Twenty-year PPAs cover 2,176 MW of operating nuclear capacity and 433 MW of incremental uprates: Perry 213 MW, Davis-Besse 80 MW and Beaver Valley 140 MW, with additions expected through 2034.</x:v>
      </x:c>
      <x:c r="I337" s="44" t="str">
        <x:v>Promotes EEI-2026-015 to Developing</x:v>
      </x:c>
      <x:c r="J337" s="44" t="n">
        <x:v>5</x:v>
      </x:c>
      <x:c r="K337" s="44" t="str">
        <x:v>The output quantum and revenue counterparty are confirmed independently of the reported loan. The program predates the October report, so financing may accelerate or cheapen known work rather than add new MW.</x:v>
      </x:c>
    </x:row>
    <x:row r="338">
      <x:c r="A338" t="str">
        <x:v>EV-2026-333</x:v>
      </x:c>
      <x:c r="B338" t="str">
        <x:v>EEI-2026-015</x:v>
      </x:c>
      <x:c r="C338" s="21" t="d">
        <x:v>2026-10-05T12:57:00.000Z</x:v>
      </x:c>
      <x:c r="D338" t="str">
        <x:v>Financing and market modifier</x:v>
      </x:c>
      <x:c r="E338" t="str">
        <x:v>Vistra SEC filing / independent market reporting</x:v>
      </x:c>
      <x:c r="F338" t="str">
        <x:v>Primary financing record plus observable premarket reaction</x:v>
      </x:c>
      <x:c r="G338" s="44" t="str">
        <x:v>https://www.sec.gov/Archives/edgar/data/1692819/000114036126037577/ef20082680_8k.htm</x:v>
      </x:c>
      <x:c r="H338" s="44" t="str">
        <x:v>Vistra recently issued $1.5 billion of junior subordinated notes at 7.0% and 7.25%. VST rose roughly 6% premarket on the loan report, while official federal-loan amount, rate, maturity and covenants remained unpublished at the scan cutoff.</x:v>
      </x:c>
      <x:c r="I338" s="44" t="str">
        <x:v>Supports financing materiality; raises entry risk</x:v>
      </x:c>
      <x:c r="J338" s="44" t="n">
        <x:v>4</x:v>
      </x:c>
      <x:c r="K338" s="44" t="str">
        <x:v>A cheaper federal loan could matter economically, but the stock reaction and known uprate plan create headline-chasing risk. Entry Window remains WAIT.</x:v>
      </x:c>
    </x:row>
    <x:row r="339">
      <x:c r="A339" t="str">
        <x:v>EV-2026-334</x:v>
      </x:c>
      <x:c r="B339" t="str">
        <x:v>EEI-2026-016</x:v>
      </x:c>
      <x:c r="C339" s="21" t="d">
        <x:v>2026-10-05T12:57:00.000Z</x:v>
      </x:c>
      <x:c r="D339" t="str">
        <x:v>Primary corporate licensing confirmation</x:v>
      </x:c>
      <x:c r="E339" t="str">
        <x:v>Alector / SEC / Genentech</x:v>
      </x:c>
      <x:c r="F339" t="str">
        <x:v>Primary issuer exhibit filed with the SEC</x:v>
      </x:c>
      <x:c r="G339" s="44" t="str">
        <x:v>https://www.sec.gov/Archives/edgar/data/1653087/000119312526413090/alec-ex99_01.htm</x:v>
      </x:c>
      <x:c r="H339" s="44" t="str">
        <x:v>Genentech agreed to pay Alector $100 million upfront, up to $1.17 billion in contingent milestones and tiered royalties for worldwide AL050 rights, while assuming development, manufacturing and commercialization. Alector said the payment extends runway into 2029.</x:v>
      </x:c>
      <x:c r="I339" s="44" t="str">
        <x:v>Opens EEI-2026-016 as Developing</x:v>
      </x:c>
      <x:c r="J339" s="44" t="n">
        <x:v>5</x:v>
      </x:c>
      <x:c r="K339" s="44" t="str">
        <x:v>The upfront payment and responsibility transfer are binding economic terms subject to closing; milestone headline value is not treated as current value.</x:v>
      </x:c>
    </x:row>
    <x:row r="340">
      <x:c r="A340" t="str">
        <x:v>EV-2026-335</x:v>
      </x:c>
      <x:c r="B340" t="str">
        <x:v>EEI-2026-016</x:v>
      </x:c>
      <x:c r="C340" s="21" t="d">
        <x:v>2026-10-05T12:57:00.000Z</x:v>
      </x:c>
      <x:c r="D340" t="str">
        <x:v>Primary financial materiality check</x:v>
      </x:c>
      <x:c r="E340" t="str">
        <x:v>Alector SEC filing</x:v>
      </x:c>
      <x:c r="F340" t="str">
        <x:v>Primary quarterly filing</x:v>
      </x:c>
      <x:c r="G340" s="44" t="str">
        <x:v>https://www.sec.gov/Archives/edgar/data/1653087/000119312526338052/alec-20260630.htm</x:v>
      </x:c>
      <x:c r="H340" s="44" t="str">
        <x:v>Alector reported $172.8 million of cash and marketable securities at June 30, modest collaboration revenue and continuing losses. The $100 million upfront payment is therefore material to liquidity and funding risk.</x:v>
      </x:c>
      <x:c r="I340" s="44" t="str">
        <x:v>Confirms economic variable</x:v>
      </x:c>
      <x:c r="J340" s="44" t="n">
        <x:v>5</x:v>
      </x:c>
      <x:c r="K340" s="44" t="str">
        <x:v>The payment improves runway but does not eliminate burn, clinical failure or future dilution risk.</x:v>
      </x:c>
    </x:row>
    <x:row r="341">
      <x:c r="A341" t="str">
        <x:v>EV-2026-336</x:v>
      </x:c>
      <x:c r="B341" t="str">
        <x:v>EEI-2026-016</x:v>
      </x:c>
      <x:c r="C341" s="21" t="d">
        <x:v>2026-10-05T12:57:00.000Z</x:v>
      </x:c>
      <x:c r="D341" t="str">
        <x:v>Independent confirmation and market reaction</x:v>
      </x:c>
      <x:c r="E341" t="str">
        <x:v>Reuters</x:v>
      </x:c>
      <x:c r="F341" t="str">
        <x:v>High-quality independent reporting</x:v>
      </x:c>
      <x:c r="G341" s="44" t="str">
        <x:v>https://www.reuters.com/legal/litigation/alector-soars-roche-licenses-parkinsons-therapy-up-127-billion-2026-10-05/</x:v>
      </x:c>
      <x:c r="H341" s="44" t="str">
        <x:v>Reuters independently confirmed the Genentech license and reported an initial premarket gain of roughly 72%, later moderating in updated market reports.</x:v>
      </x:c>
      <x:c r="I341" s="44" t="str">
        <x:v>Confirms materiality; entry remains WAIT</x:v>
      </x:c>
      <x:c r="J341" s="44" t="n">
        <x:v>4</x:v>
      </x:c>
      <x:c r="K341" s="44" t="str">
        <x:v>The gap validates materiality but worsens reward-to-invalidation and creates headline-chasing risk before regular-session price discovery.</x:v>
      </x:c>
    </x:row>
    <x:row r="342">
      <x:c r="A342" t="str">
        <x:v>EV-2026-337</x:v>
      </x:c>
      <x:c r="B342"/>
      <x:c r="C342" s="21" t="d">
        <x:v>2026-10-05T12:57:00.000Z</x:v>
      </x:c>
      <x:c r="D342" t="str">
        <x:v>Rejected Motley Fool trigger cluster</x:v>
      </x:c>
      <x:c r="E342" t="str">
        <x:v>The Motley Fool — James Brumley</x:v>
      </x:c>
      <x:c r="F342" t="str">
        <x:v>Trigger only; free editorial published October 5 at 8:24 a.m. ET; not represented as an official paid-service recommendation; author disclosed Alphabet ownership and publication disclosed related positions/recommendations</x:v>
      </x:c>
      <x:c r="G342" s="44" t="str">
        <x:v>https://www.fool.com/investing/2026/10/05/here-are-my-top-4-stocks-to-buy-in-october/</x:v>
      </x:c>
      <x:c r="H342" s="44" t="str">
        <x:v>The article promoted VKTX, GOOGL, SOFI and MELI using upcoming earnings, trial optionality and long-run growth narratives.</x:v>
      </x:c>
      <x:c r="I342" s="44" t="str">
        <x:v>Rejected as distinct theses</x:v>
      </x:c>
      <x:c r="J342" s="44" t="n">
        <x:v>2</x:v>
      </x:c>
      <x:c r="K342" s="44" t="str">
        <x:v>No new material primary catalyst was identified. Routine upcoming events and existing narratives do not clear the methodology's independent-confirmation and trading-edge thresholds.</x:v>
      </x:c>
    </x:row>
    <x:row r="343">
      <x:c r="A343" t="str">
        <x:v>EV-2026-338</x:v>
      </x:c>
      <x:c r="B343"/>
      <x:c r="C343" s="21" t="d">
        <x:v>2026-10-05T12:57:00.000Z</x:v>
      </x:c>
      <x:c r="D343" t="str">
        <x:v>Rejected Motley Fool trigger cluster</x:v>
      </x:c>
      <x:c r="E343" t="str">
        <x:v>The Motley Fool — John Ballard, David Jagielski, Eric Volkman and Jeff Siegel</x:v>
      </x:c>
      <x:c r="F343" t="str">
        <x:v>Trigger only; free editorials published October 5; none represented as an official paid-service recommendation; article-specific disclosures reviewed</x:v>
      </x:c>
      <x:c r="G343" s="44" t="str">
        <x:v>https://www.fool.com/investing-news/</x:v>
      </x:c>
      <x:c r="H343" s="44" t="str">
        <x:v>Public pieces promoted AVGO, ACHR, SNDK and CCJ using AI forecasts, air-taxi optionality, memory scarcity and uranium demand.</x:v>
      </x:c>
      <x:c r="I343" s="44" t="str">
        <x:v>Rejected or mapped to existing variables</x:v>
      </x:c>
      <x:c r="J343" s="44" t="n">
        <x:v>2</x:v>
      </x:c>
      <x:c r="K343" s="44" t="str">
        <x:v>AVGO relied on management's existing long-range outlook; ACHR lacks FAA approval and has minimal revenue; SNDK repeats the already-tracked memory variable; CCJ adds no new primary catalyst. No distinct thesis was opened.</x:v>
      </x:c>
    </x:row>
    <x:row r="344">
      <x:c r="A344" t="str">
        <x:v>EV-2026-339</x:v>
      </x:c>
      <x:c r="B344"/>
      <x:c r="C344" s="21" t="d">
        <x:v>2026-10-05T12:57:00.000Z</x:v>
      </x:c>
      <x:c r="D344" t="str">
        <x:v>Rejected Motley Fool trigger cluster</x:v>
      </x:c>
      <x:c r="E344" t="str">
        <x:v>The Motley Fool — Reuben Gregg Brewer and Breakfast News</x:v>
      </x:c>
      <x:c r="F344" t="str">
        <x:v>Trigger only; free editorials published October 5; not represented as official paid-service recommendations; article disclosures reviewed</x:v>
      </x:c>
      <x:c r="G344" s="44" t="str">
        <x:v>https://www.fool.com/investing/2026/10/05/berkshire-vs-occidental-who-actually-won-the-10-bi/</x:v>
      </x:c>
      <x:c r="H344" s="44" t="str">
        <x:v>Articles revisited Berkshire and Occidental's old transaction and discussed the PTC acquisition as an AI-industrial theme.</x:v>
      </x:c>
      <x:c r="I344" s="44" t="str">
        <x:v>Rejected as distinct theses</x:v>
      </x:c>
      <x:c r="J344" s="44" t="n">
        <x:v>2</x:v>
      </x:c>
      <x:c r="K344" s="44" t="str">
        <x:v>The OXY facts were old. PTC's cash acquisition was immediately repriced and presents deal-closing rather than underappreciated operating exposure; promotional framing was excluded from evidence.</x:v>
      </x:c>
    </x:row>
    <x:row r="345">
      <x:c r="A345" t="str">
        <x:v>EV-2026-340</x:v>
      </x:c>
      <x:c r="B345"/>
      <x:c r="C345" s="21" t="d">
        <x:v>2026-10-05T12:57:00.000Z</x:v>
      </x:c>
      <x:c r="D345" t="str">
        <x:v>Rejected acquisition triggers</x:v>
      </x:c>
      <x:c r="E345" t="str">
        <x:v>Reuters</x:v>
      </x:c>
      <x:c r="F345" t="str">
        <x:v>High-quality independent reporting</x:v>
      </x:c>
      <x:c r="G345" s="44" t="str">
        <x:v>https://www.reuters.com/business/</x:v>
      </x:c>
      <x:c r="H345" s="44" t="str">
        <x:v>PTC and RXO announced large acquisition transactions and both targets repriced sharply on the terms.</x:v>
      </x:c>
      <x:c r="I345" s="44" t="str">
        <x:v>Rejected on pricing and structure</x:v>
      </x:c>
      <x:c r="J345" s="44" t="n">
        <x:v>2</x:v>
      </x:c>
      <x:c r="K345" s="44" t="str">
        <x:v>Cash and announced consideration substantially define near-term target value; regulatory, financing and closing risk dominate. No separate thesis was opened.</x:v>
      </x:c>
    </x:row>
    <x:row r="346">
      <x:c r="A346" t="str">
        <x:v>EV-2026-341</x:v>
      </x:c>
      <x:c r="B346" t="str">
        <x:v>EEI-2026-001</x:v>
      </x:c>
      <x:c r="C346" s="21" t="n">
        <x:v>46300.833333333336</x:v>
      </x:c>
      <x:c r="D346" t="str">
        <x:v>Paper-trade outcome</x:v>
      </x:c>
      <x:c r="E346" t="str">
        <x:v>S&amp;P Global Market Intelligence via StockAnalysis</x:v>
      </x:c>
      <x:c r="F346" t="str">
        <x:v>Regular-session closing market data</x:v>
      </x:c>
      <x:c r="G346" s="44" t="str">
        <x:v>https://stockanalysis.com/etf/bno/history/</x:v>
      </x:c>
      <x:c r="H346" s="44" t="str">
        <x:v>BNO closed October 5 at $61.45 versus the $57.21 September 8 opening entry. The $1,000 paper position was worth $1,074.11, up $74.11 or 7.41%; BNO fell 2.61% for the session.</x:v>
      </x:c>
      <x:c r="I346" s="44" t="str">
        <x:v>Direct Brent expression remains positive but weakened</x:v>
      </x:c>
      <x:c r="J346" s="44" t="str">
        <x:v>5</x:v>
      </x:c>
      <x:c r="K346" s="44" t="str">
        <x:v>BNO remains the strongest cumulative paper position, but recovered regional exports and the G7 emergency release compressed part of its gain. This post-horizon mark does not change the completed September 18 score.</x:v>
      </x:c>
    </x:row>
    <x:row r="347">
      <x:c r="A347" t="str">
        <x:v>EV-2026-342</x:v>
      </x:c>
      <x:c r="B347" t="str">
        <x:v>EEI-2026-001</x:v>
      </x:c>
      <x:c r="C347" s="21" t="n">
        <x:v>46300.833333333336</x:v>
      </x:c>
      <x:c r="D347" t="str">
        <x:v>Paper-trade outcome</x:v>
      </x:c>
      <x:c r="E347" t="str">
        <x:v>S&amp;P Global Market Intelligence via StockAnalysis</x:v>
      </x:c>
      <x:c r="F347" t="str">
        <x:v>Regular-session closing market data</x:v>
      </x:c>
      <x:c r="G347" s="44" t="str">
        <x:v>https://stockanalysis.com/etf/uso/history/</x:v>
      </x:c>
      <x:c r="H347" s="44" t="str">
        <x:v>USO closed October 5 at $143.99 versus the $144.60 September 8 opening entry. The $1,000 paper position was worth $995.78, down $4.22 or 0.42%; USO fell 2.29% for the session.</x:v>
      </x:c>
      <x:c r="I347" s="44" t="str">
        <x:v>Weakens the direct WTI expression after the formal horizon</x:v>
      </x:c>
      <x:c r="J347" s="44" t="str">
        <x:v>5</x:v>
      </x:c>
      <x:c r="K347" s="44" t="str">
        <x:v>USO slipped below entry as recovered crude flows and emergency releases reduced the original crude-availability premium.</x:v>
      </x:c>
    </x:row>
    <x:row r="348">
      <x:c r="A348" t="str">
        <x:v>EV-2026-343</x:v>
      </x:c>
      <x:c r="B348" t="str">
        <x:v>EEI-2026-001</x:v>
      </x:c>
      <x:c r="C348" s="21" t="n">
        <x:v>46300.833333333336</x:v>
      </x:c>
      <x:c r="D348" t="str">
        <x:v>Paper-trade outcome</x:v>
      </x:c>
      <x:c r="E348" t="str">
        <x:v>S&amp;P Global Market Intelligence via StockAnalysis</x:v>
      </x:c>
      <x:c r="F348" t="str">
        <x:v>Regular-session closing market data</x:v>
      </x:c>
      <x:c r="G348" s="44" t="str">
        <x:v>https://stockanalysis.com/etf/xop/history/</x:v>
      </x:c>
      <x:c r="H348" s="44" t="str">
        <x:v>XOP closed October 5 at $187.44 versus the $193.84 September 8 opening entry. The $1,000 paper position was worth $966.98, down $33.02 or 3.30%; XOP gained 1.36% for the session.</x:v>
      </x:c>
      <x:c r="I348" s="44" t="str">
        <x:v>Narrows the indirect-expression loss but remains negative</x:v>
      </x:c>
      <x:c r="J348" s="44" t="str">
        <x:v>5</x:v>
      </x:c>
      <x:c r="K348" s="44" t="str">
        <x:v>XOP outperformed the direct crude funds for the session but remains below entry and remains the weakest cumulative paper position.</x:v>
      </x:c>
    </x:row>
    <x:row r="349">
      <x:c r="A349" t="str">
        <x:v>EV-2026-344</x:v>
      </x:c>
      <x:c r="B349" t="str">
        <x:v>EEI-2026-001</x:v>
      </x:c>
      <x:c r="C349" s="21" t="n">
        <x:v>46300.833333333336</x:v>
      </x:c>
      <x:c r="D349" t="str">
        <x:v>Post-horizon normalization counterevidence</x:v>
      </x:c>
      <x:c r="E349" t="str">
        <x:v>Reuters / Kpler / Vortexa</x:v>
      </x:c>
      <x:c r="F349" t="str">
        <x:v>High-quality reporting and independent shipping data</x:v>
      </x:c>
      <x:c r="G349" s="44" t="str">
        <x:v>https://www.reuters.com/business/energy/middle-east-crude-oil-exports-exceed-pre-war-levels-tanker-attacks-increase-2026-10-05/</x:v>
      </x:c>
      <x:c r="H349" s="44" t="str">
        <x:v>The seven-day average for regional crude exports reached 18.3 million barrels per day on September 30, and the fourteen-day average reached 18.6 million, matching or exceeding prewar levels. Saudi Arabia loaded from both the Red Sea and Gulf.</x:v>
      </x:c>
      <x:c r="I349" s="44" t="str">
        <x:v>Strongly weakens the original crude-availability constraint</x:v>
      </x:c>
      <x:c r="J349" s="44" t="str">
        <x:v>5</x:v>
      </x:c>
      <x:c r="K349" s="44" t="str">
        <x:v>The market has adapted through higher Saudi loadings, tanker shuttles and transfers. This is strong post-horizon invalidating evidence for a simple crude-volume shortage.</x:v>
      </x:c>
    </x:row>
    <x:row r="350">
      <x:c r="A350" t="str">
        <x:v>EV-2026-345</x:v>
      </x:c>
      <x:c r="B350" t="str">
        <x:v>EEI-2026-001</x:v>
      </x:c>
      <x:c r="C350" s="21" t="n">
        <x:v>46300.833333333336</x:v>
      </x:c>
      <x:c r="D350" t="str">
        <x:v>Post-horizon market and logistics modifier</x:v>
      </x:c>
      <x:c r="E350" t="str">
        <x:v>Reuters</x:v>
      </x:c>
      <x:c r="F350" t="str">
        <x:v>High-quality reporting and settlement data</x:v>
      </x:c>
      <x:c r="G350" s="44" t="str">
        <x:v>https://www.reuters.com/business/energy/oil-climbs-after-yemeni-houthis-attack-saudi-aramco-sites-2026-10-04/</x:v>
      </x:c>
      <x:c r="H350" s="44" t="str">
        <x:v>Brent settled October 5 at $100.32, down 1.89%, and WTI at $89.43, down 1.84%, after the G7 pledged a 100-million-barrel emergency release. At least seven tanker incidents, thin inventories and continuing infrastructure attacks limited the decline.</x:v>
      </x:c>
      <x:c r="I350" s="44" t="str">
        <x:v>Weakens the extended hold; confirms residual logistics risk</x:v>
      </x:c>
      <x:c r="J350" s="44" t="str">
        <x:v>5</x:v>
      </x:c>
      <x:c r="K350" s="44" t="str">
        <x:v>Crude-volume normalization and policy supply buffers dominate today. Tanker attacks, strained transport capacity, low inventories and an elusive truce keep a residual risk premium.</x:v>
      </x:c>
    </x:row>
    <x:row r="351">
      <x:c r="A351" t="str">
        <x:v>EV-2026-346</x:v>
      </x:c>
      <x:c r="B351" t="str">
        <x:v>EEI-2026-009</x:v>
      </x:c>
      <x:c r="C351" s="21" t="d">
        <x:v>2026-10-06T12:19:43.000Z</x:v>
      </x:c>
      <x:c r="D351" t="str">
        <x:v>Physical supply and price normalization</x:v>
      </x:c>
      <x:c r="E351" t="str">
        <x:v>Reuters / Kpler / Vortexa</x:v>
      </x:c>
      <x:c r="F351" t="str">
        <x:v>High-quality independent reporting and shipping data</x:v>
      </x:c>
      <x:c r="G351" s="44" t="str">
        <x:v>https://www.reuters.com/business/energy/oil-prices-slip-traders-weigh-strong-mideast-exports-against-gulf-tensions-2026-10-06/</x:v>
      </x:c>
      <x:c r="H351" s="44" t="str">
        <x:v>Gulf crude flows excluding Iran recovered above 81% of prewar levels in September, the Saudi East-West pipeline reached 5.8 million bpd and Saudi Arabia cut Arab Light prices to six-year lows; Brent and WTI fell about 1.7% and 2.1% intraday.</x:v>
      </x:c>
      <x:c r="I351" s="44" t="str">
        <x:v>Strengthens crude-normalization contradiction</x:v>
      </x:c>
      <x:c r="J351" s="44" t="n">
        <x:v>5</x:v>
      </x:c>
      <x:c r="K351" s="44" t="str">
        <x:v>Refined-product and security risks persist, but a simple crude-volume shortage is increasingly contradicted. EEI-2026-009 remains Actionable / WAIT and narrows toward products and logistics.</x:v>
      </x:c>
    </x:row>
    <x:row r="352">
      <x:c r="A352" t="str">
        <x:v>EV-2026-347</x:v>
      </x:c>
      <x:c r="B352" t="str">
        <x:v>EEI-2026-009</x:v>
      </x:c>
      <x:c r="C352" s="21" t="d">
        <x:v>2026-10-06T12:19:43.000Z</x:v>
      </x:c>
      <x:c r="D352" t="str">
        <x:v>Industry supply-duration context</x:v>
      </x:c>
      <x:c r="E352" t="str">
        <x:v>Reuters — Saudi Aramco and Kuwait Petroleum executives</x:v>
      </x:c>
      <x:c r="F352" t="str">
        <x:v>Credible executive statements; enhancer/context rather than proof</x:v>
      </x:c>
      <x:c r="G352" s="44" t="str">
        <x:v>https://www.reuters.com/business/energy/replenishing-crude-fuel-supplies-could-take-two-years-saudi-aramco-ceo-says-2026-10-05/</x:v>
      </x:c>
      <x:c r="H352" s="44" t="str">
        <x:v>Aramco's CEO said crude and fuel inventory replenishment could take up to two years, while Kuwait Petroleum's CEO estimated roughly 6 million bpd of refined-product supply remained unavailable.</x:v>
      </x:c>
      <x:c r="I352" s="44" t="str">
        <x:v>Supports persistent refined-product constraint</x:v>
      </x:c>
      <x:c r="J352" s="44" t="n">
        <x:v>3</x:v>
      </x:c>
      <x:c r="K352" s="44" t="str">
        <x:v>Executive estimates support duration but are not treated as independent proof. Physical data and market confirmation remain controlling.</x:v>
      </x:c>
    </x:row>
    <x:row r="353">
      <x:c r="A353" t="str">
        <x:v>EV-2026-348</x:v>
      </x:c>
      <x:c r="B353" t="str">
        <x:v>EEI-2026-011</x:v>
      </x:c>
      <x:c r="C353" s="21" t="d">
        <x:v>2026-10-06T12:19:43.000Z</x:v>
      </x:c>
      <x:c r="D353" t="str">
        <x:v>Replacement-barrel and refinery evidence</x:v>
      </x:c>
      <x:c r="E353" t="str">
        <x:v>Reuters / Kpler / Vortexa</x:v>
      </x:c>
      <x:c r="F353" t="str">
        <x:v>High-quality independent reporting and physical-flow data</x:v>
      </x:c>
      <x:c r="G353" s="44" t="str">
        <x:v>https://www.reuters.com/business/energy/chinese-independent-refiners-boost-iraqi-oil-purchases-iranian-flows-fall-2026-10-06/</x:v>
      </x:c>
      <x:c r="H353" s="44" t="str">
        <x:v>Chinese independent refiners bought 12-20 million barrels of Iraqi and Qatari replacement crude at delivered premiums around $12-$20 per barrel as Iranian exports and floating storage fell; Shandong utilization dropped toward 55%.</x:v>
      </x:c>
      <x:c r="I353" s="44" t="str">
        <x:v>Supports substitution and logistics-cost mechanism</x:v>
      </x:c>
      <x:c r="J353" s="44" t="n">
        <x:v>4</x:v>
      </x:c>
      <x:c r="K353" s="44" t="str">
        <x:v>Replacement supply exists, limiting outright scarcity, but the premiums and utilization loss show continuing friction and economic cost.</x:v>
      </x:c>
    </x:row>
    <x:row r="354">
      <x:c r="A354" t="str">
        <x:v>EV-2026-349</x:v>
      </x:c>
      <x:c r="B354" t="str">
        <x:v>EEI-2026-009</x:v>
      </x:c>
      <x:c r="C354" s="21" t="d">
        <x:v>2026-10-06T12:19:43.000Z</x:v>
      </x:c>
      <x:c r="D354" t="str">
        <x:v>Sanctions modifier</x:v>
      </x:c>
      <x:c r="E354" t="str">
        <x:v>Reuters / U.S. Treasury alert</x:v>
      </x:c>
      <x:c r="F354" t="str">
        <x:v>High-quality reporting of official policy</x:v>
      </x:c>
      <x:c r="G354" s="44" t="str">
        <x:v>https://www.reuters.com/world/middle-east/us-says-foreign-financial-institutions-doing-business-with-iran-may-be-sanctioned-without-notice-2026-10-05/</x:v>
      </x:c>
      <x:c r="H354" s="44" t="str">
        <x:v>The U.S. Treasury warned that foreign financial institutions transacting with Iran may be sanctioned without notice.</x:v>
      </x:c>
      <x:c r="I354" s="44" t="str">
        <x:v>Supports Iranian-flow isolation; no clean entry</x:v>
      </x:c>
      <x:c r="J354" s="44" t="n">
        <x:v>4</x:v>
      </x:c>
      <x:c r="K354" s="44" t="str">
        <x:v>The policy can increase payment and routing friction, but recovered non-Iran Gulf flows and policy stock releases offset the broader crude effect.</x:v>
      </x:c>
    </x:row>
    <x:row r="355">
      <x:c r="A355" t="str">
        <x:v>EV-2026-350</x:v>
      </x:c>
      <x:c r="B355" t="str">
        <x:v>EEI-2026-015</x:v>
      </x:c>
      <x:c r="C355" s="21" t="d">
        <x:v>2026-10-06T12:19:43.000Z</x:v>
      </x:c>
      <x:c r="D355" t="str">
        <x:v>Official financing confirmation</x:v>
      </x:c>
      <x:c r="E355" t="str">
        <x:v>U.S. Department of Energy</x:v>
      </x:c>
      <x:c r="F355" t="str">
        <x:v>Primary government announcement</x:v>
      </x:c>
      <x:c r="G355" s="44" t="str">
        <x:v>https://www.energy.gov/articles/energy-department-announces-42-billion-investment-boost-nuclear-power-and-help-lower</x:v>
      </x:c>
      <x:c r="H355" s="44" t="str">
        <x:v>DOE announced a conditional loan commitment of up to $4.2 billion for Vistra uprates and modernization, preserving nearly 4 GW and adding 433 MW across Pennsylvania and Ohio, with an option for Comanche Peak.</x:v>
      </x:c>
      <x:c r="I355" s="44" t="str">
        <x:v>Promotes thesis to Strong</x:v>
      </x:c>
      <x:c r="J355" s="44" t="n">
        <x:v>5</x:v>
      </x:c>
      <x:c r="K355" s="44" t="str">
        <x:v>The official amount and capacity resolve the prior confirmation gap. Funding still requires technical, legal, environmental and financial conditions and definitive documents.</x:v>
      </x:c>
    </x:row>
    <x:row r="356">
      <x:c r="A356" t="str">
        <x:v>EV-2026-351</x:v>
      </x:c>
      <x:c r="B356" t="str">
        <x:v>EEI-2026-017</x:v>
      </x:c>
      <x:c r="C356" s="21" t="d">
        <x:v>2026-10-06T12:19:43.000Z</x:v>
      </x:c>
      <x:c r="D356" t="str">
        <x:v>Primary contract and capacity confirmation</x:v>
      </x:c>
      <x:c r="E356" t="str">
        <x:v>Google and Constellation Energy</x:v>
      </x:c>
      <x:c r="F356" t="str">
        <x:v>Joint primary issuer announcement</x:v>
      </x:c>
      <x:c r="G356" s="44" t="str">
        <x:v>https://www.googlecloudpresscorner.com/2026-10-06-Google-and-Constellation-Announce-Landmark-Agreement-to-Bring-890-MW-of-New-Nuclear-Capacity-to-PJM-Grid-as-Part-of-Long-Term-Power-Deal</x:v>
      </x:c>
      <x:c r="H356" s="44" t="str">
        <x:v>A 20-year PPA is intended to enable 890 MW of new nuclear uprates at 11 units; a 15-year agreement covers 2,700 MW of existing PJM supply; Constellation expects more than $4.3 billion of investment and first uprate delivery in 2028.</x:v>
      </x:c>
      <x:c r="I356" s="44" t="str">
        <x:v>Opens EEI-2026-017 as Strong</x:v>
      </x:c>
      <x:c r="J356" s="44" t="n">
        <x:v>5</x:v>
      </x:c>
      <x:c r="K356" s="44" t="str">
        <x:v>The capacity, terms and investment are material, but pricing, returns and regulatory milestones were not disclosed.</x:v>
      </x:c>
    </x:row>
    <x:row r="357">
      <x:c r="A357" t="str">
        <x:v>EV-2026-352</x:v>
      </x:c>
      <x:c r="B357" t="str">
        <x:v>EEI-2026-017</x:v>
      </x:c>
      <x:c r="C357" s="21" t="d">
        <x:v>2026-10-06T12:19:43.000Z</x:v>
      </x:c>
      <x:c r="D357" t="str">
        <x:v>Independent contract confirmation</x:v>
      </x:c>
      <x:c r="E357" t="str">
        <x:v>Reuters</x:v>
      </x:c>
      <x:c r="F357" t="str">
        <x:v>High-quality independent reporting</x:v>
      </x:c>
      <x:c r="G357" s="44" t="str">
        <x:v>https://www.reuters.com/business/energy/google-enters-massive-36-gw-power-deal-with-constellation-energy-2026-10-06/</x:v>
      </x:c>
      <x:c r="H357" s="44" t="str">
        <x:v>Reuters independently confirmed the 3.59 GW package: 890 MW of new nuclear capacity and 2,700 MW of existing supply under long-duration agreements.</x:v>
      </x:c>
      <x:c r="I357" s="44" t="str">
        <x:v>Confirms materiality and structure</x:v>
      </x:c>
      <x:c r="J357" s="44" t="n">
        <x:v>4</x:v>
      </x:c>
      <x:c r="K357" s="44" t="str">
        <x:v>Independent confirmation supports the mechanism; economics and execution remain undisclosed.</x:v>
      </x:c>
    </x:row>
    <x:row r="358">
      <x:c r="A358" t="str">
        <x:v>EV-2026-353</x:v>
      </x:c>
      <x:c r="B358" t="str">
        <x:v>EEI-2026-017</x:v>
      </x:c>
      <x:c r="C358" s="21" t="d">
        <x:v>2026-10-06T12:19:43.000Z</x:v>
      </x:c>
      <x:c r="D358" t="str">
        <x:v>Primary financial baseline</x:v>
      </x:c>
      <x:c r="E358" t="str">
        <x:v>Constellation Energy investor relations</x:v>
      </x:c>
      <x:c r="F358" t="str">
        <x:v>Primary issuer earnings release</x:v>
      </x:c>
      <x:c r="G358" s="44" t="str">
        <x:v>https://investors.constellationenergy.com/news-releases/news-release-details/constellation-reports-second-quarter-2026-results</x:v>
      </x:c>
      <x:c r="H358" s="44" t="str">
        <x:v>Constellation reported Q2 revenue of $7.50 billion, adjusted operating EPS of $2.55 and raised 2026 guidance; nuclear capacity factor was 93% and Calpine integration remained an execution consideration.</x:v>
      </x:c>
      <x:c r="I358" s="44" t="str">
        <x:v>Supports capacity to invest; adds execution modifiers</x:v>
      </x:c>
      <x:c r="J358" s="44" t="n">
        <x:v>5</x:v>
      </x:c>
      <x:c r="K358" s="44" t="str">
        <x:v>The baseline is strong but does not disclose PPA economics or prove returns on the $4.3 billion program.</x:v>
      </x:c>
    </x:row>
    <x:row r="359">
      <x:c r="A359" t="str">
        <x:v>EV-2026-354</x:v>
      </x:c>
      <x:c r="B359" t="str">
        <x:v>EEI-2026-003</x:v>
      </x:c>
      <x:c r="C359" s="21" t="d">
        <x:v>2026-10-06T12:19:43.000Z</x:v>
      </x:c>
      <x:c r="D359" t="str">
        <x:v>National election control signal</x:v>
      </x:c>
      <x:c r="E359" t="str">
        <x:v>Reuters / Ipsos</x:v>
      </x:c>
      <x:c r="F359" t="str">
        <x:v>High-quality independent poll reporting</x:v>
      </x:c>
      <x:c r="G359" s="44" t="str">
        <x:v>https://www.reuters.com/world/us/trump-approval-record-low-hispanic-voters-sour-on-republicans-reutersipsos-poll-2026-10-05/</x:v>
      </x:c>
      <x:c r="H359" s="44" t="str">
        <x:v>Trump approval was 32%; registered voters preferred Democrats 44%-37%, independents 37%-21% and Hispanic voters 52%-26%. Reuters said analysts expect a Democratic House while the Senate remains competitive.</x:v>
      </x:c>
      <x:c r="I359" s="44" t="str">
        <x:v>Raises confidence to 5/5</x:v>
      </x:c>
      <x:c r="J359" s="44" t="n">
        <x:v>4</x:v>
      </x:c>
      <x:c r="K359" s="44" t="str">
        <x:v>Polling supports a control shift but is not a vote; 28% of independents remained undecided.</x:v>
      </x:c>
    </x:row>
    <x:row r="360">
      <x:c r="A360" t="str">
        <x:v>EV-2026-355</x:v>
      </x:c>
      <x:c r="B360" t="str">
        <x:v>EEI-2026-003</x:v>
      </x:c>
      <x:c r="C360" s="21" t="d">
        <x:v>2026-10-06T12:19:43.000Z</x:v>
      </x:c>
      <x:c r="D360" t="str">
        <x:v>State-level control signal</x:v>
      </x:c>
      <x:c r="E360" t="str">
        <x:v>Reuters</x:v>
      </x:c>
      <x:c r="F360" t="str">
        <x:v>High-quality independent reporting</x:v>
      </x:c>
      <x:c r="G360" s="44" t="str">
        <x:v>https://www.reuters.com/world/us/ohio-early-voting-begins-with-us-congress-control-line-2026-10-06/</x:v>
      </x:c>
      <x:c r="H360" s="44" t="str">
        <x:v>Ohio early voting began with its Senate contest and two House races rated toss-ups. Republicans hold the Senate 53-47, so Democrats need a net four seats.</x:v>
      </x:c>
      <x:c r="I360" s="44" t="str">
        <x:v>Strengthens competitive-control evidence</x:v>
      </x:c>
      <x:c r="J360" s="44" t="n">
        <x:v>4</x:v>
      </x:c>
      <x:c r="K360" s="44" t="str">
        <x:v>A toss-up is uncertainty, not confirmation. The required market-breadth and rates signal remains absent.</x:v>
      </x:c>
    </x:row>
    <x:row r="361">
      <x:c r="A361" t="str">
        <x:v>EV-2026-356</x:v>
      </x:c>
      <x:c r="B361"/>
      <x:c r="C361" s="21" t="d">
        <x:v>2026-10-06T12:19:43.000Z</x:v>
      </x:c>
      <x:c r="D361" t="str">
        <x:v>Rejected Motley Fool trigger cluster</x:v>
      </x:c>
      <x:c r="E361" t="str">
        <x:v>The Motley Fool — Neil Patel, Matt DiLallo, Eric Volkman and other public contributors</x:v>
      </x:c>
      <x:c r="F361" t="str">
        <x:v>Trigger only; free public editorials; article disclosures reviewed; no item treated as an official paid-service recommendation</x:v>
      </x:c>
      <x:c r="G361" s="44" t="str">
        <x:v>https://www.fool.com/investing-news/</x:v>
      </x:c>
      <x:c r="H361" s="44" t="str">
        <x:v>Public October 6 pieces promoted COST, BND, MKC, VZ, VUG, TSM and a possible MU stock split using valuation, yield, routine earnings, quality or split narratives.</x:v>
      </x:c>
      <x:c r="I361" s="44" t="str">
        <x:v>Rejected as distinct theses</x:v>
      </x:c>
      <x:c r="J361" s="44" t="n">
        <x:v>2</x:v>
      </x:c>
      <x:c r="K361" s="44" t="str">
        <x:v>No new material primary catalyst or underappreciated economic variable cleared the methodology. A stock split has no direct economic value; routine earnings and valuation claims are not confirmation.</x:v>
      </x:c>
    </x:row>
    <x:row r="362">
      <x:c r="A362" t="str">
        <x:v>EV-2026-357</x:v>
      </x:c>
      <x:c r="B362"/>
      <x:c r="C362" s="21" t="d">
        <x:v>2026-10-06T12:19:43.000Z</x:v>
      </x:c>
      <x:c r="D362" t="str">
        <x:v>Rejected Motley Fool technology trigger</x:v>
      </x:c>
      <x:c r="E362" t="str">
        <x:v>The Motley Fool — Daniel Sparks</x:v>
      </x:c>
      <x:c r="F362" t="str">
        <x:v>Trigger only; free public editorial; disclosures reviewed</x:v>
      </x:c>
      <x:c r="G362" s="44" t="str">
        <x:v>https://www.fool.com/investing/2026/10/06/anthropics-42-billion-deal-with-broadcom/</x:v>
      </x:c>
      <x:c r="H362" s="44" t="str">
        <x:v>The article highlighted Broadcom's financing and chip lease arrangement with Anthropic.</x:v>
      </x:c>
      <x:c r="I362" s="44" t="str">
        <x:v>Rejected as a new thesis</x:v>
      </x:c>
      <x:c r="J362" s="44" t="n">
        <x:v>2</x:v>
      </x:c>
      <x:c r="K362" s="44" t="str">
        <x:v>The factual catalyst was publicly filed and independently reported on October 1; circular-financing, counterparty and already-priced risks dominate five days later.</x:v>
      </x:c>
    </x:row>
    <x:row r="363">
      <x:c r="A363" t="str">
        <x:v>EV-2026-358</x:v>
      </x:c>
      <x:c r="B363"/>
      <x:c r="C363" s="21" t="d">
        <x:v>2026-10-06T12:19:43.000Z</x:v>
      </x:c>
      <x:c r="D363" t="str">
        <x:v>Rejected Motley Fool multi-stock list</x:v>
      </x:c>
      <x:c r="E363" t="str">
        <x:v>The Motley Fool — Parkev Tatevosian, CFA</x:v>
      </x:c>
      <x:c r="F363" t="str">
        <x:v>Trigger only; free public article/video published October 5 at 6:13 p.m. ET; author and publication position disclosures reviewed</x:v>
      </x:c>
      <x:c r="G363" s="44" t="str">
        <x:v>https://www.fool.com/investing/2026/10/05/the-9-best-stocks-to-buy-right-now-in-october-2026/</x:v>
      </x:c>
      <x:c r="H363" s="44" t="str">
        <x:v>The public list promoted large-cap technology, payments, consumer and platform companies using long-run quality and valuation narratives.</x:v>
      </x:c>
      <x:c r="I363" s="44" t="str">
        <x:v>Rejected as distinct theses</x:v>
      </x:c>
      <x:c r="J363" s="44" t="n">
        <x:v>2</x:v>
      </x:c>
      <x:c r="K363" s="44" t="str">
        <x:v>No newly published material primary catalyst was identified. Promotional framing was excluded, and the article did not create a separate economic-variable prediction.</x:v>
      </x:c>
    </x:row>
    <x:row r="364">
      <x:c r="A364" t="str">
        <x:v>EV-2026-359</x:v>
      </x:c>
      <x:c r="B364" t="str">
        <x:v>EEI-2026-018</x:v>
      </x:c>
      <x:c r="C364" s="21" t="d">
        <x:v>2026-10-06T12:19:43.000Z</x:v>
      </x:c>
      <x:c r="D364" t="str">
        <x:v>Primary subcontract action</x:v>
      </x:c>
      <x:c r="E364" t="str">
        <x:v>Boeing</x:v>
      </x:c>
      <x:c r="F364" t="str">
        <x:v>Primary issuer announcement</x:v>
      </x:c>
      <x:c r="G364" s="44" t="str">
        <x:v>https://investors.boeing.com/investors/news/press-release-details/2026/Boeing-receives-seven-year-contract-to-accelerate-PAC-3-MSE-seeker-output/default.aspx</x:v>
      </x:c>
      <x:c r="H364" s="44" t="str">
        <x:v>Boeing received an approximately $14.7 billion undefinitized contract action from Lockheed Martin to triple PAC-3 MSE seeker production under a seven-year framework.</x:v>
      </x:c>
      <x:c r="I364" s="44" t="str">
        <x:v>Opens EEI-2026-018 as Developing</x:v>
      </x:c>
      <x:c r="J364" s="44" t="n">
        <x:v>5</x:v>
      </x:c>
      <x:c r="K364" s="44" t="str">
        <x:v>Recipient/parent: Boeing. Prime: Lockheed Martin. Action: undefinitized subcontract. Current obligation, award identifier, NAICS/PSC, competition status and definitive milestones were not disclosed.</x:v>
      </x:c>
    </x:row>
    <x:row r="365">
      <x:c r="A365" t="str">
        <x:v>EV-2026-360</x:v>
      </x:c>
      <x:c r="B365" t="str">
        <x:v>EEI-2026-018</x:v>
      </x:c>
      <x:c r="C365" s="21" t="d">
        <x:v>2026-10-06T12:19:43.000Z</x:v>
      </x:c>
      <x:c r="D365" t="str">
        <x:v>Independent subcontract confirmation</x:v>
      </x:c>
      <x:c r="E365" t="str">
        <x:v>Reuters</x:v>
      </x:c>
      <x:c r="F365" t="str">
        <x:v>High-quality independent reporting</x:v>
      </x:c>
      <x:c r="G365" s="44" t="str">
        <x:v>https://www.reuters.com/business/aerospace-defense/boeing-receives-lockheed-pac-3-mse-contract-worth-up-147-billion-2026-10-05/</x:v>
      </x:c>
      <x:c r="H365" s="44" t="str">
        <x:v>Reuters confirmed the seven-year Boeing award, triple-production objective and connection to Lockheed's plan to raise annual PAC-3 output from about 600 to 2,000.</x:v>
      </x:c>
      <x:c r="I365" s="44" t="str">
        <x:v>Confirms materiality; highlights funding risk</x:v>
      </x:c>
      <x:c r="J365" s="44" t="n">
        <x:v>4</x:v>
      </x:c>
      <x:c r="K365" s="44" t="str">
        <x:v>Reuters reported that Congress has not yet appropriated funding for the framework deals, limiting immediate investment certainty.</x:v>
      </x:c>
    </x:row>
    <x:row r="366">
      <x:c r="A366" t="str">
        <x:v>EV-2026-361</x:v>
      </x:c>
      <x:c r="B366" t="str">
        <x:v>EEI-2026-018</x:v>
      </x:c>
      <x:c r="C366" s="21" t="d">
        <x:v>2026-10-06T12:19:43.000Z</x:v>
      </x:c>
      <x:c r="D366" t="str">
        <x:v>Primary financial materiality check</x:v>
      </x:c>
      <x:c r="E366" t="str">
        <x:v>Boeing investor relations</x:v>
      </x:c>
      <x:c r="F366" t="str">
        <x:v>Primary issuer earnings release</x:v>
      </x:c>
      <x:c r="G366" s="44" t="str">
        <x:v>https://investors.boeing.com/investors/news/press-release-details/2026/Boeing-Reports-Second-Quarter-Results/</x:v>
      </x:c>
      <x:c r="H366" s="44" t="str">
        <x:v>Boeing Defense produced $15.1 billion of first-half revenue and held $85 billion of backlog, but Q2 operating margin was negative 0.2% due in part to fixed-price program losses.</x:v>
      </x:c>
      <x:c r="I366" s="44" t="str">
        <x:v>Award is material; profitable conversion unproven</x:v>
      </x:c>
      <x:c r="J366" s="44" t="n">
        <x:v>5</x:v>
      </x:c>
      <x:c r="K366" s="44" t="str">
        <x:v>The $14.7 billion ceiling is large relative to segment revenue, but the lack of definitization and Boeing's weak program margins constrain confidence and trading edge.</x:v>
      </x:c>
    </x:row>
    <x:row r="367">
      <x:c r="A367" t="str">
        <x:v>EV-2026-362</x:v>
      </x:c>
      <x:c r="B367"/>
      <x:c r="C367" s="21" t="d">
        <x:v>2026-10-06T12:19:43.000Z</x:v>
      </x:c>
      <x:c r="D367" t="str">
        <x:v>USAspending and federal-award screen</x:v>
      </x:c>
      <x:c r="E367" t="str">
        <x:v>USAspending.gov and public federal contract notices</x:v>
      </x:c>
      <x:c r="F367" t="str">
        <x:v>Primary public award databases</x:v>
      </x:c>
      <x:c r="G367" s="44" t="str">
        <x:v>https://www.usaspending.gov/search</x:v>
      </x:c>
      <x:c r="H367" s="44" t="str">
        <x:v>No newly indexed USAspending record independently supplied all required fields for a material public-company award beyond announced corporate/framework actions reviewed separately.</x:v>
      </x:c>
      <x:c r="I367" s="44" t="str">
        <x:v>No qualifying USAspending thesis</x:v>
      </x:c>
      <x:c r="J367" s="44" t="n">
        <x:v>3</x:v>
      </x:c>
      <x:c r="K367" s="44" t="str">
        <x:v>The Boeing PAC-3 item is a Lockheed subcontract/UCA with public recipient, parent, approximate ceiling and action type, but no indexed prime-award identifier, obligation, NAICS/PSC, competition status or performance milestones at cutoff.</x:v>
      </x:c>
    </x:row>
    <x:row r="368">
      <x:c r="A368" t="str">
        <x:v>EV-2026-363</x:v>
      </x:c>
      <x:c r="B368" t="str">
        <x:v>EEI-2026-001</x:v>
      </x:c>
      <x:c r="C368" s="21" t="n">
        <x:v>46301.833333333336</x:v>
      </x:c>
      <x:c r="D368" t="str">
        <x:v>Paper-trade outcome</x:v>
      </x:c>
      <x:c r="E368" t="str">
        <x:v>S&amp;P Global Market Intelligence via StockAnalysis</x:v>
      </x:c>
      <x:c r="F368" t="str">
        <x:v>Regular-session closing market data</x:v>
      </x:c>
      <x:c r="G368" s="44" t="str">
        <x:v>https://stockanalysis.com/etf/bno/</x:v>
      </x:c>
      <x:c r="H368" s="44" t="str">
        <x:v>BNO closed October 6 at $61.93 versus the $57.21 September 8 opening entry. The $1,000 paper position was worth $1082.50, up $82.50 (+8.25%).</x:v>
      </x:c>
      <x:c r="I368" s="44" t="str">
        <x:v>Direct Brent expression remains the strongest cumulative position</x:v>
      </x:c>
      <x:c r="J368" s="44" t="n">
        <x:v>5</x:v>
      </x:c>
      <x:c r="K368" s="44" t="str">
        <x:v>BNO gained 0.78% for the session and remains well above entry; this is a hypothetical fractional-share paper position.</x:v>
      </x:c>
    </x:row>
    <x:row r="369">
      <x:c r="A369" t="str">
        <x:v>EV-2026-364</x:v>
      </x:c>
      <x:c r="B369" t="str">
        <x:v>EEI-2026-001</x:v>
      </x:c>
      <x:c r="C369" s="21" t="n">
        <x:v>46301.833333333336</x:v>
      </x:c>
      <x:c r="D369" t="str">
        <x:v>Paper-trade outcome</x:v>
      </x:c>
      <x:c r="E369" t="str">
        <x:v>S&amp;P Global Market Intelligence via StockAnalysis</x:v>
      </x:c>
      <x:c r="F369" t="str">
        <x:v>Regular-session closing market data</x:v>
      </x:c>
      <x:c r="G369" s="44" t="str">
        <x:v>https://stockanalysis.com/etf/uso/</x:v>
      </x:c>
      <x:c r="H369" s="44" t="str">
        <x:v>USO closed October 6 at $144.91 versus the $144.60 September 8 opening entry. The $1,000 paper position was worth $1002.14, up $2.14 (+0.21%).</x:v>
      </x:c>
      <x:c r="I369" s="44" t="str">
        <x:v>WTI expression returned slightly above entry</x:v>
      </x:c>
      <x:c r="J369" s="44" t="n">
        <x:v>5</x:v>
      </x:c>
      <x:c r="K369" s="44" t="str">
        <x:v>USO gained 0.64% for the session but remains far below its mid-September peak; this is a hypothetical fractional-share paper position.</x:v>
      </x:c>
    </x:row>
    <x:row r="370">
      <x:c r="A370" t="str">
        <x:v>EV-2026-365</x:v>
      </x:c>
      <x:c r="B370" t="str">
        <x:v>EEI-2026-001</x:v>
      </x:c>
      <x:c r="C370" s="21" t="n">
        <x:v>46301.833333333336</x:v>
      </x:c>
      <x:c r="D370" t="str">
        <x:v>Paper-trade outcome</x:v>
      </x:c>
      <x:c r="E370" t="str">
        <x:v>S&amp;P Global Market Intelligence via StockAnalysis</x:v>
      </x:c>
      <x:c r="F370" t="str">
        <x:v>Regular-session closing market data</x:v>
      </x:c>
      <x:c r="G370" s="44" t="str">
        <x:v>https://stockanalysis.com/etf/xop/</x:v>
      </x:c>
      <x:c r="H370" s="44" t="str">
        <x:v>XOP closed October 6 at $188.46 versus the $193.84 September 8 opening entry. The $1,000 paper position was worth $972.25, down $27.75 (-2.78%).</x:v>
      </x:c>
      <x:c r="I370" s="44" t="str">
        <x:v>Indirect producer-equity expression remains negative</x:v>
      </x:c>
      <x:c r="J370" s="44" t="n">
        <x:v>5</x:v>
      </x:c>
      <x:c r="K370" s="44" t="str">
        <x:v>XOP gained 0.54% for the session but remains the weakest cumulative expression; this is a hypothetical fractional-share paper position.</x:v>
      </x:c>
    </x:row>
    <x:row r="371">
      <x:c r="A371" t="str">
        <x:v>EV-2026-366</x:v>
      </x:c>
      <x:c r="B371" t="str">
        <x:v>EEI-2026-001</x:v>
      </x:c>
      <x:c r="C371" s="21" t="n">
        <x:v>46301.833333333336</x:v>
      </x:c>
      <x:c r="D371" t="str">
        <x:v>Post-horizon market and normalization evidence</x:v>
      </x:c>
      <x:c r="E371" t="str">
        <x:v>Reuters</x:v>
      </x:c>
      <x:c r="F371" t="str">
        <x:v>High-quality reporting, settlement data and industry flow estimates</x:v>
      </x:c>
      <x:c r="G371" s="44" t="str">
        <x:v>https://www.reuters.com/business/energy/oil-prices-slip-traders-weigh-strong-mideast-exports-against-gulf-tensions-2026-10-06/</x:v>
      </x:c>
      <x:c r="H371" s="44" t="str">
        <x:v>Brent settled October 6 at $100.58 and WTI at $89.44. Vitol estimated about 12 million bpd of crude and 2 million bpd of products left the Middle East over the prior seven to 10 days; Saudi Arabia reported 5.8 million barrels moved through the East-West Pipeline, while the G7 planned a 100-million-barrel emergency release.</x:v>
      </x:c>
      <x:c r="I371" s="44" t="str">
        <x:v>Strongly weakens the extended-hold crude-availability constraint</x:v>
      </x:c>
      <x:c r="J371" s="44" t="n">
        <x:v>5</x:v>
      </x:c>
      <x:c r="K371" s="44" t="str">
        <x:v>Recovered flows, bypass capacity and emergency stocks cap the scarcity premium. Houthi attacks, infrastructure risk and low accessible inventories prevent full invalidation of residual risk.</x:v>
      </x:c>
    </x:row>
    <x:row r="372">
      <x:c r="A372" t="str">
        <x:v>EV-2026-367</x:v>
      </x:c>
      <x:c r="B372" t="str">
        <x:v>EEI-2026-001</x:v>
      </x:c>
      <x:c r="C372" s="21" t="n">
        <x:v>46301.833333333336</x:v>
      </x:c>
      <x:c r="D372" t="str">
        <x:v>Post-horizon structural logistics risk</x:v>
      </x:c>
      <x:c r="E372" t="str">
        <x:v>Reuters</x:v>
      </x:c>
      <x:c r="F372" t="str">
        <x:v>High-quality reporting of industry statements and infrastructure plans</x:v>
      </x:c>
      <x:c r="G372" s="44" t="str">
        <x:v>https://www.reuters.com/business/energy/just-in-time-just-in-case-oil-executives-say-world-needs-more-export-routes-2026-10-06/</x:v>
      </x:c>
      <x:c r="H372" s="44" t="str">
        <x:v>Energy executives said attacks around Hormuz and Bab el-Mandeb have cut exports and are prompting consideration of new pipelines through Syria, Turkey and Fujairah to bypass chokepoints.</x:v>
      </x:c>
      <x:c r="I372" s="44" t="str">
        <x:v>Confirms the original logistics mechanism but not a fresh entry</x:v>
      </x:c>
      <x:c r="J372" s="44" t="n">
        <x:v>4</x:v>
      </x:c>
      <x:c r="K372" s="44" t="str">
        <x:v>The need for redundant routes shows the disruption was economically real. Proposed infrastructure is long-dated and does not reverse the current normalization counterevidence or improve the original WAIT entry.</x:v>
      </x:c>
    </x:row>
    <x:row r="373">
      <x:c r="A373" t="str">
        <x:v>EV-2026-368</x:v>
      </x:c>
      <x:c r="B373" t="str">
        <x:v>EEI-2026-009</x:v>
      </x:c>
      <x:c r="C373" s="21" t="d">
        <x:v>2026-10-07T12:17:12.000Z</x:v>
      </x:c>
      <x:c r="D373" t="str">
        <x:v>Formal outcome — physical diesel confirmation</x:v>
      </x:c>
      <x:c r="E373" t="str">
        <x:v>Reuters</x:v>
      </x:c>
      <x:c r="F373" t="str">
        <x:v>High-quality independent market and physical-supply reporting</x:v>
      </x:c>
      <x:c r="G373" s="44" t="str">
        <x:v>https://www.reuters.com/business/energy/oil-prices-rise-storms-air-strikes-threaten-supply-2026-10-07/</x:v>
      </x:c>
      <x:c r="H373" s="44" t="str">
        <x:v>European diesel futures traded about $77 per barrel above Brent and rose 13% intraday; Reuters linked the move to reduced Middle East refining runs and strikes on Russian oil facilities. The IEA met to discuss oil and diesel stock releases.</x:v>
      </x:c>
      <x:c r="I373" s="44" t="str">
        <x:v>Confirms economic variable, direction and timing</x:v>
      </x:c>
      <x:c r="J373" s="44" t="n">
        <x:v>5</x:v>
      </x:c>
      <x:c r="K373" s="44" t="str">
        <x:v>Outcome review: variable Yes, direction Yes, timing Yes, expression blank, Entry discipline Yes. EEI-2026-009 remains Actionable / WAIT because policy releases and extreme headline sensitivity limit entry quality.</x:v>
      </x:c>
    </x:row>
    <x:row r="374">
      <x:c r="A374" t="str">
        <x:v>EV-2026-369</x:v>
      </x:c>
      <x:c r="B374" t="str">
        <x:v>EEI-2026-011</x:v>
      </x:c>
      <x:c r="C374" s="21" t="d">
        <x:v>2026-10-07T12:17:12.000Z</x:v>
      </x:c>
      <x:c r="D374" t="str">
        <x:v>Renewed Red Sea route-security trigger</x:v>
      </x:c>
      <x:c r="E374" t="str">
        <x:v>Reuters</x:v>
      </x:c>
      <x:c r="F374" t="str">
        <x:v>High-quality independent reporting</x:v>
      </x:c>
      <x:c r="G374" s="44" t="str">
        <x:v>https://www.reuters.com/business/energy/oil-prices-rise-storms-air-strikes-threaten-supply-2026-10-07/</x:v>
      </x:c>
      <x:c r="H374" s="44" t="str">
        <x:v>Houthis attacked Aden airport with ballistic missiles and explosive-laden drones while regional conflict persisted.</x:v>
      </x:c>
      <x:c r="I374" s="44" t="str">
        <x:v>Supports route and insurance risk</x:v>
      </x:c>
      <x:c r="J374" s="44" t="n">
        <x:v>4</x:v>
      </x:c>
      <x:c r="K374" s="44" t="str">
        <x:v>The attack increases security risk but does not by itself prove another freight-rate leg. Middle East export recovery, strategic releases and extended tanker equities remain contradictions.</x:v>
      </x:c>
    </x:row>
    <x:row r="375">
      <x:c r="A375" t="str">
        <x:v>EV-2026-370</x:v>
      </x:c>
      <x:c r="B375"/>
      <x:c r="C375" s="21" t="d">
        <x:v>2026-10-07T12:17:12.000Z</x:v>
      </x:c>
      <x:c r="D375" t="str">
        <x:v>U.S. Gulf weather supply watch</x:v>
      </x:c>
      <x:c r="E375" t="str">
        <x:v>Reuters / U.S. forecasters</x:v>
      </x:c>
      <x:c r="F375" t="str">
        <x:v>Independent reporting of official forecasts</x:v>
      </x:c>
      <x:c r="G375" s="44" t="str">
        <x:v>https://www.reuters.com/business/energy/oil-prices-rise-storms-air-strikes-threaten-supply-2026-10-07/</x:v>
      </x:c>
      <x:c r="H375" s="44" t="str">
        <x:v>A Gulf of Mexico storm was forecast to become the first Atlantic hurricane of 2026 and threaten a region producing about 15% of U.S. crude and 5% of U.S. natural gas.</x:v>
      </x:c>
      <x:c r="I375" s="44" t="str">
        <x:v>Watch only; no confirmed outage</x:v>
      </x:c>
      <x:c r="J375" s="44" t="n">
        <x:v>3</x:v>
      </x:c>
      <x:c r="K375" s="44" t="str">
        <x:v>The trigger compounds global supply risk, but no production loss was confirmed at the scan cutoff and no distinct thesis was opened.</x:v>
      </x:c>
    </x:row>
    <x:row r="376">
      <x:c r="A376" t="str">
        <x:v>EV-2026-371</x:v>
      </x:c>
      <x:c r="B376" t="str">
        <x:v>EEI-2026-017</x:v>
      </x:c>
      <x:c r="C376" s="21" t="d">
        <x:v>2026-10-07T12:17:12.000Z</x:v>
      </x:c>
      <x:c r="D376" t="str">
        <x:v>Regular-session market confirmation</x:v>
      </x:c>
      <x:c r="E376" t="str">
        <x:v>AP / observable market data</x:v>
      </x:c>
      <x:c r="F376" t="str">
        <x:v>Independent market reporting</x:v>
      </x:c>
      <x:c r="G376" s="44" t="str">
        <x:v>https://apnews.com/article/e8285ec7afbe81e9df277e8ee2127982</x:v>
      </x:c>
      <x:c r="H376" s="44" t="str">
        <x:v>Constellation Energy gained about 12.2% on October 6 after the Google nuclear and PJM supply agreement, while power peers rallied in sympathy.</x:v>
      </x:c>
      <x:c r="I376" s="44" t="str">
        <x:v>Raises confidence to 5/5; worsens entry structure</x:v>
      </x:c>
      <x:c r="J376" s="44" t="n">
        <x:v>4</x:v>
      </x:c>
      <x:c r="K376" s="44" t="str">
        <x:v>The move confirms perceived materiality but not disclosed returns. EEI-2026-017 remains Strong, edge 1/5 and WAIT after the headline gap.</x:v>
      </x:c>
    </x:row>
    <x:row r="377">
      <x:c r="A377" t="str">
        <x:v>EV-2026-372</x:v>
      </x:c>
      <x:c r="B377" t="str">
        <x:v>EEI-2026-003</x:v>
      </x:c>
      <x:c r="C377" s="21" t="d">
        <x:v>2026-10-07T12:17:12.000Z</x:v>
      </x:c>
      <x:c r="D377" t="str">
        <x:v>Late-cycle election control signal</x:v>
      </x:c>
      <x:c r="E377" t="str">
        <x:v>Associated Press</x:v>
      </x:c>
      <x:c r="F377" t="str">
        <x:v>High-quality independent political reporting</x:v>
      </x:c>
      <x:c r="G377" s="44" t="str">
        <x:v>https://apnews.com/article/midterms-campaign-money-republicans-democrats-a47f6b38c2490efae42eafdb63676fa9</x:v>
      </x:c>
      <x:c r="H377" s="44" t="str">
        <x:v>AP reported Republican anxiety that roughly $1 billion may not prevent losses, sharply higher late outside-group ad rates, reduced North Carolina Senate spending and expanding Democratic House targets in Arkansas and Tennessee.</x:v>
      </x:c>
      <x:c r="I377" s="44" t="str">
        <x:v>Modestly supports House-shift and competitive-Senate thesis</x:v>
      </x:c>
      <x:c r="J377" s="44" t="n">
        <x:v>4</x:v>
      </x:c>
      <x:c r="K377" s="44" t="str">
        <x:v>Republican funding remains larger and campaign behavior is not an election result. EEI-2026-003 stays Strong / WAIT.</x:v>
      </x:c>
    </x:row>
    <x:row r="378">
      <x:c r="A378" t="str">
        <x:v>EV-2026-373</x:v>
      </x:c>
      <x:c r="B378" t="str">
        <x:v>EEI-2026-003</x:v>
      </x:c>
      <x:c r="C378" s="21" t="d">
        <x:v>2026-10-07T12:17:12.000Z</x:v>
      </x:c>
      <x:c r="D378" t="str">
        <x:v>Rates and breadth contradiction</x:v>
      </x:c>
      <x:c r="E378" t="str">
        <x:v>Reuters</x:v>
      </x:c>
      <x:c r="F378" t="str">
        <x:v>High-quality independent market reporting</x:v>
      </x:c>
      <x:c r="G378" s="44" t="str">
        <x:v>https://www.reuters.com/commentary/reuters-open-interest/global-markets-view-usa-2026-10-07/</x:v>
      </x:c>
      <x:c r="H378" s="44" t="str">
        <x:v>The S&amp;P 500 and Nasdaq reached records on expectations for roughly 30% S&amp;P earnings growth, but the New York Fed 10-year term premium reached a 12-year high near 96 basis points and long yields remained near 24-year highs.</x:v>
      </x:c>
      <x:c r="I378" s="44" t="str">
        <x:v>Keeps breadth expression on WAIT</x:v>
      </x:c>
      <x:c r="J378" s="44" t="n">
        <x:v>4</x:v>
      </x:c>
      <x:c r="K378" s="44" t="str">
        <x:v>Mega-cap and AI earnings strength can support the index without confirming the equal-weight, small-cap and cyclical leadership required by EEI-2026-003.</x:v>
      </x:c>
    </x:row>
    <x:row r="379">
      <x:c r="A379" t="str">
        <x:v>EV-2026-374</x:v>
      </x:c>
      <x:c r="B379"/>
      <x:c r="C379" s="21" t="d">
        <x:v>2026-10-07T12:17:12.000Z</x:v>
      </x:c>
      <x:c r="D379" t="str">
        <x:v>Rejected Motley Fool physical-AI trigger</x:v>
      </x:c>
      <x:c r="E379" t="str">
        <x:v>The Motley Fool — Lee Samaha</x:v>
      </x:c>
      <x:c r="F379" t="str">
        <x:v>Trigger only; free public editorial published October 7, 2026 at 5:55 a.m. ET; author disclosed no position; publication recommends ON Semiconductor</x:v>
      </x:c>
      <x:c r="G379" s="44" t="str">
        <x:v>https://www.fool.com/investing/2026/10/07/forget-nvidia-amd-under-radar-chip-stock-on/</x:v>
      </x:c>
      <x:c r="H379" s="44" t="str">
        <x:v>Ticker ON. Claimed catalyst: physical-AI exposure and management's 2030 targets of 12%-14% annual revenue growth and $3.5 billion free cash flow. Expected variable: automotive and industrial semiconductor revenue and free cash flow, up through 2030.</x:v>
      </x:c>
      <x:c r="I379" s="44" t="str">
        <x:v>Rejected as a new thesis</x:v>
      </x:c>
      <x:c r="J379" s="44" t="n">
        <x:v>3</x:v>
      </x:c>
      <x:c r="K379" s="44" t="str">
        <x:v>Primary results show current improvement, but the article depends heavily on long-dated management targets; ON traded near 57 times trailing earnings, mixed segment demand and execution risk leave no demonstrated edge. This was not an official paid-service recommendation.</x:v>
      </x:c>
    </x:row>
    <x:row r="380">
      <x:c r="A380" t="str">
        <x:v>EV-2026-375</x:v>
      </x:c>
      <x:c r="B380"/>
      <x:c r="C380" s="21" t="d">
        <x:v>2026-10-07T12:17:12.000Z</x:v>
      </x:c>
      <x:c r="D380" t="str">
        <x:v>Independent ON Semiconductor validation</x:v>
      </x:c>
      <x:c r="E380" t="str">
        <x:v>ON Semiconductor SEC filing</x:v>
      </x:c>
      <x:c r="F380" t="str">
        <x:v>Primary filing</x:v>
      </x:c>
      <x:c r="G380" s="44" t="str">
        <x:v>https://investor.onsemi.com/static-files/02f573b1-86c1-4a65-a271-a375fd4aba52</x:v>
      </x:c>
      <x:c r="H380" s="44" t="str">
        <x:v>Q2 revenue rose 9% year over year to $1.60 billion and gross margin improved to 38.4% from 37.6%; PSG revenue rose 19%, while AMG fell 2% and industrial demand remained mixed.</x:v>
      </x:c>
      <x:c r="I380" s="44" t="str">
        <x:v>Supports partial operational recovery, not the full Fool catalyst</x:v>
      </x:c>
      <x:c r="J380" s="44" t="n">
        <x:v>5</x:v>
      </x:c>
      <x:c r="K380" s="44" t="str">
        <x:v>The primary filing confirms near-term improvement but not 2030 revenue or free-cash-flow targets, physical-AI market share or sufficient valuation support. No thesis opened.</x:v>
      </x:c>
    </x:row>
    <x:row r="381">
      <x:c r="A381" t="str">
        <x:v>EV-2026-376</x:v>
      </x:c>
      <x:c r="B381"/>
      <x:c r="C381" s="21" t="d">
        <x:v>2026-10-07T12:17:12.000Z</x:v>
      </x:c>
      <x:c r="D381" t="str">
        <x:v>Rejected Motley Fool memory-stock trigger</x:v>
      </x:c>
      <x:c r="E381" t="str">
        <x:v>The Motley Fool — Micah Zimmerman</x:v>
      </x:c>
      <x:c r="F381" t="str">
        <x:v>Trigger only; free public editorial published October 7, 2026 at 5:15 a.m. ET; author disclosed no position; publication disclosed positions/recommendations in Micron, Nvidia, Western Digital and Goldman Sachs</x:v>
      </x:c>
      <x:c r="G381" s="44" t="str">
        <x:v>https://www.fool.com/investing/2026/10/07/sandisk-is-up-500-in-2026-and-micron-isnt-far-behi/</x:v>
      </x:c>
      <x:c r="H381" s="44" t="str">
        <x:v>Tickers MU and SNDK. Claimed catalyst: diversified AI memory demand and a custom Nvidia HBM relationship favor MU over SNDK. Expected variable: HBM, DRAM and data-center SSD revenue, up over several years.</x:v>
      </x:c>
      <x:c r="I381" s="44" t="str">
        <x:v>Rejected as a new thesis after extreme repricing</x:v>
      </x:c>
      <x:c r="J381" s="44" t="n">
        <x:v>3</x:v>
      </x:c>
      <x:c r="K381" s="44" t="str">
        <x:v>Micron's primary results confirm the catalyst, but MU was near $1.2 trillion market value and SNDK had risen more than 600% in 2026. Pricing cyclicality, concentration and headline-chasing risk dominate; this was not an official paid-service recommendation.</x:v>
      </x:c>
    </x:row>
    <x:row r="382">
      <x:c r="A382" t="str">
        <x:v>EV-2026-377</x:v>
      </x:c>
      <x:c r="B382"/>
      <x:c r="C382" s="21" t="d">
        <x:v>2026-10-07T12:17:12.000Z</x:v>
      </x:c>
      <x:c r="D382" t="str">
        <x:v>Independent Micron catalyst validation</x:v>
      </x:c>
      <x:c r="E382" t="str">
        <x:v>Micron Technology investor relations</x:v>
      </x:c>
      <x:c r="F382" t="str">
        <x:v>Primary issuer earnings materials</x:v>
      </x:c>
      <x:c r="G382" s="44" t="str">
        <x:v>https://investors.micron.com/files/doc_financials/2026/q4/Q4-26-Earnings-Deck.pdf</x:v>
      </x:c>
      <x:c r="H382" s="44" t="str">
        <x:v>Micron reported record fiscal 2026 results, HBM revenue growing faster than the company, agreements covering most calendar-2027 HBM bit supply with significant price increases, a custom Nvidia HBM4E program and data-center SSD revenue near $10 billion in fiscal Q4.</x:v>
      </x:c>
      <x:c r="I382" s="44" t="str">
        <x:v>Confirms catalyst; no underappreciated entry</x:v>
      </x:c>
      <x:c r="J382" s="44" t="n">
        <x:v>5</x:v>
      </x:c>
      <x:c r="K382" s="44" t="str">
        <x:v>The facts support AI-memory growth, but the market has already repriced the cycle dramatically. No distinct thesis or acceptable Entry Window was opened.</x:v>
      </x:c>
    </x:row>
    <x:row r="383">
      <x:c r="A383" t="str">
        <x:v>EV-2026-378</x:v>
      </x:c>
      <x:c r="B383" t="str">
        <x:v>EEI-2026-005</x:v>
      </x:c>
      <x:c r="C383" s="21" t="d">
        <x:v>2026-10-07T12:17:12.000Z</x:v>
      </x:c>
      <x:c r="D383" t="str">
        <x:v>BMY candidate queue checkpoint</x:v>
      </x:c>
      <x:c r="E383" t="str">
        <x:v>Bristol Myers Squibb</x:v>
      </x:c>
      <x:c r="F383" t="str">
        <x:v>Primary issuer calendar</x:v>
      </x:c>
      <x:c r="G383" s="44" t="str">
        <x:v>https://news.bms.com/news/corporate-financial/2026/Bristol-Myers-Squibb-to-Report-Results-for-Third-Quarter-2026-on-October-29-2026/default.aspx</x:v>
      </x:c>
      <x:c r="H383" s="44" t="str">
        <x:v>No new operating release resolved the growth-portfolio versus legacy-erosion test. Third-quarter results remain scheduled for October 29.</x:v>
      </x:c>
      <x:c r="I383" s="44" t="str">
        <x:v>No stage or Entry Window change</x:v>
      </x:c>
      <x:c r="J383" s="44" t="n">
        <x:v>5</x:v>
      </x:c>
      <x:c r="K383" s="44" t="str">
        <x:v>BMY stays Developing 3/5, edge 3/5 and WAIT pending growth-portfolio, cash-flow, dividend-coverage and debt evidence.</x:v>
      </x:c>
    </x:row>
    <x:row r="384">
      <x:c r="A384" t="str">
        <x:v>EV-2026-379</x:v>
      </x:c>
      <x:c r="B384" t="str">
        <x:v>EEI-2026-006</x:v>
      </x:c>
      <x:c r="C384" s="21" t="d">
        <x:v>2026-10-07T12:17:12.000Z</x:v>
      </x:c>
      <x:c r="D384" t="str">
        <x:v>LULU candidate queue checkpoint</x:v>
      </x:c>
      <x:c r="E384" t="str">
        <x:v>lululemon</x:v>
      </x:c>
      <x:c r="F384" t="str">
        <x:v>Primary issuer product announcement</x:v>
      </x:c>
      <x:c r="G384" s="44" t="str">
        <x:v>https://corporate.lululemon.com/newsroom/our-stories/2026/lululemon-expands-outerwear-with-new-designs-and-technology</x:v>
      </x:c>
      <x:c r="H384" s="44" t="str">
        <x:v>The company launched a fall outerwear campaign and new products, but supplied no comparable-sales, inventory, margin or demand data.</x:v>
      </x:c>
      <x:c r="I384" s="44" t="str">
        <x:v>No thesis confirmation</x:v>
      </x:c>
      <x:c r="J384" s="44" t="n">
        <x:v>5</x:v>
      </x:c>
      <x:c r="K384" s="44" t="str">
        <x:v>Marketing activity is not evidence that the turnaround variable has stabilized. LULU remains Hypothesis 2/5, edge 2/5 and WAIT.</x:v>
      </x:c>
    </x:row>
    <x:row r="385">
      <x:c r="A385" t="str">
        <x:v>EV-2026-380</x:v>
      </x:c>
      <x:c r="B385" t="str">
        <x:v>EEI-2026-007</x:v>
      </x:c>
      <x:c r="C385" s="21" t="d">
        <x:v>2026-10-07T12:17:12.000Z</x:v>
      </x:c>
      <x:c r="D385" t="str">
        <x:v>AVAV candidate queue checkpoint</x:v>
      </x:c>
      <x:c r="E385" t="str">
        <x:v>AeroVironment investor relations</x:v>
      </x:c>
      <x:c r="F385" t="str">
        <x:v>Primary issuer filings and results center</x:v>
      </x:c>
      <x:c r="G385" s="44" t="str">
        <x:v>https://investor.avinc.com/financial-information/financial-filings-and-releases</x:v>
      </x:c>
      <x:c r="H385" s="44" t="str">
        <x:v>No new operating filing after the September quarter update changed backlog, restatement, profitability or valuation evidence at the scan cutoff.</x:v>
      </x:c>
      <x:c r="I385" s="44" t="str">
        <x:v>No stage or Entry Window change</x:v>
      </x:c>
      <x:c r="J385" s="44" t="n">
        <x:v>5</x:v>
      </x:c>
      <x:c r="K385" s="44" t="str">
        <x:v>AVAV remains Strong 4/5, edge 2/5 and WAIT. The demand catalyst is supported, but accounting, profitability and valuation risks remain unresolved.</x:v>
      </x:c>
    </x:row>
    <x:row r="386">
      <x:c r="A386" t="str">
        <x:v>EV-2026-381</x:v>
      </x:c>
      <x:c r="B386"/>
      <x:c r="C386" s="21" t="d">
        <x:v>2026-10-07T12:17:12.000Z</x:v>
      </x:c>
      <x:c r="D386" t="str">
        <x:v>USAspending and announced-award screen</x:v>
      </x:c>
      <x:c r="E386" t="str">
        <x:v>USAspending.gov / Reuters</x:v>
      </x:c>
      <x:c r="F386" t="str">
        <x:v>Primary award database plus independent reporting</x:v>
      </x:c>
      <x:c r="G386" s="44" t="str">
        <x:v>https://www.usaspending.gov/search</x:v>
      </x:c>
      <x:c r="H386" s="44" t="str">
        <x:v>Anduril Industries, a private recipient, announced a new Navy-related commitment associated with Virginia-class submarine components: reported potential contract value $2.9 billion and private investment $3.7 billion, with operations targeted by 2030. Public records reviewed did not expose a PIID, current obligation, NAICS/PSC, competition status, definitive period milestones or parent-company public equity.</x:v>
      </x:c>
      <x:c r="I386" s="44" t="str">
        <x:v>Rejected as a public-market thesis pending award detail</x:v>
      </x:c>
      <x:c r="J386" s="44" t="n">
        <x:v>3</x:v>
      </x:c>
      <x:c r="K386" s="44" t="str">
        <x:v>This appears to be a new announced award rather than a routine modification, but the recipient is private, the reported ceiling is not equivalent to obligated backlog, required award fields are missing and GD/HII mapping is indirect. Market expectation and materiality to any public beneficiary remain unproven.</x:v>
      </x:c>
    </x:row>
    <x:row r="387">
      <x:c r="A387" t="str">
        <x:v>EV-2026-382</x:v>
      </x:c>
      <x:c r="B387" t="str">
        <x:v>EEI-2026-001</x:v>
      </x:c>
      <x:c r="C387" s="21" t="n">
        <x:v>46302.833333333336</x:v>
      </x:c>
      <x:c r="D387" t="str">
        <x:v>Paper-trade outcome</x:v>
      </x:c>
      <x:c r="E387" t="str">
        <x:v>S&amp;P Global Market Intelligence via StockAnalysis</x:v>
      </x:c>
      <x:c r="F387" t="str">
        <x:v>Regular-session closing market data</x:v>
      </x:c>
      <x:c r="G387" s="44" t="str">
        <x:v>https://stockanalysis.com/etf/bno/</x:v>
      </x:c>
      <x:c r="H387" s="44" t="str">
        <x:v>BNO closed October 7 at $61.90 versus the $57.21 September 8 opening entry. The $1,000 paper position was worth $1081.98, up $81.98 (+8.20%).</x:v>
      </x:c>
      <x:c r="I387" s="44" t="str">
        <x:v>Direct Brent expression remains the strongest cumulative position</x:v>
      </x:c>
      <x:c r="J387" s="44" t="n">
        <x:v>5</x:v>
      </x:c>
      <x:c r="K387" s="44" t="str">
        <x:v>BNO fell 0.05% for the session and remains well above entry; this is a hypothetical fractional-share paper position.</x:v>
      </x:c>
    </x:row>
    <x:row r="388">
      <x:c r="A388" t="str">
        <x:v>EV-2026-383</x:v>
      </x:c>
      <x:c r="B388" t="str">
        <x:v>EEI-2026-001</x:v>
      </x:c>
      <x:c r="C388" s="21" t="n">
        <x:v>46302.833333333336</x:v>
      </x:c>
      <x:c r="D388" t="str">
        <x:v>Paper-trade outcome</x:v>
      </x:c>
      <x:c r="E388" t="str">
        <x:v>S&amp;P Global Market Intelligence via StockAnalysis</x:v>
      </x:c>
      <x:c r="F388" t="str">
        <x:v>Regular-session closing market data</x:v>
      </x:c>
      <x:c r="G388" s="44" t="str">
        <x:v>https://stockanalysis.com/etf/uso/</x:v>
      </x:c>
      <x:c r="H388" s="44" t="str">
        <x:v>USO closed October 7 at $143.91 versus the $144.60 September 8 opening entry. The $1,000 paper position was worth $995.23, down $4.77 (-0.48%).</x:v>
      </x:c>
      <x:c r="I388" s="44" t="str">
        <x:v>WTI expression moved slightly below entry</x:v>
      </x:c>
      <x:c r="J388" s="44" t="n">
        <x:v>5</x:v>
      </x:c>
      <x:c r="K388" s="44" t="str">
        <x:v>USO fell 0.69% for the session and remains far below its mid-September peak; this is a hypothetical fractional-share paper position.</x:v>
      </x:c>
    </x:row>
    <x:row r="389">
      <x:c r="A389" t="str">
        <x:v>EV-2026-384</x:v>
      </x:c>
      <x:c r="B389" t="str">
        <x:v>EEI-2026-001</x:v>
      </x:c>
      <x:c r="C389" s="21" t="n">
        <x:v>46302.833333333336</x:v>
      </x:c>
      <x:c r="D389" t="str">
        <x:v>Paper-trade outcome</x:v>
      </x:c>
      <x:c r="E389" t="str">
        <x:v>S&amp;P Global Market Intelligence via StockAnalysis</x:v>
      </x:c>
      <x:c r="F389" t="str">
        <x:v>Regular-session closing market data</x:v>
      </x:c>
      <x:c r="G389" s="44" t="str">
        <x:v>https://stockanalysis.com/etf/xop/</x:v>
      </x:c>
      <x:c r="H389" s="44" t="str">
        <x:v>XOP closed October 7 at $188.24 versus the $193.84 September 8 opening entry. The $1,000 paper position was worth $971.11, down $28.89 (-2.89%).</x:v>
      </x:c>
      <x:c r="I389" s="44" t="str">
        <x:v>Indirect producer-equity expression remains negative</x:v>
      </x:c>
      <x:c r="J389" s="44" t="n">
        <x:v>5</x:v>
      </x:c>
      <x:c r="K389" s="44" t="str">
        <x:v>XOP fell 0.12% for the session and remains the weakest cumulative expression; this is a hypothetical fractional-share paper position.</x:v>
      </x:c>
    </x:row>
    <x:row r="390">
      <x:c r="A390" t="str">
        <x:v>EV-2026-385</x:v>
      </x:c>
      <x:c r="B390" t="str">
        <x:v>EEI-2026-001</x:v>
      </x:c>
      <x:c r="C390" s="21" t="n">
        <x:v>46302.833333333336</x:v>
      </x:c>
      <x:c r="D390" t="str">
        <x:v>Post-horizon market, inventory and policy evidence</x:v>
      </x:c>
      <x:c r="E390" t="str">
        <x:v>Reuters</x:v>
      </x:c>
      <x:c r="F390" t="str">
        <x:v>High-quality reporting, settlement data and official inventory figures</x:v>
      </x:c>
      <x:c r="G390" s="44" t="str">
        <x:v>https://www.reuters.com/business/energy/oil-prices-rise-storms-air-strikes-threaten-supply-2026-10-07/</x:v>
      </x:c>
      <x:c r="H390" s="44" t="str">
        <x:v>Brent settled October 7 at $100.20 and WTI at $88.28 after the IEA agreed to accelerate delivery of about 100 million barrels still outstanding under its March release plan. U.S. crude inventories unexpectedly fell 3.2 million barrels to 424.1 million; Houthi attacks, Russian-facility strikes and a Gulf hurricane threat supported residual supply risk.</x:v>
      </x:c>
      <x:c r="I390" s="44" t="str">
        <x:v>Policy supply weakens the extended hold; physical risks still support a residual premium</x:v>
      </x:c>
      <x:c r="J390" s="44" t="n">
        <x:v>5</x:v>
      </x:c>
      <x:c r="K390" s="44" t="str">
        <x:v>The IEA volume is largely accelerated delivery of previously pledged barrels, not necessarily a new 100-million-barrel intervention. The mixed evidence leaves the formal September 18 outcome unchanged and does not create a new entry.</x:v>
      </x:c>
    </x:row>
    <x:row r="391">
      <x:c r="A391" t="str">
        <x:v>EV-2026-386</x:v>
      </x:c>
      <x:c r="B391" t="str">
        <x:v>EEI-2026-011</x:v>
      </x:c>
      <x:c r="C391" s="21" t="d">
        <x:v>2026-10-08T12:43:03.000Z</x:v>
      </x:c>
      <x:c r="D391" t="str">
        <x:v>Physical shipping and flow confirmation</x:v>
      </x:c>
      <x:c r="E391" t="str">
        <x:v>Reuters / Kpler / LSEG</x:v>
      </x:c>
      <x:c r="F391" t="str">
        <x:v>High-quality independent reporting of shipping data</x:v>
      </x:c>
      <x:c r="G391" s="44" t="str">
        <x:v>https://www.reuters.com/business/energy/hormuz-transits-lowest-over-two-months-after-attacks-data-shows-2026-10-08/</x:v>
      </x:c>
      <x:c r="H391" s="44" t="str">
        <x:v>Only seven commodity vessels crossed Hormuz on October 6, the fewest since July 23. Crude flow fell 27% week over week to at least 10.1 million bpd, 74% of prewar levels, after tanker attacks reached their wartime high.</x:v>
      </x:c>
      <x:c r="I391" s="44" t="str">
        <x:v>Confirms utilization and security mechanism</x:v>
      </x:c>
      <x:c r="J391" s="44" t="n">
        <x:v>5</x:v>
      </x:c>
      <x:c r="K391" s="44" t="str">
        <x:v>Alternate-coast exports rose to 6.7 million bpd and kept total Middle East exports near prewar levels, preserving a strong normalization countercase.</x:v>
      </x:c>
    </x:row>
    <x:row r="392">
      <x:c r="A392" t="str">
        <x:v>EV-2026-387</x:v>
      </x:c>
      <x:c r="B392" t="str">
        <x:v>EEI-2026-011</x:v>
      </x:c>
      <x:c r="C392" s="21" t="d">
        <x:v>2026-10-08T12:43:03.000Z</x:v>
      </x:c>
      <x:c r="D392" t="str">
        <x:v>Oil and logistics market confirmation</x:v>
      </x:c>
      <x:c r="E392" t="str">
        <x:v>Reuters</x:v>
      </x:c>
      <x:c r="F392" t="str">
        <x:v>High-quality independent market reporting</x:v>
      </x:c>
      <x:c r="G392" s="44" t="str">
        <x:v>https://www.reuters.com/business/energy/oil-rises-middle-east-supply-concerns-persist-amid-shipping-attacks-2026-10-08/</x:v>
      </x:c>
      <x:c r="H392" s="44" t="str">
        <x:v>Brent rose about 4.5% to $104.75 and WTI to $92.28 as shipping attacks and temporary U.S. Gulf shut-ins reinforced supply and logistics risk; stock-release details disappointed because the barrels were previously pledged.</x:v>
      </x:c>
      <x:c r="I392" s="44" t="str">
        <x:v>Strengthens physical thesis; weakens entry</x:v>
      </x:c>
      <x:c r="J392" s="44" t="n">
        <x:v>4</x:v>
      </x:c>
      <x:c r="K392" s="44" t="str">
        <x:v>The crude move validates scarcity risk but increases headline-chasing danger. The IEA release and alternate export routes remain material offsets.</x:v>
      </x:c>
    </x:row>
    <x:row r="393">
      <x:c r="A393" t="str">
        <x:v>EV-2026-388</x:v>
      </x:c>
      <x:c r="B393" t="str">
        <x:v>EEI-2026-011</x:v>
      </x:c>
      <x:c r="C393" s="21" t="d">
        <x:v>2026-10-08T12:43:03.000Z</x:v>
      </x:c>
      <x:c r="D393" t="str">
        <x:v>Formal outcome — tanker equity expression</x:v>
      </x:c>
      <x:c r="E393" t="str">
        <x:v>StockAnalysis / ChartExchange / observable market data</x:v>
      </x:c>
      <x:c r="F393" t="str">
        <x:v>Regular-session closing and historical market data</x:v>
      </x:c>
      <x:c r="G393" s="44" t="str">
        <x:v>https://stockanalysis.com/stocks/fro/history/</x:v>
      </x:c>
      <x:c r="H393" s="44" t="str">
        <x:v>FRO closed October 7 at $53.06 versus $49.81 on September 21, up about 6.5%. DHT closed at $23.71 versus $22.45, up about 5.6% over the same horizon.</x:v>
      </x:c>
      <x:c r="I393" s="44" t="str">
        <x:v>Expression correct; Entry Window stays WAIT</x:v>
      </x:c>
      <x:c r="J393" s="44" t="n">
        <x:v>4</x:v>
      </x:c>
      <x:c r="K393" s="44" t="str">
        <x:v>The equities moved in the predicted direction but lagged the freight-rate spike and remained near highs. Formal outcome: variable Yes, direction Yes, timing Yes, expression Yes, Entry discipline Yes.</x:v>
      </x:c>
    </x:row>
    <x:row r="394">
      <x:c r="A394" t="str">
        <x:v>EV-2026-389</x:v>
      </x:c>
      <x:c r="B394" t="str">
        <x:v>EEI-2026-003</x:v>
      </x:c>
      <x:c r="C394" s="21" t="d">
        <x:v>2026-10-08T12:43:03.000Z</x:v>
      </x:c>
      <x:c r="D394" t="str">
        <x:v>House outlook and district-level countercase</x:v>
      </x:c>
      <x:c r="E394" t="str">
        <x:v>Associated Press</x:v>
      </x:c>
      <x:c r="F394" t="str">
        <x:v>High-quality independent political reporting</x:v>
      </x:c>
      <x:c r="G394" s="44" t="str">
        <x:v>https://apnews.com/article/c87c09149f0d5fe329f78bc73901a8dd</x:v>
      </x:c>
      <x:c r="H394" s="44" t="str">
        <x:v>Democrats remained positioned for large House gains, while Republicans targeted vulnerable Democratic districts in New Hampshire, New York, Ohio, Nevada and New Mexico.</x:v>
      </x:c>
      <x:c r="I394" s="44" t="str">
        <x:v>Supports House-shift thesis; limits certainty</x:v>
      </x:c>
      <x:c r="J394" s="44" t="n">
        <x:v>4</x:v>
      </x:c>
      <x:c r="K394" s="44" t="str">
        <x:v>District-level Republican opportunities and unresolved Senate control prevent treating a Democratic sweep as certain.</x:v>
      </x:c>
    </x:row>
    <x:row r="395">
      <x:c r="A395" t="str">
        <x:v>EV-2026-390</x:v>
      </x:c>
      <x:c r="B395" t="str">
        <x:v>EEI-2026-003</x:v>
      </x:c>
      <x:c r="C395" s="21" t="d">
        <x:v>2026-10-08T12:43:03.000Z</x:v>
      </x:c>
      <x:c r="D395" t="str">
        <x:v>Rates and breadth contradiction</x:v>
      </x:c>
      <x:c r="E395" t="str">
        <x:v>Reuters / observable market data</x:v>
      </x:c>
      <x:c r="F395" t="str">
        <x:v>High-quality market reporting and market data</x:v>
      </x:c>
      <x:c r="G395" s="44" t="str">
        <x:v>https://www.reuters.com/business/wall-st-futures-slide-rising-oil-yields-dampen-mood-2026-10-08/</x:v>
      </x:c>
      <x:c r="H395" s="44" t="str">
        <x:v>Brent moved above $104 and the U.S. 10-year yield held near 5.34%; early indications showed SPY about -0.2%, RSP -0.8% and IWM -1.3%.</x:v>
      </x:c>
      <x:c r="I395" s="44" t="str">
        <x:v>Keeps conditional breadth expression on WAIT</x:v>
      </x:c>
      <x:c r="J395" s="44" t="n">
        <x:v>4</x:v>
      </x:c>
      <x:c r="K395" s="44" t="str">
        <x:v>Political evidence remains strong, but equal-weight and small-cap participation weakened as inflation and financing risks rose.</x:v>
      </x:c>
    </x:row>
    <x:row r="396">
      <x:c r="A396" t="str">
        <x:v>EV-2026-391</x:v>
      </x:c>
      <x:c r="B396" t="str">
        <x:v>EEI-2026-002</x:v>
      </x:c>
      <x:c r="C396" s="21" t="d">
        <x:v>2026-10-08T12:43:03.000Z</x:v>
      </x:c>
      <x:c r="D396" t="str">
        <x:v>Long-run gas normalization modifier</x:v>
      </x:c>
      <x:c r="E396" t="str">
        <x:v>Reuters</x:v>
      </x:c>
      <x:c r="F396" t="str">
        <x:v>High-quality independent reporting</x:v>
      </x:c>
      <x:c r="G396" s="44" t="str">
        <x:v>https://www.reuters.com/business/energy/us-russia-explore-gas-sale-europe-amid-ukraine-war-say-sources-2026-10-08/</x:v>
      </x:c>
      <x:c r="H396" s="44" t="str">
        <x:v>U.S. and Russian officials explored potential Nord Stream-related business structures and European gas sales.</x:v>
      </x:c>
      <x:c r="I396" s="44" t="str">
        <x:v>Remote contradiction only</x:v>
      </x:c>
      <x:c r="J396" s="44" t="n">
        <x:v>4</x:v>
      </x:c>
      <x:c r="K396" s="44" t="str">
        <x:v>Existing U.S. and EU sanctions, German and Polish opposition and security concerns make implementation too uncertain to change current LNG or coal-switching evidence.</x:v>
      </x:c>
    </x:row>
    <x:row r="397">
      <x:c r="A397" t="str">
        <x:v>EV-2026-392</x:v>
      </x:c>
      <x:c r="B397" t="str">
        <x:v>EEI-2026-006</x:v>
      </x:c>
      <x:c r="C397" s="21" t="d">
        <x:v>2026-10-08T12:43:03.000Z</x:v>
      </x:c>
      <x:c r="D397" t="str">
        <x:v>LULU primary leadership checkpoint</x:v>
      </x:c>
      <x:c r="E397" t="str">
        <x:v>lululemon SEC filing</x:v>
      </x:c>
      <x:c r="F397" t="str">
        <x:v>Primary issuer filing</x:v>
      </x:c>
      <x:c r="G397" s="44" t="str">
        <x:v>https://www.sec.gov/Archives/edgar/data/1397187/000139718726000131/lulu-20260930.htm</x:v>
      </x:c>
      <x:c r="H397" s="44" t="str">
        <x:v>lululemon appointed former Nike executive Maggie Gauger chief product officer and expanded CFO Meghan Frank's interim brand and technology responsibilities.</x:v>
      </x:c>
      <x:c r="I397" s="44" t="str">
        <x:v>Relevant turnaround input; no operating confirmation</x:v>
      </x:c>
      <x:c r="J397" s="44" t="n">
        <x:v>5</x:v>
      </x:c>
      <x:c r="K397" s="44" t="str">
        <x:v>The filing contains no comparable-sales, inventory, margin or demand evidence. LULU remains Hypothesis 2/5, edge 2/5 and WAIT.</x:v>
      </x:c>
    </x:row>
    <x:row r="398">
      <x:c r="A398" t="str">
        <x:v>EV-2026-393</x:v>
      </x:c>
      <x:c r="B398" t="str">
        <x:v>EEI-2026-005</x:v>
      </x:c>
      <x:c r="C398" s="21" t="d">
        <x:v>2026-10-08T12:43:03.000Z</x:v>
      </x:c>
      <x:c r="D398" t="str">
        <x:v>Repeated Motley Fool BMY yield trigger</x:v>
      </x:c>
      <x:c r="E398" t="str">
        <x:v>The Motley Fool — Reuben Gregg Brewer</x:v>
      </x:c>
      <x:c r="F398" t="str">
        <x:v>Trigger only; free public editorial published October 7, 2026 at 7:15 p.m. ET; author disclosed a Realty Income position; publication disclosed positions and recommendations in BMY and Realty Income</x:v>
      </x:c>
      <x:c r="G398" s="44" t="str">
        <x:v>https://www.fool.com/investing/2026/10/07/2-high-yield-stocks-to-buy-in-october-hint-bristol/</x:v>
      </x:c>
      <x:c r="H398" s="44" t="str">
        <x:v>Tickers BMY and O. Claimed BMY catalyst: 4.2% yield while waiting for pipeline replacement drugs. Expected variable: dividend-supported total return and eventual replacement revenue, up over years.</x:v>
      </x:c>
      <x:c r="I398" s="44" t="str">
        <x:v>No stage or Entry Window change</x:v>
      </x:c>
      <x:c r="J398" s="44" t="n">
        <x:v>3</x:v>
      </x:c>
      <x:c r="K398" s="44" t="str">
        <x:v>The writer explicitly said there are no clear replacement winners yet. This was free editorial content, not an official paid-service recommendation; no new primary operating evidence supports promotion.</x:v>
      </x:c>
    </x:row>
    <x:row r="399">
      <x:c r="A399" t="str">
        <x:v>EV-2026-394</x:v>
      </x:c>
      <x:c r="B399"/>
      <x:c r="C399" s="21" t="d">
        <x:v>2026-10-08T12:43:03.000Z</x:v>
      </x:c>
      <x:c r="D399" t="str">
        <x:v>Rejected Motley Fool GEV backlog trigger</x:v>
      </x:c>
      <x:c r="E399" t="str">
        <x:v>The Motley Fool — Catie Hogan</x:v>
      </x:c>
      <x:c r="F399" t="str">
        <x:v>Trigger only; free public editorial published October 7, 2026 at 4:23 p.m. ET; author disclosed no position; publication disclosed a GEV position and recommendation</x:v>
      </x:c>
      <x:c r="G399" s="44" t="str">
        <x:v>https://www.fool.com/investing/2026/10/07/could-ge-vernova-be-your-ticket-to-generational/</x:v>
      </x:c>
      <x:c r="H399" s="44" t="str">
        <x:v>Ticker GEV. Claimed catalyst: $176 billion backlog, strong power/electrification orders and AI-linked electricity demand. Expected variable: orders, revenue and free cash flow, up over several years.</x:v>
      </x:c>
      <x:c r="I399" s="44" t="str">
        <x:v>Rejected as a distinct new thesis</x:v>
      </x:c>
      <x:c r="J399" s="44" t="n">
        <x:v>3</x:v>
      </x:c>
      <x:c r="K399" s="44" t="str">
        <x:v>Primary evidence supports the catalyst, but the facts are two months old, GEV traded near 39 times forward earnings and the Wind segment remained loss-making. This was free editorial content, not an official paid-service recommendation.</x:v>
      </x:c>
    </x:row>
    <x:row r="400">
      <x:c r="A400" t="str">
        <x:v>EV-2026-395</x:v>
      </x:c>
      <x:c r="B400"/>
      <x:c r="C400" s="21" t="d">
        <x:v>2026-10-08T12:43:03.000Z</x:v>
      </x:c>
      <x:c r="D400" t="str">
        <x:v>Independent GEV catalyst validation</x:v>
      </x:c>
      <x:c r="E400" t="str">
        <x:v>GE Vernova / SEC</x:v>
      </x:c>
      <x:c r="F400" t="str">
        <x:v>Primary issuer results and filing</x:v>
      </x:c>
      <x:c r="G400" s="44" t="str">
        <x:v>https://www.gevernova.com/news/articles/ge-vernova-releases-second-quarter-2026-financial-results</x:v>
      </x:c>
      <x:c r="H400" s="44" t="str">
        <x:v>Q2 orders rose 88% organically to $24.2 billion, revenue rose 22% to $11.1 billion, backlog reached $176 billion and 2026 free-cash-flow guidance increased to $11.5-$12.5 billion.</x:v>
      </x:c>
      <x:c r="I400" s="44" t="str">
        <x:v>Confirms catalyst; no underappreciated entry</x:v>
      </x:c>
      <x:c r="J400" s="44" t="n">
        <x:v>5</x:v>
      </x:c>
      <x:c r="K400" s="44" t="str">
        <x:v>Wind orders and profitability remained weak, earnings missed expectations and the stock already carried a premium valuation. No distinct thesis or favorable Entry Window was opened.</x:v>
      </x:c>
    </x:row>
    <x:row r="401">
      <x:c r="A401" t="str">
        <x:v>EV-2026-396</x:v>
      </x:c>
      <x:c r="B401"/>
      <x:c r="C401" s="21" t="d">
        <x:v>2026-10-08T12:43:03.000Z</x:v>
      </x:c>
      <x:c r="D401" t="str">
        <x:v>Rejected Motley Fool fintech trigger</x:v>
      </x:c>
      <x:c r="E401" t="str">
        <x:v>The Motley Fool — Leo Sun</x:v>
      </x:c>
      <x:c r="F401" t="str">
        <x:v>Trigger only; free public editorial published October 7, 2026 at 3:59 p.m. ET; author and publication disclosed no positions</x:v>
      </x:c>
      <x:c r="G401" s="44" t="str">
        <x:v>https://www.fool.com/investing/2026/10/07/2-fintech-stocks-to-buy-after-losing-about-half-th/</x:v>
      </x:c>
      <x:c r="H401" s="44" t="str">
        <x:v>Tickers SOFI and CRCL. Claimed catalyst: higher rates may lift SoFi net interest income and Circle reserve income. Expected variable: net interest or reserve income and EBITDA, up over quarters to years.</x:v>
      </x:c>
      <x:c r="I401" s="44" t="str">
        <x:v>Rejected as a new thesis</x:v>
      </x:c>
      <x:c r="J401" s="44" t="n">
        <x:v>3</x:v>
      </x:c>
      <x:c r="K401" s="44" t="str">
        <x:v>Credit risk, deposit funding costs, stablecoin competition, rate sensitivity and regulatory uncertainty make the directional mechanism two-sided. This was free editorial content, not an official paid-service recommendation.</x:v>
      </x:c>
    </x:row>
    <x:row r="402">
      <x:c r="A402" t="str">
        <x:v>EV-2026-397</x:v>
      </x:c>
      <x:c r="B402"/>
      <x:c r="C402" s="21" t="d">
        <x:v>2026-10-08T12:43:03.000Z</x:v>
      </x:c>
      <x:c r="D402" t="str">
        <x:v>New Motley Fool SoFiUSD trigger</x:v>
      </x:c>
      <x:c r="E402" t="str">
        <x:v>The Motley Fool — Rick Orford</x:v>
      </x:c>
      <x:c r="F402" t="str">
        <x:v>Trigger only; free public editorial published October 8, 2026 at 6:33 a.m. ET; author disclosed no position and affiliate compensation; publication disclosed no position</x:v>
      </x:c>
      <x:c r="G402" s="44" t="str">
        <x:v>https://www.fool.com/investing/2026/10/08/sofis-25-billion-stablecoin-push-could-change-its/</x:v>
      </x:c>
      <x:c r="H402" s="44" t="str">
        <x:v>Ticker SOFI. Claimed catalyst: migration of more than $25 billion of annualized card volume to SoFiUSD settlement. Expected variable: recurring payments fees, deposits, reserve income and technology revenue, up over years.</x:v>
      </x:c>
      <x:c r="I402" s="44" t="str">
        <x:v>Rejected pending monetization evidence</x:v>
      </x:c>
      <x:c r="J402" s="44" t="n">
        <x:v>3</x:v>
      </x:c>
      <x:c r="K402" s="44" t="str">
        <x:v>The article itself says scale does not guarantee profit. This was free editorial content, not an official paid-service recommendation; external merchant adoption and economics remain unproven.</x:v>
      </x:c>
    </x:row>
    <x:row r="403">
      <x:c r="A403" t="str">
        <x:v>EV-2026-398</x:v>
      </x:c>
      <x:c r="B403"/>
      <x:c r="C403" s="21" t="d">
        <x:v>2026-10-08T12:43:03.000Z</x:v>
      </x:c>
      <x:c r="D403" t="str">
        <x:v>Independent SoFiUSD catalyst validation</x:v>
      </x:c>
      <x:c r="E403" t="str">
        <x:v>SoFi and Mastercard</x:v>
      </x:c>
      <x:c r="F403" t="str">
        <x:v>Primary issuer and partner announcement</x:v>
      </x:c>
      <x:c r="G403" s="44" t="str">
        <x:v>https://investors.sofi.com/news/news-details/2026/SoFi-Becomes-First-National-Bank-to-Go-Live-with-Stablecoin-Settlement-across-Mastercards-Global-Payments-Network/default.aspx</x:v>
      </x:c>
      <x:c r="H403" s="44" t="str">
        <x:v>SoFi began migrating its $25 billion annualized card program to SoFiUSD settlement and said discussions with large merchants were underway.</x:v>
      </x:c>
      <x:c r="I403" s="44" t="str">
        <x:v>Confirms implementation, not material profit</x:v>
      </x:c>
      <x:c r="J403" s="44" t="n">
        <x:v>5</x:v>
      </x:c>
      <x:c r="K403" s="44" t="str">
        <x:v>The volume is internal settlement activity rather than disclosed new revenue or backlog; merchant deals, pricing, reserve economics, dilution and credit risks remain unresolved. No thesis opened.</x:v>
      </x:c>
    </x:row>
    <x:row r="404">
      <x:c r="A404" t="str">
        <x:v>EV-2026-399</x:v>
      </x:c>
      <x:c r="B404"/>
      <x:c r="C404" s="21" t="d">
        <x:v>2026-10-08T12:43:03.000Z</x:v>
      </x:c>
      <x:c r="D404" t="str">
        <x:v>Autonomous-trucking regulatory trigger</x:v>
      </x:c>
      <x:c r="E404" t="str">
        <x:v>U.S. Department of Transportation via Reuters</x:v>
      </x:c>
      <x:c r="F404" t="str">
        <x:v>Primary regulatory action reported independently</x:v>
      </x:c>
      <x:c r="G404" s="44" t="str">
        <x:v>https://www.reuters.com/business/us-grants-aurora-exemption-self-driving-trucks-safety-feature-2026-10-08/</x:v>
      </x:c>
      <x:c r="H404" s="44" t="str">
        <x:v>USDOT granted Aurora and other autonomous-trucking operators a five-year exemption allowing cab-mounted warning beacons instead of roadside reflective devices, subject to crash reporting and revocation conditions.</x:v>
      </x:c>
      <x:c r="I404" s="44" t="str">
        <x:v>Positive deployment modifier; no thesis</x:v>
      </x:c>
      <x:c r="J404" s="44" t="n">
        <x:v>4</x:v>
      </x:c>
      <x:c r="K404" s="44" t="str">
        <x:v>Aurora operates only about 20 autonomous trucks and the exemption does not establish material revenue, unit economics or adoption. No distinct public-market thesis was opened.</x:v>
      </x:c>
    </x:row>
    <x:row r="405">
      <x:c r="A405" t="str">
        <x:v>EV-2026-400</x:v>
      </x:c>
      <x:c r="B405"/>
      <x:c r="C405" s="21" t="d">
        <x:v>2026-10-08T12:43:03.000Z</x:v>
      </x:c>
      <x:c r="D405" t="str">
        <x:v>USAspending and announced-award screen</x:v>
      </x:c>
      <x:c r="E405" t="str">
        <x:v>USAspending.gov / Defense.gov / Reuters</x:v>
      </x:c>
      <x:c r="F405" t="str">
        <x:v>Primary award database and government records plus independent reporting</x:v>
      </x:c>
      <x:c r="G405" s="44" t="str">
        <x:v>https://www.usaspending.gov/search</x:v>
      </x:c>
      <x:c r="H405" s="44" t="str">
        <x:v>No newly verified public-company award in the scan supplied all required fields and a material, underappreciated equity mapping. The previously announced $2.9 billion Anduril Navy ceiling still lacked a public PIID, current obligation, NAICS/PSC, competition status and clean public parent-company mapping.</x:v>
      </x:c>
      <x:c r="I405" s="44" t="str">
        <x:v>No qualifying contract thesis</x:v>
      </x:c>
      <x:c r="J405" s="44" t="n">
        <x:v>4</x:v>
      </x:c>
      <x:c r="K405" s="44" t="str">
        <x:v>Large ceilings and private-company announcements were not treated as obligated backlog. Routine modifications and incompletely specified awards were rejected.</x:v>
      </x:c>
    </x:row>
    <x:row r="406">
      <x:c r="A406" t="str">
        <x:v>EV-2026-401</x:v>
      </x:c>
      <x:c r="B406" t="str">
        <x:v>EEI-2026-007</x:v>
      </x:c>
      <x:c r="C406" s="21" t="d">
        <x:v>2026-10-08T12:43:03.000Z</x:v>
      </x:c>
      <x:c r="D406" t="str">
        <x:v>AVAV candidate queue checkpoint</x:v>
      </x:c>
      <x:c r="E406" t="str">
        <x:v>AeroVironment investor relations</x:v>
      </x:c>
      <x:c r="F406" t="str">
        <x:v>Primary issuer filings and results center</x:v>
      </x:c>
      <x:c r="G406" s="44" t="str">
        <x:v>https://investor.avinc.com/financial-information/financial-filings-and-releases</x:v>
      </x:c>
      <x:c r="H406" s="44" t="str">
        <x:v>No new operating filing changed autonomous-systems backlog, restatement, profitability, leverage or valuation evidence at the scan cutoff.</x:v>
      </x:c>
      <x:c r="I406" s="44" t="str">
        <x:v>No stage or Entry Window change</x:v>
      </x:c>
      <x:c r="J406" s="44" t="n">
        <x:v>5</x:v>
      </x:c>
      <x:c r="K406" s="44" t="str">
        <x:v>AVAV remains Strong 4/5, edge 2/5 and WAIT. Public drone-list coverage supplied no new primary catalyst.</x:v>
      </x:c>
    </x:row>
    <x:row r="407">
      <x:c r="A407" t="str">
        <x:v>EV-2026-402</x:v>
      </x:c>
      <x:c r="B407" t="str">
        <x:v>EEI-2026-001</x:v>
      </x:c>
      <x:c r="C407" s="21" t="n">
        <x:v>46303.833333333336</x:v>
      </x:c>
      <x:c r="D407" t="str">
        <x:v>Paper-trade outcome</x:v>
      </x:c>
      <x:c r="E407" t="str">
        <x:v>S&amp;P Global Market Intelligence via StockAnalysis</x:v>
      </x:c>
      <x:c r="F407" t="str">
        <x:v>Regular-session closing market data</x:v>
      </x:c>
      <x:c r="G407" s="44" t="str">
        <x:v>https://stockanalysis.com/etf/bno/history/</x:v>
      </x:c>
      <x:c r="H407" s="44" t="str">
        <x:v>BNO closed October 8 at $63.69 versus the $57.21 September 8 opening entry. The $1,000 paper position was worth $1113.27, up $113.27 (+11.33%).</x:v>
      </x:c>
      <x:c r="I407" s="44" t="str">
        <x:v>Direct Brent expression remains the strongest cumulative position</x:v>
      </x:c>
      <x:c r="J407" s="44" t="n">
        <x:v>5</x:v>
      </x:c>
      <x:c r="K407" s="44" t="str">
        <x:v>BNO gained 2.89% for the session and reached an 11.33% cumulative paper return; this is a hypothetical fractional-share position.</x:v>
      </x:c>
    </x:row>
    <x:row r="408">
      <x:c r="A408" t="str">
        <x:v>EV-2026-403</x:v>
      </x:c>
      <x:c r="B408" t="str">
        <x:v>EEI-2026-001</x:v>
      </x:c>
      <x:c r="C408" s="21" t="n">
        <x:v>46303.833333333336</x:v>
      </x:c>
      <x:c r="D408" t="str">
        <x:v>Paper-trade outcome</x:v>
      </x:c>
      <x:c r="E408" t="str">
        <x:v>S&amp;P Global Market Intelligence via StockAnalysis</x:v>
      </x:c>
      <x:c r="F408" t="str">
        <x:v>Regular-session closing market data</x:v>
      </x:c>
      <x:c r="G408" s="44" t="str">
        <x:v>https://stockanalysis.com/etf/uso/history/</x:v>
      </x:c>
      <x:c r="H408" s="44" t="str">
        <x:v>USO closed October 8 at $147.62 versus the $144.60 September 8 opening entry. The $1,000 paper position was worth $1020.89, up $20.89 (+2.09%).</x:v>
      </x:c>
      <x:c r="I408" s="44" t="str">
        <x:v>WTI expression returned above entry but trails BNO</x:v>
      </x:c>
      <x:c r="J408" s="44" t="n">
        <x:v>5</x:v>
      </x:c>
      <x:c r="K408" s="44" t="str">
        <x:v>USO gained 2.57% for the session and returned to a modest cumulative gain; this is a hypothetical fractional-share position.</x:v>
      </x:c>
    </x:row>
    <x:row r="409">
      <x:c r="A409" t="str">
        <x:v>EV-2026-404</x:v>
      </x:c>
      <x:c r="B409" t="str">
        <x:v>EEI-2026-001</x:v>
      </x:c>
      <x:c r="C409" s="21" t="n">
        <x:v>46303.833333333336</x:v>
      </x:c>
      <x:c r="D409" t="str">
        <x:v>Paper-trade outcome</x:v>
      </x:c>
      <x:c r="E409" t="str">
        <x:v>S&amp;P Global Market Intelligence via StockAnalysis</x:v>
      </x:c>
      <x:c r="F409" t="str">
        <x:v>Regular-session closing market data</x:v>
      </x:c>
      <x:c r="G409" s="44" t="str">
        <x:v>https://stockanalysis.com/etf/xop/history/</x:v>
      </x:c>
      <x:c r="H409" s="44" t="str">
        <x:v>XOP closed October 8 at $193.48 versus the $193.84 September 8 opening entry. The $1,000 paper position was worth $998.14, down $1.86 (-0.19%).</x:v>
      </x:c>
      <x:c r="I409" s="44" t="str">
        <x:v>Indirect producer-equity expression remains the weakest cumulative position</x:v>
      </x:c>
      <x:c r="J409" s="44" t="n">
        <x:v>5</x:v>
      </x:c>
      <x:c r="K409" s="44" t="str">
        <x:v>XOP gained 2.78% for the session and nearly returned to entry; this is a hypothetical fractional-share position.</x:v>
      </x:c>
    </x:row>
    <x:row r="410">
      <x:c r="A410" t="str">
        <x:v>EV-2026-405</x:v>
      </x:c>
      <x:c r="B410" t="str">
        <x:v>EEI-2026-001</x:v>
      </x:c>
      <x:c r="C410" s="21" t="n">
        <x:v>46303.833333333336</x:v>
      </x:c>
      <x:c r="D410" t="str">
        <x:v>Post-horizon market and supply-risk evidence</x:v>
      </x:c>
      <x:c r="E410" t="str">
        <x:v>Reuters</x:v>
      </x:c>
      <x:c r="F410" t="str">
        <x:v>High-quality reporting and settlement data</x:v>
      </x:c>
      <x:c r="G410" s="44" t="str">
        <x:v>https://www.reuters.com/business/energy/oil-rises-middle-east-supply-concerns-persist-amid-shipping-attacks-2026-10-08/</x:v>
      </x:c>
      <x:c r="H410" s="44" t="str">
        <x:v>Brent settled October 8 up 4.1% at $104.28 and WTI rose 3.6% to $91.49. Tanker attacks reached their highest frequency of the war, while Hurricane Isaias caused about 1.3 million bpd, or 62.9%, of U.S. Gulf production to be shut in.</x:v>
      </x:c>
      <x:c r="I410" s="44" t="str">
        <x:v>Strongly confirms a renewed supply-risk premium</x:v>
      </x:c>
      <x:c r="J410" s="44" t="n">
        <x:v>5</x:v>
      </x:c>
      <x:c r="K410" s="44" t="str">
        <x:v>Prices retreated from their highs after President Trump said U.S.-Iran talks were productive and promised no U.S. attack before November 3. The rally confirms risk but remains headline-sensitive.</x:v>
      </x:c>
    </x:row>
    <x:row r="411">
      <x:c r="A411" t="str">
        <x:v>EV-2026-406</x:v>
      </x:c>
      <x:c r="B411" t="str">
        <x:v>EEI-2026-001</x:v>
      </x:c>
      <x:c r="C411" s="21" t="n">
        <x:v>46303.833333333336</x:v>
      </x:c>
      <x:c r="D411" t="str">
        <x:v>Post-horizon normalization and logistics evidence</x:v>
      </x:c>
      <x:c r="E411" t="str">
        <x:v>Reuters / Kpler / Energy Aspects</x:v>
      </x:c>
      <x:c r="F411" t="str">
        <x:v>High-quality analysis using industry flow estimates</x:v>
      </x:c>
      <x:c r="G411" s="44" t="str">
        <x:v>https://www.reuters.com/commentary/reuters-open-interest/battle-mideast-oil-market-share-has-already-begun-2026-10-08/</x:v>
      </x:c>
      <x:c r="H411" s="44" t="str">
        <x:v>Hormuz crude exports averaged about 12 million bpd over the prior two weeks, roughly 80% of prewar levels. Including alternative routes, Middle East crude exports exceeded the 18-million-bpd prewar average during much of the week ended October 3; Energy Aspects estimated the global crude deficit would narrow to 250,000 bpd in October from almost 4 million bpd in May.</x:v>
      </x:c>
      <x:c r="I411" s="44" t="str">
        <x:v>Strong normalization counterevidence, offset by persistent tanker risk</x:v>
      </x:c>
      <x:c r="J411" s="44" t="n">
        <x:v>4</x:v>
      </x:c>
      <x:c r="K411" s="44" t="str">
        <x:v>Nearly one tanker a day was hit over the prior two weeks, keeping freight, insurance and Brent elevated. The physical mechanism persists, but higher total exports weaken the extended scarcity case.</x:v>
      </x:c>
    </x:row>
    <x:row r="412">
      <x:c r="A412" t="str">
        <x:v>EV-2026-407</x:v>
      </x:c>
      <x:c r="B412" t="str">
        <x:v>EEI-2026-011</x:v>
      </x:c>
      <x:c r="C412" s="21" t="d">
        <x:v>2026-10-09T12:23:14.000Z</x:v>
      </x:c>
      <x:c r="D412" t="str">
        <x:v>Record VLCC freight changes crude sourcing</x:v>
      </x:c>
      <x:c r="E412" t="str">
        <x:v>Reuters</x:v>
      </x:c>
      <x:c r="F412" t="str">
        <x:v>High-quality independent reporting with broker and refiner quotations</x:v>
      </x:c>
      <x:c r="G412" s="44" t="str">
        <x:v>https://www.reuters.com/business/energy/soaring-freight-rates-threaten-asias-appetite-us-crude-2026-10-09/</x:v>
      </x:c>
      <x:c r="H412" s="44" t="str">
        <x:v>November U.S. Gulf-China VLCC freight reached about $80 million for two million barrels, roughly $40 per barrel versus $8.60 prewar. The U.S.-Asia arbitrage closed and Asian refiners sought Murban and Argentine alternatives.</x:v>
      </x:c>
      <x:c r="I412" s="44" t="str">
        <x:v>Strong physical confirmation; Entry stays WAIT</x:v>
      </x:c>
      <x:c r="J412" s="44" t="n">
        <x:v>5</x:v>
      </x:c>
      <x:c r="K412" s="44" t="str">
        <x:v>Freight is already extreme. Alternative routes, strategic stocks, the large vessel orderbook and geopolitical de-escalation could compress the premium quickly.</x:v>
      </x:c>
    </x:row>
    <x:row r="413">
      <x:c r="A413" t="str">
        <x:v>EV-2026-408</x:v>
      </x:c>
      <x:c r="B413" t="str">
        <x:v>EEI-2026-011</x:v>
      </x:c>
      <x:c r="C413" s="21" t="d">
        <x:v>2026-10-09T12:23:14.000Z</x:v>
      </x:c>
      <x:c r="D413" t="str">
        <x:v>Oil de-escalation and market reversal</x:v>
      </x:c>
      <x:c r="E413" t="str">
        <x:v>Reuters</x:v>
      </x:c>
      <x:c r="F413" t="str">
        <x:v>High-quality independent market reporting</x:v>
      </x:c>
      <x:c r="G413" s="44" t="str">
        <x:v>https://www.reuters.com/world/china/global-markets-wrapup-1-2026-10-09/</x:v>
      </x:c>
      <x:c r="H413" s="44" t="str">
        <x:v>Brent fell more than 1% below $103 after President Trump said there would be no U.S. attack on Iran before November 3; equities rose on the temporary risk reprieve.</x:v>
      </x:c>
      <x:c r="I413" s="44" t="str">
        <x:v>Contradiction and Entry Window risk</x:v>
      </x:c>
      <x:c r="J413" s="44" t="n">
        <x:v>4</x:v>
      </x:c>
      <x:c r="K413" s="44" t="str">
        <x:v>The move shows how quickly conflict premiums and tanker-linked equities can reverse on headlines even while freight remains physically tight.</x:v>
      </x:c>
    </x:row>
    <x:row r="414">
      <x:c r="A414" t="str">
        <x:v>EV-2026-409</x:v>
      </x:c>
      <x:c r="B414" t="str">
        <x:v>EEI-2026-003</x:v>
      </x:c>
      <x:c r="C414" s="21" t="d">
        <x:v>2026-10-09T12:23:14.000Z</x:v>
      </x:c>
      <x:c r="D414" t="str">
        <x:v>House expansion and Senate structural difficulty</x:v>
      </x:c>
      <x:c r="E414" t="str">
        <x:v>Reuters</x:v>
      </x:c>
      <x:c r="F414" t="str">
        <x:v>High-quality independent political reporting</x:v>
      </x:c>
      <x:c r="G414" s="44" t="str">
        <x:v>https://www.reuters.com/world/us/democrats-march-into-trump-country-2026-10-08/</x:v>
      </x:c>
      <x:c r="H414" s="44" t="str">
        <x:v>Democrats expanded House targets into deep Trump districts, but Senate control requires defending Michigan and New Hampshire and flipping four seats from a difficult six-state set.</x:v>
      </x:c>
      <x:c r="I414" s="44" t="str">
        <x:v>Supports House shift; limits sweep confidence</x:v>
      </x:c>
      <x:c r="J414" s="44" t="n">
        <x:v>5</x:v>
      </x:c>
      <x:c r="K414" s="44" t="str">
        <x:v>About three dozen House races remain competitive, and Senate math prevents a high-confidence unified-control conclusion.</x:v>
      </x:c>
    </x:row>
    <x:row r="415">
      <x:c r="A415" t="str">
        <x:v>EV-2026-410</x:v>
      </x:c>
      <x:c r="B415" t="str">
        <x:v>EEI-2026-003</x:v>
      </x:c>
      <x:c r="C415" s="21" t="d">
        <x:v>2026-10-09T12:23:14.000Z</x:v>
      </x:c>
      <x:c r="D415" t="str">
        <x:v>Rates and breadth checkpoint</x:v>
      </x:c>
      <x:c r="E415" t="str">
        <x:v>Reuters / PIMCO</x:v>
      </x:c>
      <x:c r="F415" t="str">
        <x:v>High-quality market reporting; named expert view treated as enhancer, not proof</x:v>
      </x:c>
      <x:c r="G415" s="44" t="str">
        <x:v>https://www.reuters.com/markets/us/us-10-year-treasury-yield-risks-hitting-6-first-time-since-2000-pimcos-ivascyn-2026-10-09/</x:v>
      </x:c>
      <x:c r="H415" s="44" t="str">
        <x:v>Pimco's Dan Ivascyn said the 10-year yield could reach 6%; it was about 5.29%. Equity relief as oil fell remained technology-led rather than broad.</x:v>
      </x:c>
      <x:c r="I415" s="44" t="str">
        <x:v>Keeps conditional expression on WAIT</x:v>
      </x:c>
      <x:c r="J415" s="44" t="n">
        <x:v>4</x:v>
      </x:c>
      <x:c r="K415" s="44" t="str">
        <x:v>A forecast is not proof, but already-high yields and narrow leadership are observable obstacles to the thesis's breadth and rate-sensitive expressions.</x:v>
      </x:c>
    </x:row>
    <x:row r="416">
      <x:c r="A416" t="str">
        <x:v>EV-2026-411</x:v>
      </x:c>
      <x:c r="B416" t="str">
        <x:v>EEI-2026-007</x:v>
      </x:c>
      <x:c r="C416" s="21" t="d">
        <x:v>2026-10-09T12:23:14.000Z</x:v>
      </x:c>
      <x:c r="D416" t="str">
        <x:v>AVAV Navy prototype selection</x:v>
      </x:c>
      <x:c r="E416" t="str">
        <x:v>AeroVironment</x:v>
      </x:c>
      <x:c r="F416" t="str">
        <x:v>Primary issuer announcement</x:v>
      </x:c>
      <x:c r="G416" s="44" t="str">
        <x:v>https://investor.avinc.com/news-releases/news-release-details/avs-videoray-selected-subcontractor-navy-mine-countermeasure</x:v>
      </x:c>
      <x:c r="H416" s="44" t="str">
        <x:v>Wholly owned VideoRay will support an AEVEX-led team selected as one of three awardees for a Navy and DIU autonomous mine-countermeasure prototype effort.</x:v>
      </x:c>
      <x:c r="I416" s="44" t="str">
        <x:v>Confirms demand and technical position; no stage change</x:v>
      </x:c>
      <x:c r="J416" s="44" t="n">
        <x:v>5</x:v>
      </x:c>
      <x:c r="K416" s="44" t="str">
        <x:v>No PIID, obligation, ceiling, workshare, performance period or revenue was disclosed, so materiality and profitability cannot be established. Strong 4/5, edge 2/5, WAIT.</x:v>
      </x:c>
    </x:row>
    <x:row r="417">
      <x:c r="A417" t="str">
        <x:v>EV-2026-412</x:v>
      </x:c>
      <x:c r="B417"/>
      <x:c r="C417" s="21" t="d">
        <x:v>2026-10-09T12:23:14.000Z</x:v>
      </x:c>
      <x:c r="D417" t="str">
        <x:v>Rejected Motley Fool AMD and Palantir market-cap prediction</x:v>
      </x:c>
      <x:c r="E417" t="str">
        <x:v>The Motley Fool — Micah Zimmerman</x:v>
      </x:c>
      <x:c r="F417" t="str">
        <x:v>Trigger only; free public editorial published October 9, 2026 at 7:15 a.m. ET; author disclosed no position; publication disclosed positions and recommendations in AMD, Broadcom, Nvidia and Palantir</x:v>
      </x:c>
      <x:c r="G417" s="44" t="str">
        <x:v>https://www.fool.com/investing/2026/10/09/predict-stocks-worth-more-broadcom-pltr-amd/</x:v>
      </x:c>
      <x:c r="H417" s="44" t="str">
        <x:v>Tickers AMD and PLTR. Claimed catalysts: AMD's OpenAI accelerator deployment and Palantir's rapid commercial growth. Expected variable: revenue and market capitalization, up over five years.</x:v>
      </x:c>
      <x:c r="I417" s="44" t="str">
        <x:v>Rejected as a distinct thesis</x:v>
      </x:c>
      <x:c r="J417" s="44" t="n">
        <x:v>3</x:v>
      </x:c>
      <x:c r="K417" s="44" t="str">
        <x:v>The catalysts were already public and heavily repriced; AMD's structure includes material dilution optionality, while Palantir's valuation leaves little demonstrated trading edge. This was not an official paid-service recommendation.</x:v>
      </x:c>
    </x:row>
    <x:row r="418">
      <x:c r="A418" t="str">
        <x:v>EV-2026-413</x:v>
      </x:c>
      <x:c r="B418"/>
      <x:c r="C418" s="21" t="d">
        <x:v>2026-10-09T12:23:14.000Z</x:v>
      </x:c>
      <x:c r="D418" t="str">
        <x:v>AMD catalyst and dilution validation</x:v>
      </x:c>
      <x:c r="E418" t="str">
        <x:v>AMD / Reuters</x:v>
      </x:c>
      <x:c r="F418" t="str">
        <x:v>Primary issuer announcement plus independent deal analysis</x:v>
      </x:c>
      <x:c r="G418" s="44" t="str">
        <x:v>https://www.amd.com/en/newsroom/press-releases/2025-10-6-openai-and-amd-announce-strategic-partnership-to-deploy-6-gigawatts-of-amd-gpus.html</x:v>
      </x:c>
      <x:c r="H418" s="44" t="str">
        <x:v>AMD and OpenAI announced up to six gigawatts of accelerator deployments beginning with one gigawatt in the second half of 2026; Reuters reported warrants covering up to 160 million AMD shares.</x:v>
      </x:c>
      <x:c r="I418" s="44" t="str">
        <x:v>Catalyst confirmed but already public and dilutive</x:v>
      </x:c>
      <x:c r="J418" s="44" t="n">
        <x:v>5</x:v>
      </x:c>
      <x:c r="K418" s="44" t="str">
        <x:v>The agreement's scale is meaningful, but economics, margins, execution and possible dilution remain uncertain after major repricing. No new thesis or favorable Entry Window was opened.</x:v>
      </x:c>
    </x:row>
    <x:row r="419">
      <x:c r="A419" t="str">
        <x:v>EV-2026-414</x:v>
      </x:c>
      <x:c r="B419"/>
      <x:c r="C419" s="21" t="d">
        <x:v>2026-10-09T12:23:14.000Z</x:v>
      </x:c>
      <x:c r="D419" t="str">
        <x:v>Rejected Motley Fool Everpure trigger</x:v>
      </x:c>
      <x:c r="E419" t="str">
        <x:v>The Motley Fool — John Ballard</x:v>
      </x:c>
      <x:c r="F419" t="str">
        <x:v>Trigger only; free public editorial published October 9, 2026 at 5:30 a.m. ET; author disclosed no position; publication disclosed an Everpure position and recommendation</x:v>
      </x:c>
      <x:c r="G419" s="44" t="str">
        <x:v>https://www.fool.com/investing/2026/10/09/top-storage-stock-to-buy-with-500-right-now/</x:v>
      </x:c>
      <x:c r="H419" s="44" t="str">
        <x:v>Ticker P. Claimed catalysts: 38% Q2 revenue growth and a second top-five hyperscaler design win. Expected variable: hyperscale revenue and operating profit, up over years.</x:v>
      </x:c>
      <x:c r="I419" s="44" t="str">
        <x:v>Rejected as a new thesis</x:v>
      </x:c>
      <x:c r="J419" s="44" t="n">
        <x:v>3</x:v>
      </x:c>
      <x:c r="K419" s="44" t="str">
        <x:v>The results were public since August, the shares were near a 52-week high, and the article omitted the quarter's negative operating and free cash flow. This was not an official paid-service recommendation.</x:v>
      </x:c>
    </x:row>
    <x:row r="420">
      <x:c r="A420" t="str">
        <x:v>EV-2026-415</x:v>
      </x:c>
      <x:c r="B420"/>
      <x:c r="C420" s="21" t="d">
        <x:v>2026-10-09T12:23:14.000Z</x:v>
      </x:c>
      <x:c r="D420" t="str">
        <x:v>Everpure primary financial validation</x:v>
      </x:c>
      <x:c r="E420" t="str">
        <x:v>Everpure</x:v>
      </x:c>
      <x:c r="F420" t="str">
        <x:v>Primary issuer financial release</x:v>
      </x:c>
      <x:c r="G420" s="44" t="str">
        <x:v>https://www.prnewswire.com/news-releases/everpure-announces-second-quarter-fiscal-2027-financial-results-302860903.html</x:v>
      </x:c>
      <x:c r="H420" s="44" t="str">
        <x:v>Q2 revenue rose 38% to $1.186 billion, RPO rose 44% to $4.1 billion and GAAP operating income was $63 million; cash and securities were about $1.0 billion.</x:v>
      </x:c>
      <x:c r="I420" s="44" t="str">
        <x:v>Growth confirmed; cash conversion and valuation contradict entry</x:v>
      </x:c>
      <x:c r="J420" s="44" t="n">
        <x:v>5</x:v>
      </x:c>
      <x:c r="K420" s="44" t="str">
        <x:v>Operating cash flow was negative $136 million, free cash flow negative $238 million, inventory rose, and the stock was near its high. No underappreciated Entry Window was established.</x:v>
      </x:c>
    </x:row>
    <x:row r="421">
      <x:c r="A421" t="str">
        <x:v>EV-2026-416</x:v>
      </x:c>
      <x:c r="B421"/>
      <x:c r="C421" s="21" t="d">
        <x:v>2026-10-09T12:23:14.000Z</x:v>
      </x:c>
      <x:c r="D421" t="str">
        <x:v>Rejected Motley Fool AI portfolio and software lists</x:v>
      </x:c>
      <x:c r="E421" t="str">
        <x:v>The Motley Fool — Will Healy and Micah Zimmerman</x:v>
      </x:c>
      <x:c r="F421" t="str">
        <x:v>Trigger only; free public editorials published October 9, 2026; authors disclosed no positions; publication disclosed relevant positions and recommendations</x:v>
      </x:c>
      <x:c r="G421" s="44" t="str">
        <x:v>https://www.fool.com/investing/2026/10/09/if-youre-worried-about-an-ai-bubble-heres-the-tech/</x:v>
      </x:c>
      <x:c r="H421" s="44" t="str">
        <x:v>Tickers included NVDA, AMZN, GOOGL, PLTR, CRWD, SOUN, APP and NOW. Claimed variables were AI revenue, cloud demand and software adoption over years.</x:v>
      </x:c>
      <x:c r="I421" s="44" t="str">
        <x:v>Rejected as distinct theses</x:v>
      </x:c>
      <x:c r="J421" s="44" t="n">
        <x:v>2</x:v>
      </x:c>
      <x:c r="K421" s="44" t="str">
        <x:v>The pieces were evergreen baskets using already-public facts and promotional upside scenarios, without a new primary catalyst or attractive post-headline structure. They were not official paid-service recommendations.</x:v>
      </x:c>
    </x:row>
    <x:row r="422">
      <x:c r="A422" t="str">
        <x:v>EV-2026-417</x:v>
      </x:c>
      <x:c r="B422"/>
      <x:c r="C422" s="21" t="d">
        <x:v>2026-10-09T12:23:14.000Z</x:v>
      </x:c>
      <x:c r="D422" t="str">
        <x:v>USAspending Palantir order modification screen</x:v>
      </x:c>
      <x:c r="E422" t="str">
        <x:v>USAspending.gov</x:v>
      </x:c>
      <x:c r="F422" t="str">
        <x:v>Primary federal award database</x:v>
      </x:c>
      <x:c r="G422" s="44" t="str">
        <x:v>https://www.usaspending.gov/award/CONT_AWD_N0018926FZ079_9700_W519TC25D0039_9700/</x:v>
      </x:c>
      <x:c r="H422" s="44" t="str">
        <x:v>Palantir USG received Navy delivery order N0018926FZ079 under parent IDIQ W519TC25D0039. Current value was about $64.6 million, obligated amount about $62.7 million, NAICS 541511, PSC 7F20, performance January 30, 2026 through January 29, 2027, and the order was not competed.</x:v>
      </x:c>
      <x:c r="I422" s="44" t="str">
        <x:v>Routine modification/data refresh; no thesis</x:v>
      </x:c>
      <x:c r="J422" s="44" t="n">
        <x:v>5</x:v>
      </x:c>
      <x:c r="K422" s="44" t="str">
        <x:v>This was not a newly originated award at the scan date, no fresh company announcement was found, and the amount was immaterial relative to Palantir's scale and valuation. The market likely expected the program work.</x:v>
      </x:c>
    </x:row>
    <x:row r="423">
      <x:c r="A423" t="str">
        <x:v>EV-2026-418</x:v>
      </x:c>
      <x:c r="B423"/>
      <x:c r="C423" s="21" t="d">
        <x:v>2026-10-09T12:23:14.000Z</x:v>
      </x:c>
      <x:c r="D423" t="str">
        <x:v>Rejected Motley Fool semiconductor keep-or-dump list</x:v>
      </x:c>
      <x:c r="E423" t="str">
        <x:v>The Motley Fool — Geoffrey Seiler</x:v>
      </x:c>
      <x:c r="F423" t="str">
        <x:v>Trigger only; free public editorial published October 9, 2026 at 4:46 a.m. ET; author disclosed AMD, Alphabet, Amazon and Meta positions; publication disclosed relevant positions and recommendations</x:v>
      </x:c>
      <x:c r="G423" s="44" t="str">
        <x:v>https://www.fool.com/investing/2026/10/09/up-200-since-2025-which-ai-stocks-should-you-keep/</x:v>
      </x:c>
      <x:c r="H423" s="44" t="str">
        <x:v>Tickers AMD, MRVL and LITE were framed as keeps; MU, SNDK and INTC as sells. Expected variables were AI hardware revenue, margins and valuation over years.</x:v>
      </x:c>
      <x:c r="I423" s="44" t="str">
        <x:v>Rejected or mapped to existing evidence</x:v>
      </x:c>
      <x:c r="J423" s="44" t="n">
        <x:v>2</x:v>
      </x:c>
      <x:c r="K423" s="44" t="str">
        <x:v>The list reused old catalysts after greater-than-200% price moves and supplied no new primary event. MU mapped to the existing memory-cycle thesis without a stage or Entry Window change; this was not an official paid-service recommendation.</x:v>
      </x:c>
    </x:row>
    <x:row r="424">
      <x:c r="A424" t="str">
        <x:v>EV-2026-419</x:v>
      </x:c>
      <x:c r="B424" t="str">
        <x:v>EEI-2026-001</x:v>
      </x:c>
      <x:c r="C424" s="21" t="n">
        <x:v>46304.833333333336</x:v>
      </x:c>
      <x:c r="D424" t="str">
        <x:v>Paper-trade outcome</x:v>
      </x:c>
      <x:c r="E424" t="str">
        <x:v>S&amp;P Global Market Intelligence via StockAnalysis</x:v>
      </x:c>
      <x:c r="F424" t="str">
        <x:v>Regular-session closing market data</x:v>
      </x:c>
      <x:c r="G424" s="44" t="str">
        <x:v>https://stockanalysis.com/etf/bno/history/</x:v>
      </x:c>
      <x:c r="H424" s="44" t="str">
        <x:v>BNO closed October 9 at $63.99 versus the $57.21 September 8 opening entry. The $1,000 paper position was worth $1118.51, up $118.51 (+11.85%).</x:v>
      </x:c>
      <x:c r="I424" s="44" t="str">
        <x:v>Direct Brent expression remains the strongest cumulative position</x:v>
      </x:c>
      <x:c r="J424" s="44" t="n">
        <x:v>5</x:v>
      </x:c>
      <x:c r="K424" s="44" t="str">
        <x:v>BNO gained 0.55% for the session; this is a hypothetical fractional-share position.</x:v>
      </x:c>
    </x:row>
    <x:row r="425">
      <x:c r="A425" t="str">
        <x:v>EV-2026-420</x:v>
      </x:c>
      <x:c r="B425" t="str">
        <x:v>EEI-2026-001</x:v>
      </x:c>
      <x:c r="C425" s="21" t="n">
        <x:v>46304.833333333336</x:v>
      </x:c>
      <x:c r="D425" t="str">
        <x:v>Paper-trade outcome</x:v>
      </x:c>
      <x:c r="E425" t="str">
        <x:v>S&amp;P Global Market Intelligence via StockAnalysis</x:v>
      </x:c>
      <x:c r="F425" t="str">
        <x:v>Regular-session closing market data</x:v>
      </x:c>
      <x:c r="G425" s="44" t="str">
        <x:v>https://stockanalysis.com/etf/uso/history/</x:v>
      </x:c>
      <x:c r="H425" s="44" t="str">
        <x:v>USO closed October 9 at $148.20 versus the $144.60 September 8 opening entry. The $1,000 paper position was worth $1024.90, up $24.90 (+2.49%).</x:v>
      </x:c>
      <x:c r="I425" s="44" t="str">
        <x:v>WTI expression remains profitable but trails BNO</x:v>
      </x:c>
      <x:c r="J425" s="44" t="n">
        <x:v>5</x:v>
      </x:c>
      <x:c r="K425" s="44" t="str">
        <x:v>USO gained 0.42% for the session; this is a hypothetical fractional-share position.</x:v>
      </x:c>
    </x:row>
    <x:row r="426">
      <x:c r="A426" t="str">
        <x:v>EV-2026-421</x:v>
      </x:c>
      <x:c r="B426" t="str">
        <x:v>EEI-2026-001</x:v>
      </x:c>
      <x:c r="C426" s="21" t="n">
        <x:v>46304.833333333336</x:v>
      </x:c>
      <x:c r="D426" t="str">
        <x:v>Paper-trade outcome</x:v>
      </x:c>
      <x:c r="E426" t="str">
        <x:v>S&amp;P Global Market Intelligence via StockAnalysis</x:v>
      </x:c>
      <x:c r="F426" t="str">
        <x:v>Regular-session closing market data</x:v>
      </x:c>
      <x:c r="G426" s="44" t="str">
        <x:v>https://stockanalysis.com/etf/xop/history/</x:v>
      </x:c>
      <x:c r="H426" s="44" t="str">
        <x:v>XOP closed October 9 at $191.52 versus the $193.84 September 8 opening entry. The $1,000 paper position was worth $988.03, down $11.97 (-1.20%).</x:v>
      </x:c>
      <x:c r="I426" s="44" t="str">
        <x:v>Producer-equity expression remains the weakest</x:v>
      </x:c>
      <x:c r="J426" s="44" t="n">
        <x:v>5</x:v>
      </x:c>
      <x:c r="K426" s="44" t="str">
        <x:v>XOP fell 1.02% even as crude benchmarks rose; this is a hypothetical fractional-share position.</x:v>
      </x:c>
    </x:row>
    <x:row r="427">
      <x:c r="A427" t="str">
        <x:v>EV-2026-422</x:v>
      </x:c>
      <x:c r="B427" t="str">
        <x:v>EEI-2026-001</x:v>
      </x:c>
      <x:c r="C427" s="21" t="n">
        <x:v>46304.833333333336</x:v>
      </x:c>
      <x:c r="D427" t="str">
        <x:v>Post-horizon market and supply evidence</x:v>
      </x:c>
      <x:c r="E427" t="str">
        <x:v>Reuters</x:v>
      </x:c>
      <x:c r="F427" t="str">
        <x:v>High-quality reporting and settlement data</x:v>
      </x:c>
      <x:c r="G427" s="44" t="str">
        <x:v>https://www.reuters.com/business/energy/oil-falls-trump-comments-iran-talks-ease-supply-concerns-2026-10-09/</x:v>
      </x:c>
      <x:c r="H427" s="44" t="str">
        <x:v>Brent settled October 9 at $104.72, up 0.42%, and WTI at $91.85, up 0.39%, as Hurricane Isaias shut more than 70% of U.S. offshore Gulf output, about 1.3 million bpd as of Thursday.</x:v>
      </x:c>
      <x:c r="I427" s="44" t="str">
        <x:v>Confirms that additional supply disruption still supports crude prices</x:v>
      </x:c>
      <x:c r="J427" s="44" t="n">
        <x:v>5</x:v>
      </x:c>
      <x:c r="K427" s="44" t="str">
        <x:v>Productive U.S.-Iran talks, a pledge of no U.S. attack before November 3 and China's resumed refined-product exports weighed on prices earlier, underscoring headline risk.</x:v>
      </x:c>
    </x:row>
    <x:row r="428">
      <x:c r="A428" t="str">
        <x:v>EV-2026-423</x:v>
      </x:c>
      <x:c r="B428" t="str">
        <x:v>EEI-2026-001</x:v>
      </x:c>
      <x:c r="C428" s="21" t="n">
        <x:v>46304.833333333336</x:v>
      </x:c>
      <x:c r="D428" t="str">
        <x:v>Post-horizon Hormuz flow evidence</x:v>
      </x:c>
      <x:c r="E428" t="str">
        <x:v>Reuters / Kpler / LSEG</x:v>
      </x:c>
      <x:c r="F428" t="str">
        <x:v>High-quality reporting using independent shipping data</x:v>
      </x:c>
      <x:c r="G428" s="44" t="str">
        <x:v>https://www.reuters.com/business/energy/hormuz-transits-lowest-over-two-months-after-attacks-data-shows-2026-10-08/</x:v>
      </x:c>
      <x:c r="H428" s="44" t="str">
        <x:v>Seven commodity vessels crossed Hormuz on October 6, the fewest since July 23, and crude flows were 74% of prewar levels after tanker attacks reached their wartime high.</x:v>
      </x:c>
      <x:c r="I428" s="44" t="str">
        <x:v>Confirms persistent physical disruption, but not a full regional export shortage</x:v>
      </x:c>
      <x:c r="J428" s="44" t="n">
        <x:v>5</x:v>
      </x:c>
      <x:c r="K428" s="44" t="str">
        <x:v>Gulf of Oman and Red Sea exports rose to 6.7 million bpd and kept total Middle East crude exports near prewar levels, materially weakening the extended scarcity case.</x:v>
      </x:c>
    </x:row>
    <x:row r="429">
      <x:c r="A429" t="str">
        <x:v>EV-2026-424</x:v>
      </x:c>
      <x:c r="B429" t="str">
        <x:v>EEI-2026-012</x:v>
      </x:c>
      <x:c r="C429" s="21" t="d">
        <x:v>2026-10-10T12:15:49.000Z</x:v>
      </x:c>
      <x:c r="D429" t="str">
        <x:v>New Raytheon SM-3 Block IB multiyear award</x:v>
      </x:c>
      <x:c r="E429" t="str">
        <x:v>Department of War</x:v>
      </x:c>
      <x:c r="F429" t="str">
        <x:v>Primary government contract announcement</x:v>
      </x:c>
      <x:c r="G429" s="44" t="str">
        <x:v>https://www.war.gov/News/Contracts/Contract/Article/4622898/contracts-for-oct-8-2026/</x:v>
      </x:c>
      <x:c r="H429" s="44" t="str">
        <x:v>Recipient Raytheon Company, parent RTX. Missile Defense Agency award HQ0851-27-C-E001 is a new, noncompetitive, multiyear undefinitized contract action. Base/current value $4,432,040,944; potential value with options $6,342,404,516; $454,215,132 obligated at award. The work covers SM-3 Block IB all-up rounds in Tucson and Huntsville, with completion expected October 31, 2034. NAICS and PSC were not yet visible in USAspending.</x:v>
      </x:c>
      <x:c r="I429" s="44" t="str">
        <x:v>Strong confirmation of the existing RTX production-ramp thesis</x:v>
      </x:c>
      <x:c r="J429" s="44" t="n">
        <x:v>5</x:v>
      </x:c>
      <x:c r="K429" s="44" t="str">
        <x:v>The base is about 5% of RTX's 2025 company sales and revenue will be spread over years. Only about 7.2% of the potential ceiling was initially obligated, terms remain undefinitized, the action was noncompetitive, and capacity, appropriations and margin conversion remain decisive. The company announced the award; August framework agreements made direction partly expected.</x:v>
      </x:c>
    </x:row>
    <x:row r="430">
      <x:c r="A430" t="str">
        <x:v>EV-2026-425</x:v>
      </x:c>
      <x:c r="B430" t="str">
        <x:v>EEI-2026-012</x:v>
      </x:c>
      <x:c r="C430" s="21" t="d">
        <x:v>2026-10-10T12:15:49.000Z</x:v>
      </x:c>
      <x:c r="D430" t="str">
        <x:v>RTX confirms SM-3 term and production locations</x:v>
      </x:c>
      <x:c r="E430" t="str">
        <x:v>RTX</x:v>
      </x:c>
      <x:c r="F430" t="str">
        <x:v>Primary issuer announcement</x:v>
      </x:c>
      <x:c r="G430" s="44" t="str">
        <x:v>https://www.rtx.com/news/news-center/2026/10/08/rtxs-raytheon-awarded-6-3-billion-multi-year-contract-for-sm-3-ib-interceptors</x:v>
      </x:c>
      <x:c r="H430" s="44" t="str">
        <x:v>RTX confirmed a five-year production and sustainment contract with two additional option years, valued up to $6.3 billion, with work primarily in Tucson and Huntsville.</x:v>
      </x:c>
      <x:c r="I430" s="44" t="str">
        <x:v>Issuer confirmation; no stage change</x:v>
      </x:c>
      <x:c r="J430" s="44" t="n">
        <x:v>5</x:v>
      </x:c>
      <x:c r="K430" s="44" t="str">
        <x:v>RTX did not disclose the initial obligation, profit terms or cash-flow schedule in its release. Company framing is promotional and was not used as independent confirmation.</x:v>
      </x:c>
    </x:row>
    <x:row r="431">
      <x:c r="A431" t="str">
        <x:v>EV-2026-426</x:v>
      </x:c>
      <x:c r="B431" t="str">
        <x:v>EEI-2026-012</x:v>
      </x:c>
      <x:c r="C431" s="21" t="d">
        <x:v>2026-10-10T12:15:49.000Z</x:v>
      </x:c>
      <x:c r="D431" t="str">
        <x:v>RTX market reaction after SM-3 award</x:v>
      </x:c>
      <x:c r="E431" t="str">
        <x:v>Market data</x:v>
      </x:c>
      <x:c r="F431" t="str">
        <x:v>Observable October 9 regular-session close</x:v>
      </x:c>
      <x:c r="G431" s="44" t="str">
        <x:v>https://www.reuters.com/business/aerospace-defense/rtxs-raytheon-wins-up-63-billion-us-missile-contract-2026-10-08/</x:v>
      </x:c>
      <x:c r="H431" s="44" t="str">
        <x:v>RTX closed October 9 at $185.97, up about 0.89% for the session, after the award was announced late October 8.</x:v>
      </x:c>
      <x:c r="I431" s="44" t="str">
        <x:v>Modest confirmation; Entry remains WAIT</x:v>
      </x:c>
      <x:c r="J431" s="44" t="n">
        <x:v>4</x:v>
      </x:c>
      <x:c r="K431" s="44" t="str">
        <x:v>The move was small relative to the headline ceiling and does not establish a clean breakout or underpriced entry. Funding and execution remain more important than the ceiling.</x:v>
      </x:c>
    </x:row>
    <x:row r="432">
      <x:c r="A432" t="str">
        <x:v>EV-2026-427</x:v>
      </x:c>
      <x:c r="B432" t="str">
        <x:v>EEI-2026-003</x:v>
      </x:c>
      <x:c r="C432" s="21" t="d">
        <x:v>2026-10-10T12:15:49.000Z</x:v>
      </x:c>
      <x:c r="D432" t="str">
        <x:v>Democrats expand House battlefield</x:v>
      </x:c>
      <x:c r="E432" t="str">
        <x:v>Reuters</x:v>
      </x:c>
      <x:c r="F432" t="str">
        <x:v>High-quality independent political reporting</x:v>
      </x:c>
      <x:c r="G432" s="44" t="str">
        <x:v>https://www.reuters.com/world/us/midterm-strategy-driving-democrats-deep-into-trump-country-2026-10-10/</x:v>
      </x:c>
      <x:c r="H432" s="44" t="str">
        <x:v>The DCCC added 14 Republican-held districts, bringing its target list to 66 seats; some Republican-aligned groups began spending in newly targeted districts and two Democratic campaigns reported faster fundraising.</x:v>
      </x:c>
      <x:c r="I432" s="44" t="str">
        <x:v>Incremental support for a House-control shift</x:v>
      </x:c>
      <x:c r="J432" s="44" t="n">
        <x:v>5</x:v>
      </x:c>
      <x:c r="K432" s="44" t="str">
        <x:v>Many additions remain rated safely Republican, analysts want to see actual spending and Republicans argue the expansion could dilute Democratic resources. The development does not resolve Senate control.</x:v>
      </x:c>
    </x:row>
    <x:row r="433">
      <x:c r="A433" t="str">
        <x:v>EV-2026-428</x:v>
      </x:c>
      <x:c r="B433" t="str">
        <x:v>EEI-2026-003</x:v>
      </x:c>
      <x:c r="C433" s="21" t="d">
        <x:v>2026-10-10T12:15:49.000Z</x:v>
      </x:c>
      <x:c r="D433" t="str">
        <x:v>Consumer sentiment near record low</x:v>
      </x:c>
      <x:c r="E433" t="str">
        <x:v>Reuters / University of Michigan</x:v>
      </x:c>
      <x:c r="F433" t="str">
        <x:v>High-quality reporting of a primary survey</x:v>
      </x:c>
      <x:c r="G433" s="44" t="str">
        <x:v>https://www.reuters.com/business/us-consumer-sentiment-deteriorates-further-october-2026-10-09/</x:v>
      </x:c>
      <x:c r="H433" s="44" t="str">
        <x:v>The preliminary October consumer-sentiment index fell to 46.3 from 48.1; current conditions fell to a record-low 44.7. Fifty-four percent of consumers reported cutting back because prices were high, while one-year inflation expectations were 4.7% and five-year expectations 3.5%.</x:v>
      </x:c>
      <x:c r="I433" s="44" t="str">
        <x:v>Supports voter-economy pressure; no market entry</x:v>
      </x:c>
      <x:c r="J433" s="44" t="n">
        <x:v>5</x:v>
      </x:c>
      <x:c r="K433" s="44" t="str">
        <x:v>Aggregate spending remains supported by higher-income households and equity wealth, and survey distress is not an election result or direct breadth signal.</x:v>
      </x:c>
    </x:row>
    <x:row r="434">
      <x:c r="A434" t="str">
        <x:v>EV-2026-429</x:v>
      </x:c>
      <x:c r="B434" t="str">
        <x:v>EEI-2026-003</x:v>
      </x:c>
      <x:c r="C434" s="21" t="d">
        <x:v>2026-10-10T12:15:49.000Z</x:v>
      </x:c>
      <x:c r="D434" t="str">
        <x:v>Cost-of-living blame crosses party lines</x:v>
      </x:c>
      <x:c r="E434" t="str">
        <x:v>Reuters / Ipsos</x:v>
      </x:c>
      <x:c r="F434" t="str">
        <x:v>High-quality independent national polling</x:v>
      </x:c>
      <x:c r="G434" s="44" t="str">
        <x:v>https://www.reuters.com/world/us/bipartisan-majority-americans-blame-trump-policies-rising-costs-reutersipsos-2026-10-09/</x:v>
      </x:c>
      <x:c r="H434" s="44" t="str">
        <x:v>Seventy-eight percent of adults said White House policies contributed to higher costs; 57% of Republicans said costs were rising faster than pay. The poll covered 4,506 adults with a roughly two-point margin of error.</x:v>
      </x:c>
      <x:c r="I434" s="44" t="str">
        <x:v>Strengthens the political trigger; stage unchanged</x:v>
      </x:c>
      <x:c r="J434" s="44" t="n">
        <x:v>5</x:v>
      </x:c>
      <x:c r="K434" s="44" t="str">
        <x:v>Issue blame and national sentiment do not map mechanically to district results, and funding, turnout, candidate quality and Senate geography remain major modifiers.</x:v>
      </x:c>
    </x:row>
    <x:row r="435">
      <x:c r="A435" t="str">
        <x:v>EV-2026-430</x:v>
      </x:c>
      <x:c r="B435"/>
      <x:c r="C435" s="21" t="d">
        <x:v>2026-10-10T12:15:49.000Z</x:v>
      </x:c>
      <x:c r="D435" t="str">
        <x:v>Rejected Motley Fool SoFi pre-earnings suggestion</x:v>
      </x:c>
      <x:c r="E435" t="str">
        <x:v>The Motley Fool — Jennifer Saibil</x:v>
      </x:c>
      <x:c r="F435" t="str">
        <x:v>Trigger only; free public editorial published October 10, 2026 at 5:40 a.m. ET; author disclosed a SOFI position; publication disclosed no SOFI position</x:v>
      </x:c>
      <x:c r="G435" s="44" t="str">
        <x:v>https://www.fool.com/investing/2026/10/10/should-you-buy-sofi-stock-before-oct-27/</x:v>
      </x:c>
      <x:c r="H435" s="44" t="str">
        <x:v>Ticker SOFI. Claimed catalyst: October 27 earnings and continuing member, product and cross-sell growth. Expected variable: revenue, credit performance and EPS, up over years.</x:v>
      </x:c>
      <x:c r="I435" s="44" t="str">
        <x:v>Rejected as a new thesis; next factual checkpoint October 27</x:v>
      </x:c>
      <x:c r="J435" s="44" t="n">
        <x:v>2</x:v>
      </x:c>
      <x:c r="K435" s="44" t="str">
        <x:v>The article reused second-quarter data and Wall Street estimates, offered no new primary catalyst and explicitly framed the near-term reaction as unknowable. High rates and credit metrics remain the key bear case. This was not an official paid-service recommendation.</x:v>
      </x:c>
    </x:row>
    <x:row r="436">
      <x:c r="A436" t="str">
        <x:v>EV-2026-431</x:v>
      </x:c>
      <x:c r="B436"/>
      <x:c r="C436" s="21" t="d">
        <x:v>2026-10-10T12:15:49.000Z</x:v>
      </x:c>
      <x:c r="D436" t="str">
        <x:v>Rejected Motley Fool optical-networking basket</x:v>
      </x:c>
      <x:c r="E436" t="str">
        <x:v>The Motley Fool — Patrick Sanders</x:v>
      </x:c>
      <x:c r="F436" t="str">
        <x:v>Trigger only; free public editorial published October 10, 2026 at 6:22 a.m. ET; author disclosed no positions; publication disclosed positions or recommendations in ANET, COHR, LITE, MRVL and ALAB</x:v>
      </x:c>
      <x:c r="G436" s="44" t="str">
        <x:v>https://www.fool.com/investing/2026/10/10/data-centers-need-faster-connections-these-6-optic/</x:v>
      </x:c>
      <x:c r="H436" s="44" t="str">
        <x:v>Tickers CRDO, ALAB, ANET, COHR, LITE and MRVL. Claimed catalyst: rising AI-cluster interconnect demand. Expected variable: optical and networking revenue, up over multiple years.</x:v>
      </x:c>
      <x:c r="I436" s="44" t="str">
        <x:v>Rejected as distinct theses</x:v>
      </x:c>
      <x:c r="J436" s="44" t="n">
        <x:v>2</x:v>
      </x:c>
      <x:c r="K436" s="44" t="str">
        <x:v>The piece was an evergreen basket using already-published results after major repricing, with no new order, filing or customer event. Valuation, concentration and capex-cycle risks remain. This was not an official paid-service recommendation.</x:v>
      </x:c>
    </x:row>
    <x:row r="437">
      <x:c r="A437" t="str">
        <x:v>EV-2026-432</x:v>
      </x:c>
      <x:c r="B437"/>
      <x:c r="C437" s="21" t="d">
        <x:v>2026-10-10T12:15:49.000Z</x:v>
      </x:c>
      <x:c r="D437" t="str">
        <x:v>Rejected Motley Fool PayPal acquisition speculation</x:v>
      </x:c>
      <x:c r="E437" t="str">
        <x:v>The Motley Fool — Keith Noonan</x:v>
      </x:c>
      <x:c r="F437" t="str">
        <x:v>Trigger only; free public editorial published October 10, 2026 at 6:16 a.m. ET; author disclosed no position; publication disclosed a PYPL position/recommendation and short December 2026 $62.50 calls</x:v>
      </x:c>
      <x:c r="G437" s="44" t="str">
        <x:v>https://www.fool.com/investing/2026/10/10/paypal-pays-dividend-buys-back-billions-stock/</x:v>
      </x:c>
      <x:c r="H437" s="44" t="str">
        <x:v>Ticker PYPL. Factual catalysts were the previously announced dividend and buyback policy; the writer's claimed five-year acquisition possibility was opinion. Expected variable: capital return and valuation, up over years.</x:v>
      </x:c>
      <x:c r="I437" s="44" t="str">
        <x:v>Rejected as a new thesis</x:v>
      </x:c>
      <x:c r="J437" s="44" t="n">
        <x:v>2</x:v>
      </x:c>
      <x:c r="K437" s="44" t="str">
        <x:v>No filing, bid or strategic-review evidence supported the acquisition claim. Competitive pressure and weak branded-checkout growth remain the central bear case. This was not an official paid-service recommendation.</x:v>
      </x:c>
    </x:row>
    <x:row r="438">
      <x:c r="A438" t="str">
        <x:v>EV-2026-433</x:v>
      </x:c>
      <x:c r="B438"/>
      <x:c r="C438" s="21" t="d">
        <x:v>2026-10-10T12:15:49.000Z</x:v>
      </x:c>
      <x:c r="D438" t="str">
        <x:v>Rejected Motley Fool TSMC AI-growth suggestion</x:v>
      </x:c>
      <x:c r="E438" t="str">
        <x:v>The Motley Fool — Jennifer Saibil</x:v>
      </x:c>
      <x:c r="F438" t="str">
        <x:v>Trigger only; free public editorial published October 10, 2026 at 1:00 a.m. ET; author disclosed TSM and AAPL positions; publication disclosed a TSM position and recommendation</x:v>
      </x:c>
      <x:c r="G438" s="44" t="str">
        <x:v>https://www.fool.com/investing/2026/10/10/this-forgotten-ai-stock-is-up-689-and-nobodys-talk/</x:v>
      </x:c>
      <x:c r="H438" s="44" t="str">
        <x:v>Ticker TSM. Claimed catalyst: dominant foundry exposure to AI demand, Arizona investment and growth. Expected variable: revenue, margins and capacity, up over years; next earnings October 15.</x:v>
      </x:c>
      <x:c r="I438" s="44" t="str">
        <x:v>Rejected as a new thesis</x:v>
      </x:c>
      <x:c r="J438" s="44" t="n">
        <x:v>2</x:v>
      </x:c>
      <x:c r="K438" s="44" t="str">
        <x:v>The article relied on previously reported quarter data, and the stock had already risen 689% since ChatGPT and traded near its 52-week high. Geopolitical, capex and margin risks remain. This was not an official paid-service recommendation.</x:v>
      </x:c>
    </x:row>
    <x:row r="439">
      <x:c r="A439" t="str">
        <x:v>EV-2026-434</x:v>
      </x:c>
      <x:c r="B439" t="str">
        <x:v>EEI-2026-011</x:v>
      </x:c>
      <x:c r="C439" s="21" t="d">
        <x:v>2026-10-10T12:15:49.000Z</x:v>
      </x:c>
      <x:c r="D439" t="str">
        <x:v>Proposed Hormuz-bypass pipeline</x:v>
      </x:c>
      <x:c r="E439" t="str">
        <x:v>Reuters</x:v>
      </x:c>
      <x:c r="F439" t="str">
        <x:v>High-quality independent investigative reporting</x:v>
      </x:c>
      <x:c r="G439" s="44" t="str">
        <x:v>https://www.reuters.com/world/us/trump-envoy-kept-financial-ties-firm-behind-15-billion-hormuz-bypass-oil-2026-10-09/</x:v>
      </x:c>
      <x:c r="H439" s="44" t="str">
        <x:v>Iraq and Syria signed memorandums for technical and financial studies on reviving the Kirkuk-Baniyas pipeline, which would bypass Hormuz. Reuters reported the project could cost $15 billion and take at least four years.</x:v>
      </x:c>
      <x:c r="I439" s="44" t="str">
        <x:v>Long-run normalization modifier; no current thesis change</x:v>
      </x:c>
      <x:c r="J439" s="44" t="n">
        <x:v>4</x:v>
      </x:c>
      <x:c r="K439" s="44" t="str">
        <x:v>The pipeline is only at study stage, has been out of action since 2003, faces financing and political risk, and cannot relieve current tanker scarcity. Reported conflict-of-interest concerns add implementation risk.</x:v>
      </x:c>
    </x:row>
    <x:row r="440">
      <x:c r="A440" t="str">
        <x:v>EV-2026-435</x:v>
      </x:c>
      <x:c r="B440" t="str">
        <x:v>EEI-2026-011</x:v>
      </x:c>
      <x:c r="C440" s="21" t="d">
        <x:v>2026-10-11T12:47:29.000Z</x:v>
      </x:c>
      <x:c r="D440" t="str">
        <x:v>U.S. enforces Iran blockade against commercial cargo vessel</x:v>
      </x:c>
      <x:c r="E440" t="str">
        <x:v>Reuters / U.S. Central Command</x:v>
      </x:c>
      <x:c r="F440" t="str">
        <x:v>Primary military statement independently reported</x:v>
      </x:c>
      <x:c r="G440" s="44" t="str">
        <x:v>https://www.reuters.com/world/us-military-says-it-disabled-cargo-vessel-trying-run-iran-blockade-2026-10-11/</x:v>
      </x:c>
      <x:c r="H440" s="44" t="str">
        <x:v>CENTCOM said a U.S. fighter jet disabled the propulsion of Panama-flagged M/V Ocean Molica, also known as Arika Sun, after it ignored warnings and attempted to run the blockade after leaving an Iranian port. Reuters reported no crew harm and said Hormuz transits had fallen to the lowest level in more than two months.</x:v>
      </x:c>
      <x:c r="I440" s="44" t="str">
        <x:v>Strong continuation evidence for route and utilization risk; no Entry change</x:v>
      </x:c>
      <x:c r="J440" s="44" t="n">
        <x:v>5</x:v>
      </x:c>
      <x:c r="K440" s="44" t="str">
        <x:v>The incident involved one cargo vessel rather than a tanker and created no disclosed new loss of oil supply. Alternate routes, guarded transit, emergency stocks and diplomacy remain material offsets; Sunday supplied no market confirmation.</x:v>
      </x:c>
    </x:row>
    <x:row r="441">
      <x:c r="A441" t="str">
        <x:v>EV-2026-436</x:v>
      </x:c>
      <x:c r="B441" t="str">
        <x:v>EEI-2026-009</x:v>
      </x:c>
      <x:c r="C441" s="21" t="d">
        <x:v>2026-10-11T12:47:29.000Z</x:v>
      </x:c>
      <x:c r="D441" t="str">
        <x:v>Conditional halt to refinery strikes</x:v>
      </x:c>
      <x:c r="E441" t="str">
        <x:v>Reuters</x:v>
      </x:c>
      <x:c r="F441" t="str">
        <x:v>High-quality independent reporting of government statements</x:v>
      </x:c>
      <x:c r="G441" s="44" t="str">
        <x:v>https://www.reuters.com/world/europe/ukraine-will-halt-strikes-refineries-if-russia-stops-energy-attacks-zelenskiy-2026-10-11/</x:v>
      </x:c>
      <x:c r="H441" s="44" t="str">
        <x:v>Ukraine said it would halt attacks on Russian refineries only if Russia stopped attacks on Ukrainian energy infrastructure and supplied real guarantees. Analysts said the announced U.S.-Russia diesel volumes remained far below normal Russian exports.</x:v>
      </x:c>
      <x:c r="I441" s="44" t="str">
        <x:v>Normalization modifier; thesis and Entry unchanged</x:v>
      </x:c>
      <x:c r="J441" s="44" t="n">
        <x:v>5</x:v>
      </x:c>
      <x:c r="K441" s="44" t="str">
        <x:v>There was no reciprocal agreement or guaranteed restoration schedule. A verified mutual pause could pressure diesel cracks, but the small proposed diesel volumes do not resolve current scarcity.</x:v>
      </x:c>
    </x:row>
    <x:row r="442">
      <x:c r="A442" t="str">
        <x:v>EV-2026-437</x:v>
      </x:c>
      <x:c r="B442" t="str">
        <x:v>EEI-2026-003</x:v>
      </x:c>
      <x:c r="C442" s="21" t="d">
        <x:v>2026-10-11T12:47:29.000Z</x:v>
      </x:c>
      <x:c r="D442" t="str">
        <x:v>Tariff backlash in manufacturing battlegrounds</x:v>
      </x:c>
      <x:c r="E442" t="str">
        <x:v>Associated Press</x:v>
      </x:c>
      <x:c r="F442" t="str">
        <x:v>High-quality independent reporting and AP-NORC polling</x:v>
      </x:c>
      <x:c r="G442" s="44" t="str">
        <x:v>https://apnews.com/article/trump-midterms-factories-tariffs-manufacturing-jobs-layoffs-1584722c00516772822a879e9eeef10f</x:v>
      </x:c>
      <x:c r="H442" s="44" t="str">
        <x:v>AP documented factory closures or layoffs and voter dissatisfaction in competitive Michigan, Iowa, Kansas and Ohio contests. Only about three in ten adults approved of the administration's trade handling, and more than 64% said the latest tariffs had gone too far.</x:v>
      </x:c>
      <x:c r="I442" s="44" t="str">
        <x:v>Incremental support for governing-party backlash; no market entry</x:v>
      </x:c>
      <x:c r="J442" s="44" t="n">
        <x:v>4</x:v>
      </x:c>
      <x:c r="K442" s="44" t="str">
        <x:v>Tariffs were not the only cause of every closure, some affected voters remained Republican, and anecdotes plus national polling do not determine district turnout or Senate control.</x:v>
      </x:c>
    </x:row>
    <x:row r="443">
      <x:c r="A443" t="str">
        <x:v>EV-2026-438</x:v>
      </x:c>
      <x:c r="B443"/>
      <x:c r="C443" s="21" t="d">
        <x:v>2026-10-11T12:47:29.000Z</x:v>
      </x:c>
      <x:c r="D443" t="str">
        <x:v>Rejected Motley Fool Marvell 10x-growth suggestion</x:v>
      </x:c>
      <x:c r="E443" t="str">
        <x:v>The Motley Fool — Adam Levy</x:v>
      </x:c>
      <x:c r="F443" t="str">
        <x:v>Trigger only; free public editorial published October 11, 2026 at 6:45 a.m. ET; author disclosed positions in Alphabet, Amazon, Meta and Microsoft; publication disclosed a MRVL position and recommendation</x:v>
      </x:c>
      <x:c r="G443" s="44" t="str">
        <x:v>https://www.fool.com/investing/2026/10/11/marvell-revenue-earnings-10x-stock-bargain/</x:v>
      </x:c>
      <x:c r="H443" s="44" t="str">
        <x:v>Ticker MRVL. Claimed catalyst: management's fiscal-2031 revenue target of $70-$90 billion, driven by custom AI accelerators and interconnect. Expected variable: revenue and adjusted EPS, up over five years.</x:v>
      </x:c>
      <x:c r="I443" s="44" t="str">
        <x:v>Rejected as a new thesis; catalyst confirmed but heavily priced</x:v>
      </x:c>
      <x:c r="J443" s="44" t="n">
        <x:v>3</x:v>
      </x:c>
      <x:c r="K443" s="44" t="str">
        <x:v>Reuters confirmed the company outlook, but MRVL had more than tripled in 2026 and rose about 6% on the investor-day news. The long-range target materially exceeds consensus and depends on hyperscaler spending, market-share gains, customer concentration, execution and non-GAAP assumptions. This was not an official paid-service recommendation.</x:v>
      </x:c>
    </x:row>
    <x:row r="444">
      <x:c r="A444" t="str">
        <x:v>EV-2026-439</x:v>
      </x:c>
      <x:c r="B444"/>
      <x:c r="C444" s="21" t="d">
        <x:v>2026-10-11T12:47:29.000Z</x:v>
      </x:c>
      <x:c r="D444" t="str">
        <x:v>Rejected Motley Fool Netflix pre-earnings prediction</x:v>
      </x:c>
      <x:c r="E444" t="str">
        <x:v>The Motley Fool — Anthony Di Pizio</x:v>
      </x:c>
      <x:c r="F444" t="str">
        <x:v>Trigger only; free public editorial published October 11, 2026 at 7:02 a.m. ET; author disclosed no positions; Wells Fargo was identified as an advertising partner; publication disclosed a NFLX position and recommendation</x:v>
      </x:c>
      <x:c r="G444" s="44" t="str">
        <x:v>https://www.fool.com/investing/2026/10/11/prediction-netflix-stock-going-soar-after-oct-20/</x:v>
      </x:c>
      <x:c r="H444" s="44" t="str">
        <x:v>Ticker NFLX. Claimed catalyst: October 20 earnings, a possible guidance increase and advertising growth. Expected variable: revenue, advertising revenue and operating profit, up over quarters to years.</x:v>
      </x:c>
      <x:c r="I444" s="44" t="str">
        <x:v>Rejected pending the October 20 primary result</x:v>
      </x:c>
      <x:c r="J444" s="44" t="n">
        <x:v>3</x:v>
      </x:c>
      <x:c r="K444" s="44" t="str">
        <x:v>Netflix confirmed only the report date. A guidance raise and post-report rally are predictions, not facts; weaker engagement and content concerns remain unresolved. The sharp drawdown improves valuation but does not independently confirm a turn. This was not an official paid-service recommendation.</x:v>
      </x:c>
    </x:row>
    <x:row r="445">
      <x:c r="A445" t="str">
        <x:v>EV-2026-440</x:v>
      </x:c>
      <x:c r="B445"/>
      <x:c r="C445" s="21" t="d">
        <x:v>2026-10-11T12:47:29.000Z</x:v>
      </x:c>
      <x:c r="D445" t="str">
        <x:v>Rejected Motley Fool Symbotic backlog suggestion</x:v>
      </x:c>
      <x:c r="E445" t="str">
        <x:v>The Motley Fool — James Brumley</x:v>
      </x:c>
      <x:c r="F445" t="str">
        <x:v>Trigger only; free public editorial published October 11, 2026 at 6:15 a.m. ET; author disclosed no position; publication disclosed positions and recommendations in SYM, Target, Tesla and Walmart</x:v>
      </x:c>
      <x:c r="G445" s="44" t="str">
        <x:v>https://www.fool.com/investing/2026/10/11/symbotic-billion-backlog-why-robotic-stock/</x:v>
      </x:c>
      <x:c r="H445" s="44" t="str">
        <x:v>Ticker SYM. Claimed catalyst: $22.5 billion backlog and warehouse-automation adoption. Expected variable: revenue, backlog conversion and profitability, up over years.</x:v>
      </x:c>
      <x:c r="I445" s="44" t="str">
        <x:v>Rejected as a new thesis</x:v>
      </x:c>
      <x:c r="J445" s="44" t="n">
        <x:v>3</x:v>
      </x:c>
      <x:c r="K445" s="44" t="str">
        <x:v>The SEC-filed $22.5 billion backlog was unchanged from June and Walmart plus Exol comprised the vast majority. Concentration, long conversion, deployment execution, related-party complexity and valuation remain material. The article supplied no new contract or filing and was not an official paid-service recommendation.</x:v>
      </x:c>
    </x:row>
    <x:row r="446">
      <x:c r="A446" t="str">
        <x:v>EV-2026-441</x:v>
      </x:c>
      <x:c r="B446"/>
      <x:c r="C446" s="21" t="d">
        <x:v>2026-10-11T12:47:29.000Z</x:v>
      </x:c>
      <x:c r="D446" t="str">
        <x:v>Rejected Motley Fool ASML High-NA suggestion</x:v>
      </x:c>
      <x:c r="E446" t="str">
        <x:v>The Motley Fool — Daniel Foelber</x:v>
      </x:c>
      <x:c r="F446" t="str">
        <x:v>Trigger only; free public editorial published October 11, 2026 at 6:17 a.m. ET; author disclosed ASML and NVDA positions; publication disclosed an ASML position and recommendation</x:v>
      </x:c>
      <x:c r="G446" s="44" t="str">
        <x:v>https://www.fool.com/investing/2026/10/11/meet-the-only-ai-stock-id-buy-over-nvidia-in-octob/</x:v>
      </x:c>
      <x:c r="H446" s="44" t="str">
        <x:v>Ticker ASML. Claimed catalyst: High-NA EUV adoption and the ASML-TSMC 12-inch photomask initiative. Expected variable: EUV system sales and service revenue, up through the 2030s.</x:v>
      </x:c>
      <x:c r="I446" s="44" t="str">
        <x:v>Rejected as a new thesis</x:v>
      </x:c>
      <x:c r="J446" s="44" t="n">
        <x:v>3</x:v>
      </x:c>
      <x:c r="K446" s="44" t="str">
        <x:v>ASML's September announcement confirms the technology roadmap, but the pilot line is targeted for 2031 and production readiness for 2033. High-NA adoption, customer capex, export controls and valuation remain risks; the stock was near its all-time high. This was not an official paid-service recommendation.</x:v>
      </x:c>
    </x:row>
    <x:row r="447">
      <x:c r="A447" t="str">
        <x:v>EV-2026-442</x:v>
      </x:c>
      <x:c r="B447"/>
      <x:c r="C447" s="21" t="d">
        <x:v>2026-10-11T12:47:29.000Z</x:v>
      </x:c>
      <x:c r="D447" t="str">
        <x:v>October 9 federal contract screen</x:v>
      </x:c>
      <x:c r="E447" t="str">
        <x:v>Department of War / USAspending.gov</x:v>
      </x:c>
      <x:c r="F447" t="str">
        <x:v>Primary award announcement and award-database screen</x:v>
      </x:c>
      <x:c r="G447" s="44" t="str">
        <x:v>https://www.war.gov/News/Contracts/Contract/Article/4623681/contracts-for-oct-9-2026/</x:v>
      </x:c>
      <x:c r="H447" s="44" t="str">
        <x:v>General Dynamics Mission Systems, parent General Dynamics, received modification P00080 to HQ085022C0007: an $88.065 million ceiling increase to $1.244 billion, with $58.415 million obligated, through September 30, 2029. General Dynamics Applied Physical Sciences, also GD, received new cost-plus-fixed-fee contract N0002426C2177 for $49.946 million, with $3 million obligated, through September 2030; it was competitively solicited via a broad agency announcement with one offer. Public NAICS and PSC fields were not yet available. Ophir received new sole-source IDIQ FA8119-27-D-0001 for $34.620 million, fully obligated, through October 2036.</x:v>
      </x:c>
      <x:c r="I447" s="44" t="str">
        <x:v>Routine modification plus immaterial new awards; no thesis</x:v>
      </x:c>
      <x:c r="J447" s="44" t="n">
        <x:v>5</x:v>
      </x:c>
      <x:c r="K447" s="44" t="str">
        <x:v>The largest GD item was a modification to an existing program, not a new award. The new GD contract was awarded September 30 and is immaterial relative to company revenue; current obligation was only $3 million. No company announcement or unusual market reaction established surprise or materiality.</x:v>
      </x:c>
    </x:row>
    <x:row r="448">
      <x:c r="A448" t="str">
        <x:v>EV-2026-443</x:v>
      </x:c>
      <x:c r="B448"/>
      <x:c r="C448" s="21" t="d">
        <x:v>2026-10-11T12:47:29.000Z</x:v>
      </x:c>
      <x:c r="D448" t="str">
        <x:v>BMY, LULU and AVAV candidate-queue checkpoint</x:v>
      </x:c>
      <x:c r="E448" t="str">
        <x:v>SEC EDGAR and issuer investor-relations records</x:v>
      </x:c>
      <x:c r="F448" t="str">
        <x:v>Primary filing and issuer-record review</x:v>
      </x:c>
      <x:c r="G448" s="44" t="str">
        <x:v>https://www.sec.gov/edgar/search/</x:v>
      </x:c>
      <x:c r="H448" s="44" t="str">
        <x:v>No new filing since the prior scan changed BMY growth-portfolio offset and cash-flow coverage, LULU comparable sales, inventories, margins or demand, or AVAV backlog conversion, control remediation, profitability or valuation evidence.</x:v>
      </x:c>
      <x:c r="I448" s="44" t="str">
        <x:v>No stage, confidence, edge or Entry Window change</x:v>
      </x:c>
      <x:c r="J448" s="44" t="n">
        <x:v>5</x:v>
      </x:c>
      <x:c r="K448" s="44" t="str">
        <x:v>BMY remains Developing 3/5, edge 3/5, WAIT; LULU remains Hypothesis 2/5, edge 2/5, WAIT; AVAV remains Strong 4/5, edge 2/5, WAIT. Motley Fool remains trigger only for these theses.</x:v>
      </x:c>
    </x:row>
    <x:row r="449">
      <x:c r="A449" t="str">
        <x:v>EV-2026-444</x:v>
      </x:c>
      <x:c r="B449" t="str">
        <x:v>EEI-2026-011</x:v>
      </x:c>
      <x:c r="C449" s="21" t="d">
        <x:v>2026-10-12T12:32:57.000Z</x:v>
      </x:c>
      <x:c r="D449" t="str">
        <x:v>Tanker attacks and Saudi escalation restore crude risk premium</x:v>
      </x:c>
      <x:c r="E449" t="str">
        <x:v>Reuters / UK Maritime Trade Operations</x:v>
      </x:c>
      <x:c r="F449" t="str">
        <x:v>Independent reporting of maritime alerts and observable market data</x:v>
      </x:c>
      <x:c r="G449" s="44" t="str">
        <x:v>https://www.reuters.com/business/energy/oil-climbs-mideast-conflict-tanker-attacks-persist-2026-10-11/</x:v>
      </x:c>
      <x:c r="H449" s="44" t="str">
        <x:v>Two tanker attacks were reported near Sohar and in Hormuz, while a Houthi strike hit Riyadh's international airport. Brent rose 1.2% to $106.19 and WTI 1.2% to $92.96, near two-week highs.</x:v>
      </x:c>
      <x:c r="I449" s="44" t="str">
        <x:v>Meaningful strengthening; stage and Entry unchanged</x:v>
      </x:c>
      <x:c r="J449" s="44" t="n">
        <x:v>5</x:v>
      </x:c>
      <x:c r="K449" s="44" t="str">
        <x:v>No oil installation was reported damaged. Gulf of Mexico output was being restored, Russian diesel and possible strategic releases add supply offsets, and the renewed commodity move increases headline-chasing risk.</x:v>
      </x:c>
    </x:row>
    <x:row r="450">
      <x:c r="A450" t="str">
        <x:v>EV-2026-445</x:v>
      </x:c>
      <x:c r="B450" t="str">
        <x:v>EEI-2026-002</x:v>
      </x:c>
      <x:c r="C450" s="21" t="d">
        <x:v>2026-10-12T12:32:57.000Z</x:v>
      </x:c>
      <x:c r="D450" t="str">
        <x:v>Qatar October LNG exports track sharply lower</x:v>
      </x:c>
      <x:c r="E450" t="str">
        <x:v>Reuters analysis / Kpler</x:v>
      </x:c>
      <x:c r="F450" t="str">
        <x:v>High-quality independent physical-flow analysis</x:v>
      </x:c>
      <x:c r="G450" s="44" t="str">
        <x:v>https://www.reuters.com/commentary/reuters-open-interest/middle-east-lng-industry-remains-hostage-iran-war-bousso-2026-10-12/</x:v>
      </x:c>
      <x:c r="H450" s="44" t="str">
        <x:v>Kpler data cited by Reuters put Qatar's October LNG exports on track for about 0.6 million tonnes as ship attacks intensified. U.S. LNG exports rose about 14% in 2026 to 123 million tonnes, but the global supply gap remained large.</x:v>
      </x:c>
      <x:c r="I450" s="44" t="str">
        <x:v>Meaningful support for LNG constraint; no coal Entry confirmation</x:v>
      </x:c>
      <x:c r="J450" s="44" t="n">
        <x:v>4</x:v>
      </x:c>
      <x:c r="K450" s="44" t="str">
        <x:v>The Qatar figure is an in-month tracking estimate. Higher U.S. supply and resumed guarded transits partly offset losses, while the coal expression remains indirect and unconfirmed.</x:v>
      </x:c>
    </x:row>
    <x:row r="451">
      <x:c r="A451" t="str">
        <x:v>EV-2026-446</x:v>
      </x:c>
      <x:c r="B451" t="str">
        <x:v>EEI-2026-009</x:v>
      </x:c>
      <x:c r="C451" s="21" t="d">
        <x:v>2026-10-12T12:32:57.000Z</x:v>
      </x:c>
      <x:c r="D451" t="str">
        <x:v>Small Russian diesel release produces limited market relief</x:v>
      </x:c>
      <x:c r="E451" t="str">
        <x:v>Reuters</x:v>
      </x:c>
      <x:c r="F451" t="str">
        <x:v>Independent reporting and observable ICE gasoil data</x:v>
      </x:c>
      <x:c r="G451" s="44" t="str">
        <x:v>https://www.reuters.com/business/energy/oil-climbs-mideast-conflict-tanker-attacks-persist-2026-10-11/</x:v>
      </x:c>
      <x:c r="H451" s="44" t="str">
        <x:v>ICE gasoil fell 2.3% to $1,449 per tonne after the announced Russian diesel arrangement. Analysts said the initial 300,000-500,000 tonnes were small relative to demand and Russia's impaired refining capacity; Ukraine said Russia violated the announced energy ceasefire.</x:v>
      </x:c>
      <x:c r="I451" s="44" t="str">
        <x:v>Mixed evidence; scarcity thesis and WAIT preserved</x:v>
      </x:c>
      <x:c r="J451" s="44" t="n">
        <x:v>5</x:v>
      </x:c>
      <x:c r="K451" s="44" t="str">
        <x:v>A larger verified export program, faster IEA member releases or a durable refinery-strike pause could compress diesel cracks. The first market reaction shows policy supply can reduce the premium at the margin.</x:v>
      </x:c>
    </x:row>
    <x:row r="452">
      <x:c r="A452" t="str">
        <x:v>EV-2026-447</x:v>
      </x:c>
      <x:c r="B452" t="str">
        <x:v>EEI-2026-003</x:v>
      </x:c>
      <x:c r="C452" s="21" t="d">
        <x:v>2026-10-12T12:32:57.000Z</x:v>
      </x:c>
      <x:c r="D452" t="str">
        <x:v>Democratic Senate branch becomes materially more credible</x:v>
      </x:c>
      <x:c r="E452" t="str">
        <x:v>Washington Post / Polymarket</x:v>
      </x:c>
      <x:c r="F452" t="str">
        <x:v>Independent political reporting plus trigger-only prediction-market positioning</x:v>
      </x:c>
      <x:c r="G452" s="44" t="str">
        <x:v>https://www.washingtonpost.com/politics/2026/10/12/trump-could-face-new-threat-january-democratic-senate/</x:v>
      </x:c>
      <x:c r="H452" s="44" t="str">
        <x:v>Recent polling made a Democratic Senate a serious possibility. A prediction market with $22.3 million in volume priced a Democratic sweep at 62% and a Democratic House with Republican Senate at 29%.</x:v>
      </x:c>
      <x:c r="I452" s="44" t="str">
        <x:v>Meaningful political update; stage and Entry unchanged</x:v>
      </x:c>
      <x:c r="J452" s="44" t="n">
        <x:v>4</x:v>
      </x:c>
      <x:c r="K452" s="44" t="str">
        <x:v>Democrats still need four net Senate seats, including at least two deep-red states. Prediction-market pricing is not a poll or vote and may reflect participant mix, liquidity and regulatory risk. Rates and breadth confirmation remain absent.</x:v>
      </x:c>
    </x:row>
    <x:row r="453">
      <x:c r="A453" t="str">
        <x:v>EV-2026-448</x:v>
      </x:c>
      <x:c r="B453"/>
      <x:c r="C453" s="21" t="d">
        <x:v>2026-10-12T12:32:57.000Z</x:v>
      </x:c>
      <x:c r="D453" t="str">
        <x:v>Rejected Motley Fool TSMC three-year doubling suggestion</x:v>
      </x:c>
      <x:c r="E453" t="str">
        <x:v>The Motley Fool — Geoffrey Seiler</x:v>
      </x:c>
      <x:c r="F453" t="str">
        <x:v>Trigger only; free public editorial published October 12, 2026 at 4:15 a.m. ET; author disclosed AMD, Alphabet and Broadcom positions; publication disclosed a TSM position and recommendation</x:v>
      </x:c>
      <x:c r="G453" s="44" t="str">
        <x:v>https://www.fool.com/investing/2026/10/12/heres-what-a-1400-investment-in-taiwan-semiconduct/</x:v>
      </x:c>
      <x:c r="H453" s="44" t="str">
        <x:v>Ticker TSM. Claimed catalyst: advanced-node leadership and AI infrastructure demand. Expected variable: revenue, margins and EPS up through 2029, with an opinion-based $775-$950 ADR value range.</x:v>
      </x:c>
      <x:c r="I453" s="44" t="str">
        <x:v>Rejected as a distinct new thesis; primary growth confirmed but already recognized</x:v>
      </x:c>
      <x:c r="J453" s="44" t="n">
        <x:v>4</x:v>
      </x:c>
      <x:c r="K453" s="44" t="str">
        <x:v>TSMC's SEC-filed September revenue rose 54.6% year over year, but the October 15 earnings report has not occurred. The stock was about $453, the thesis depends on sustained hyperscaler capex and multiple assumptions, and Taiwan/geopolitical concentration remains material. This was not an official paid-service recommendation.</x:v>
      </x:c>
    </x:row>
    <x:row r="454">
      <x:c r="A454" t="str">
        <x:v>EV-2026-449</x:v>
      </x:c>
      <x:c r="B454"/>
      <x:c r="C454" s="21" t="d">
        <x:v>2026-10-12T12:32:57.000Z</x:v>
      </x:c>
      <x:c r="D454" t="str">
        <x:v>Rejected Motley Fool Bloom Energy versus Vertiv comparison</x:v>
      </x:c>
      <x:c r="E454" t="str">
        <x:v>The Motley Fool — Rick Orford</x:v>
      </x:c>
      <x:c r="F454" t="str">
        <x:v>Trigger only; free public editorial published October 12, 2026 at 6:30 a.m. ET; author disclosed no positions; publication disclosed positions and recommendations in BE, BAM, NVDA, ORCL and VRT</x:v>
      </x:c>
      <x:c r="G454" s="44" t="str">
        <x:v>https://www.fool.com/investing/2026/10/12/bloom-energy-vs-vertiv-which-ai-infrastructure-sto/</x:v>
      </x:c>
      <x:c r="H454" s="44" t="str">
        <x:v>Tickers BE and VRT. Claimed catalyst: AI power bottlenecks, Bloom's Oracle and Brookfield relationships, and Vertiv's planned UtilityInnovation acquisition. Expected variable: data-center power and cooling revenue up over years.</x:v>
      </x:c>
      <x:c r="I454" s="44" t="str">
        <x:v>Rejected as a new thesis; old catalysts and valuation risk</x:v>
      </x:c>
      <x:c r="J454" s="44" t="n">
        <x:v>4</x:v>
      </x:c>
      <x:c r="K454" s="44" t="str">
        <x:v>Bloom's April release said Oracle intended up to 2.8 GW but only 1.2 GW was initially contracted. Vertiv's September acquisition can cost up to $2.6 billion and still requires closing. BE traded near 369 times trailing earnings and VRT near 55 times, leaving substantial execution and already-priced risk. This was not an official paid-service recommendation.</x:v>
      </x:c>
    </x:row>
    <x:row r="455">
      <x:c r="A455" t="str">
        <x:v>EV-2026-450</x:v>
      </x:c>
      <x:c r="B455"/>
      <x:c r="C455" s="21" t="d">
        <x:v>2026-10-12T12:32:57.000Z</x:v>
      </x:c>
      <x:c r="D455" t="str">
        <x:v>Rejected Motley Fool Clorox dividend-yield screen</x:v>
      </x:c>
      <x:c r="E455" t="str">
        <x:v>The Motley Fool — Lawrence Rothman, CFA</x:v>
      </x:c>
      <x:c r="F455" t="str">
        <x:v>Trigger only; free public editorial published October 12, 2026 at 6:15 a.m. ET; author and publication disclosed no position</x:v>
      </x:c>
      <x:c r="G455" s="44" t="str">
        <x:v>https://www.fool.com/investing/2026/10/12/own-clorox-qualify-dividend-yield-shares/</x:v>
      </x:c>
      <x:c r="H455" s="44" t="str">
        <x:v>Ticker CLX. Claimed attraction: a $1.25 quarterly dividend and roughly 6% yield. Expected variable: dividend cash income over years; the article itself flagged results and payout concerns.</x:v>
      </x:c>
      <x:c r="I455" s="44" t="str">
        <x:v>Rejected as a new thesis</x:v>
      </x:c>
      <x:c r="J455" s="44" t="n">
        <x:v>4</x:v>
      </x:c>
      <x:c r="K455" s="44" t="str">
        <x:v>Clorox's filing confirms the dividend and $881 million of adjusted free cash flow in fiscal 2026, but no new operating catalyst was identified. GOJO integration, leverage, weak operating trends and dividend-coverage risk require a separate primary-results improvement before escalation. This was not an official paid-service recommendation.</x:v>
      </x:c>
    </x:row>
    <x:row r="456">
      <x:c r="A456" t="str">
        <x:v>EV-2026-451</x:v>
      </x:c>
      <x:c r="B456"/>
      <x:c r="C456" s="21" t="d">
        <x:v>2026-10-12T12:32:57.000Z</x:v>
      </x:c>
      <x:c r="D456" t="str">
        <x:v>Rejected Motley Fool Nvidia and Micron demand-warning inference</x:v>
      </x:c>
      <x:c r="E456" t="str">
        <x:v>The Motley Fool — Anthony Di Pizio</x:v>
      </x:c>
      <x:c r="F456" t="str">
        <x:v>Trigger only; free public editorial published October 12, 2026 at 6:06 a.m. ET; author disclosed no positions; publication disclosed positions and recommendations in NVDA and MU</x:v>
      </x:c>
      <x:c r="G456" s="44" t="str">
        <x:v>https://www.fool.com/investing/2026/10/12/nvidia-and-micron-received-bad-news-unlikely-place/</x:v>
      </x:c>
      <x:c r="H456" s="44" t="str">
        <x:v>Tickers NVDA and MU. Claimed catalyst: Firmus withdrew an Australian IPO after weak demand. Expected variable: AI infrastructure funding and semiconductor demand down over quarters to years.</x:v>
      </x:c>
      <x:c r="I456" s="44" t="str">
        <x:v>Rejected as a new bearish thesis</x:v>
      </x:c>
      <x:c r="J456" s="44" t="n">
        <x:v>3</x:v>
      </x:c>
      <x:c r="K456" s="44" t="str">
        <x:v>One private company's withdrawn IPO does not establish a decline in hyperscaler capex or orders for Nvidia GPUs and Micron HBM. No issuer filing or order cancellation independently linked Firmus to a material change in either company's revenue outlook. This was not an official paid-service recommendation.</x:v>
      </x:c>
    </x:row>
    <x:row r="457">
      <x:c r="A457" t="str">
        <x:v>EV-2026-452</x:v>
      </x:c>
      <x:c r="B457"/>
      <x:c r="C457" s="21" t="d">
        <x:v>2026-10-12T12:32:57.000Z</x:v>
      </x:c>
      <x:c r="D457" t="str">
        <x:v>Weekend and federal-holiday award screen</x:v>
      </x:c>
      <x:c r="E457" t="str">
        <x:v>Department of War / USAspending.gov</x:v>
      </x:c>
      <x:c r="F457" t="str">
        <x:v>Primary award-page and award-database screen</x:v>
      </x:c>
      <x:c r="G457" s="44" t="str">
        <x:v>https://www.war.gov/News/Contracts/Contract-View/Artiicle/</x:v>
      </x:c>
      <x:c r="H457" s="44" t="str">
        <x:v>No new Department of War daily contract announcement appeared after the October 9 release by scan time. USAspending screening found no newly posted public-company award with verified new-action status, material current obligations and an independently confirmed unexpected economic effect.</x:v>
      </x:c>
      <x:c r="I457" s="44" t="str">
        <x:v>No qualifying government-spending thesis</x:v>
      </x:c>
      <x:c r="J457" s="44" t="n">
        <x:v>5</x:v>
      </x:c>
      <x:c r="K457" s="44" t="str">
        <x:v>The federal holiday and weekend limit posting cadence. Absence of a qualifying posted award is not evidence that no procurement action occurred; late database updates remain a follow-up item.</x:v>
      </x:c>
    </x:row>
    <x:row r="458">
      <x:c r="A458" t="str">
        <x:v>EV-2026-453</x:v>
      </x:c>
      <x:c r="B458"/>
      <x:c r="C458" s="21" t="d">
        <x:v>2026-10-12T12:32:57.000Z</x:v>
      </x:c>
      <x:c r="D458" t="str">
        <x:v>BMY, LULU and AVAV candidate-queue checkpoint</x:v>
      </x:c>
      <x:c r="E458" t="str">
        <x:v>SEC EDGAR and issuer investor-relations records</x:v>
      </x:c>
      <x:c r="F458" t="str">
        <x:v>Primary filing and issuer-record review</x:v>
      </x:c>
      <x:c r="G458" s="44" t="str">
        <x:v>https://www.sec.gov/edgar/search/</x:v>
      </x:c>
      <x:c r="H458" s="44" t="str">
        <x:v>No new filing after the prior scan changed BMY growth-portfolio offset and cash-flow coverage, LULU comparable sales, inventories, margins or brand demand, or AVAV backlog conversion, control remediation, profitability or valuation evidence.</x:v>
      </x:c>
      <x:c r="I458" s="44" t="str">
        <x:v>No stage, confidence, edge or Entry Window change</x:v>
      </x:c>
      <x:c r="J458" s="44" t="n">
        <x:v>5</x:v>
      </x:c>
      <x:c r="K458" s="44" t="str">
        <x:v>BMY remains Developing 3/5, edge 3/5, WAIT; LULU remains Hypothesis 2/5, edge 2/5, WAIT; AVAV remains Strong 4/5, edge 2/5, WAIT. Motley Fool remains trigger only for these theses.</x:v>
      </x:c>
    </x:row>
    <x:row r="459">
      <x:c r="A459" t="str">
        <x:v>EV-2026-454</x:v>
      </x:c>
      <x:c r="B459" t="str">
        <x:v>EEI-2026-001</x:v>
      </x:c>
      <x:c r="C459" s="21" t="n">
        <x:v>46307.833333333336</x:v>
      </x:c>
      <x:c r="D459" t="str">
        <x:v>Paper-trade outcome</x:v>
      </x:c>
      <x:c r="E459" t="str">
        <x:v>S&amp;P Global Market Intelligence via StockAnalysis</x:v>
      </x:c>
      <x:c r="F459" t="str">
        <x:v>Regular-session closing market data</x:v>
      </x:c>
      <x:c r="G459" s="44" t="str">
        <x:v>https://stockanalysis.com/etf/bno/history/</x:v>
      </x:c>
      <x:c r="H459" s="44" t="str">
        <x:v>BNO closed October 12 at $65.12 versus the $57.21 September 8 opening entry. The $1,000 paper position was worth $1138.26, up $138.26 (+13.83%).</x:v>
      </x:c>
      <x:c r="I459" s="44" t="str">
        <x:v>Direct Brent expression remains the strongest cumulative position</x:v>
      </x:c>
      <x:c r="J459" s="44" t="n">
        <x:v>5</x:v>
      </x:c>
      <x:c r="K459" s="44" t="str">
        <x:v>BNO gained 1.77% for the session; this is a hypothetical fractional-share position.</x:v>
      </x:c>
    </x:row>
    <x:row r="460">
      <x:c r="A460" t="str">
        <x:v>EV-2026-455</x:v>
      </x:c>
      <x:c r="B460" t="str">
        <x:v>EEI-2026-001</x:v>
      </x:c>
      <x:c r="C460" s="21" t="n">
        <x:v>46307.833333333336</x:v>
      </x:c>
      <x:c r="D460" t="str">
        <x:v>Paper-trade outcome</x:v>
      </x:c>
      <x:c r="E460" t="str">
        <x:v>S&amp;P Global Market Intelligence via StockAnalysis</x:v>
      </x:c>
      <x:c r="F460" t="str">
        <x:v>Regular-session closing market data</x:v>
      </x:c>
      <x:c r="G460" s="44" t="str">
        <x:v>https://stockanalysis.com/etf/uso/history/</x:v>
      </x:c>
      <x:c r="H460" s="44" t="str">
        <x:v>USO closed October 12 at $151.03 versus the $144.60 September 8 opening entry. The $1,000 paper position was worth $1044.47, up $44.47 (+4.45%).</x:v>
      </x:c>
      <x:c r="I460" s="44" t="str">
        <x:v>WTI expression remains profitable but trails BNO</x:v>
      </x:c>
      <x:c r="J460" s="44" t="n">
        <x:v>5</x:v>
      </x:c>
      <x:c r="K460" s="44" t="str">
        <x:v>USO gained 1.91% for the session; this is a hypothetical fractional-share position.</x:v>
      </x:c>
    </x:row>
    <x:row r="461">
      <x:c r="A461" t="str">
        <x:v>EV-2026-456</x:v>
      </x:c>
      <x:c r="B461" t="str">
        <x:v>EEI-2026-001</x:v>
      </x:c>
      <x:c r="C461" s="21" t="n">
        <x:v>46307.833333333336</x:v>
      </x:c>
      <x:c r="D461" t="str">
        <x:v>Paper-trade outcome</x:v>
      </x:c>
      <x:c r="E461" t="str">
        <x:v>S&amp;P Global Market Intelligence via StockAnalysis</x:v>
      </x:c>
      <x:c r="F461" t="str">
        <x:v>Regular-session closing market data</x:v>
      </x:c>
      <x:c r="G461" s="44" t="str">
        <x:v>https://stockanalysis.com/etf/xop/history/</x:v>
      </x:c>
      <x:c r="H461" s="44" t="str">
        <x:v>XOP closed October 12 at $194.29 versus the $193.84 September 8 opening entry. The $1,000 paper position was worth $1002.32, up $2.32 (+0.23%).</x:v>
      </x:c>
      <x:c r="I461" s="44" t="str">
        <x:v>Producer-equity expression returned above entry but still trails direct crude exposure</x:v>
      </x:c>
      <x:c r="J461" s="44" t="n">
        <x:v>5</x:v>
      </x:c>
      <x:c r="K461" s="44" t="str">
        <x:v>XOP gained 1.45% for the session; this is a hypothetical fractional-share position.</x:v>
      </x:c>
    </x:row>
    <x:row r="462">
      <x:c r="A462" t="str">
        <x:v>EV-2026-457</x:v>
      </x:c>
      <x:c r="B462" t="str">
        <x:v>EEI-2026-001</x:v>
      </x:c>
      <x:c r="C462" s="21" t="n">
        <x:v>46307.833333333336</x:v>
      </x:c>
      <x:c r="D462" t="str">
        <x:v>Post-horizon market and supply-risk evidence</x:v>
      </x:c>
      <x:c r="E462" t="str">
        <x:v>Reuters</x:v>
      </x:c>
      <x:c r="F462" t="str">
        <x:v>High-quality reporting and settlement data</x:v>
      </x:c>
      <x:c r="G462" s="44" t="str">
        <x:v>https://www.reuters.com/business/energy/oil-climbs-mideast-conflict-tanker-attacks-persist-2026-10-11/</x:v>
      </x:c>
      <x:c r="H462" s="44" t="str">
        <x:v>Brent settled October 12 at $106.65, up 1.8%, and WTI at $93.74, up 2.0%. A Houthi strike hit Riyadh airport and two tanker attacks were reported near Sohar and in Hormuz.</x:v>
      </x:c>
      <x:c r="I462" s="44" t="str">
        <x:v>Strong renewed confirmation of the attack-driven crude-risk premium</x:v>
      </x:c>
      <x:c r="J462" s="44" t="n">
        <x:v>5</x:v>
      </x:c>
      <x:c r="K462" s="44" t="str">
        <x:v>No oil installation was reported damaged, U.S. Gulf output was being restored, and policy-driven diesel supply remained a partial offset. The move also increased headline-chasing risk.</x:v>
      </x:c>
    </x:row>
    <x:row r="463">
      <x:c r="A463" t="str">
        <x:v>EV-2026-458</x:v>
      </x:c>
      <x:c r="B463" t="str">
        <x:v>EEI-2026-001</x:v>
      </x:c>
      <x:c r="C463" s="21" t="n">
        <x:v>46307.833333333336</x:v>
      </x:c>
      <x:c r="D463" t="str">
        <x:v>Post-horizon export normalization evidence</x:v>
      </x:c>
      <x:c r="E463" t="str">
        <x:v>Reuters / Kpler</x:v>
      </x:c>
      <x:c r="F463" t="str">
        <x:v>High-quality analysis using physical export data</x:v>
      </x:c>
      <x:c r="G463" s="44" t="str">
        <x:v>https://www.reuters.com/commentary/reuters-open-interest/oil-markets-center-gravity-is-moving-east-2026-10-12/</x:v>
      </x:c>
      <x:c r="H463" s="44" t="str">
        <x:v>Middle East crude and condensate exports excluding Iran averaged 18.11 million tonnes a week in September versus about 18.22 million tonnes before the war, showing that regional crude exports largely recovered despite continuing security risk.</x:v>
      </x:c>
      <x:c r="I463" s="44" t="str">
        <x:v>Strong counterevidence to an extended regional crude shortage</x:v>
      </x:c>
      <x:c r="J463" s="44" t="n">
        <x:v>5</x:v>
      </x:c>
      <x:c r="K463" s="44" t="str">
        <x:v>Refinery damage left Middle East fuel exports below half of prewar levels, so crude availability normalized faster than refined-product supply and logistics.</x:v>
      </x:c>
    </x:row>
    <x:row r="464">
      <x:c r="A464" t="str">
        <x:v>EV-2026-459</x:v>
      </x:c>
      <x:c r="B464" t="str">
        <x:v>EEI-2026-001</x:v>
      </x:c>
      <x:c r="C464" s="21" t="n">
        <x:v>46307.833333333336</x:v>
      </x:c>
      <x:c r="D464" t="str">
        <x:v>Post-horizon demand modifier</x:v>
      </x:c>
      <x:c r="E464" t="str">
        <x:v>Reuters / OPEC</x:v>
      </x:c>
      <x:c r="F464" t="str">
        <x:v>Official producer-group forecast independently reported</x:v>
      </x:c>
      <x:c r="G464" s="44" t="str">
        <x:v>https://www.reuters.com/business/energy/opec-cuts-2026-oil-demand-growth-forecast-400000-bpd-sees-pent-up-demand-2027-2026-10-12/</x:v>
      </x:c>
      <x:c r="H464" s="44" t="str">
        <x:v>OPEC cut its 2026 oil-demand growth estimate to 400,000 bpd from 1.4 million bpd at the start of the year.</x:v>
      </x:c>
      <x:c r="I464" s="44" t="str">
        <x:v>Demand-side counterevidence limits the extended scarcity case</x:v>
      </x:c>
      <x:c r="J464" s="44" t="n">
        <x:v>5</x:v>
      </x:c>
      <x:c r="K464" s="44" t="str">
        <x:v>OPEC expects deferred demand to emerge in 2027, but the large 2026 downgrade weakens the near-term demand contribution to the original supply-risk trade.</x:v>
      </x:c>
    </x:row>
    <x:row r="465">
      <x:c r="A465" t="str">
        <x:v>EV-2026-460</x:v>
      </x:c>
      <x:c r="B465" t="str">
        <x:v>EEI-2026-009</x:v>
      </x:c>
      <x:c r="C465" s="21" t="d">
        <x:v>2026-10-13T11:58:45.000Z</x:v>
      </x:c>
      <x:c r="D465" t="str">
        <x:v>Government sanctions authorization</x:v>
      </x:c>
      <x:c r="E465" t="str">
        <x:v>U.S. Treasury OFAC</x:v>
      </x:c>
      <x:c r="F465" t="str">
        <x:v>Primary government record</x:v>
      </x:c>
      <x:c r="G465" s="44" t="str">
        <x:v>https://ofac.treasury.gov/media/937216/download?inline=</x:v>
      </x:c>
      <x:c r="H465" s="44" t="str">
        <x:v>General License 135 authorizes transactions involving Russian-origin diesel, including sale, delivery and import, through April 7, 2027.</x:v>
      </x:c>
      <x:c r="I465" s="44" t="str">
        <x:v>Material normalization channel; stage and WAIT unchanged</x:v>
      </x:c>
      <x:c r="J465" s="44" t="n">
        <x:v>5</x:v>
      </x:c>
      <x:c r="K465" s="44" t="str">
        <x:v>A new sanctions-relief channel is confirmed. Delivery volumes and refinery capacity remain uncertain.</x:v>
      </x:c>
    </x:row>
    <x:row r="466">
      <x:c r="A466" t="str">
        <x:v>EV-2026-461</x:v>
      </x:c>
      <x:c r="B466" t="str">
        <x:v>EEI-2026-009</x:v>
      </x:c>
      <x:c r="C466" s="21" t="d">
        <x:v>2026-10-13T11:58:45.000Z</x:v>
      </x:c>
      <x:c r="D466" t="str">
        <x:v>Energy market and policy update</x:v>
      </x:c>
      <x:c r="E466" t="str">
        <x:v>Reuters</x:v>
      </x:c>
      <x:c r="F466" t="str">
        <x:v>High-quality independent reporting</x:v>
      </x:c>
      <x:c r="G466" s="44" t="str">
        <x:v>https://www.reuters.com/business/energy/oil-ticks-lower-russia-diesel-supply-prospects-counter-gulf-supply-risks-2026-10-13/</x:v>
      </x:c>
      <x:c r="H466" s="44" t="str">
        <x:v>Russia targeted 3.0-3.5 million tonnes of monthly diesel exports by year-end; Brent and WTI fell about 2%, but analysts questioned feasibility because of refinery damage.</x:v>
      </x:c>
      <x:c r="I466" s="44" t="str">
        <x:v>Mixed: stronger policy relief and market reaction, uncertain physical delivery</x:v>
      </x:c>
      <x:c r="J466" s="44" t="n">
        <x:v>5</x:v>
      </x:c>
      <x:c r="K466" s="44" t="str">
        <x:v>OPEC also cut 2026 demand growth and cited exceptional shipping and insurance costs.</x:v>
      </x:c>
    </x:row>
    <x:row r="467">
      <x:c r="A467" t="str">
        <x:v>EV-2026-462</x:v>
      </x:c>
      <x:c r="B467" t="str">
        <x:v>EEI-2026-002</x:v>
      </x:c>
      <x:c r="C467" s="21" t="d">
        <x:v>2026-10-13T11:58:45.000Z</x:v>
      </x:c>
      <x:c r="D467" t="str">
        <x:v>European gas and storage confirmation</x:v>
      </x:c>
      <x:c r="E467" t="str">
        <x:v>Financial Times</x:v>
      </x:c>
      <x:c r="F467" t="str">
        <x:v>High-quality reporting using market and storage data</x:v>
      </x:c>
      <x:c r="G467" s="44" t="str">
        <x:v>https://www.ft.com/</x:v>
      </x:c>
      <x:c r="H467" s="44" t="str">
        <x:v>European benchmark gas reached about EUR86.79/MWh while storage was below 74%, versus roughly 90% seasonally.</x:v>
      </x:c>
      <x:c r="I467" s="44" t="str">
        <x:v>Strengthens gas constraint; coal expression still unconfirmed</x:v>
      </x:c>
      <x:c r="J467" s="44" t="n">
        <x:v>4</x:v>
      </x:c>
      <x:c r="K467" s="44" t="str">
        <x:v>Source page is the FT energy coverage observed October 13; no paywall was bypassed.</x:v>
      </x:c>
    </x:row>
    <x:row r="468">
      <x:c r="A468" t="str">
        <x:v>EV-2026-463</x:v>
      </x:c>
      <x:c r="B468" t="str">
        <x:v>EEI-2026-003</x:v>
      </x:c>
      <x:c r="C468" s="21" t="d">
        <x:v>2026-10-13T11:58:45.000Z</x:v>
      </x:c>
      <x:c r="D468" t="str">
        <x:v>Election control and policy mapping</x:v>
      </x:c>
      <x:c r="E468" t="str">
        <x:v>Reuters</x:v>
      </x:c>
      <x:c r="F468" t="str">
        <x:v>High-quality independent reporting</x:v>
      </x:c>
      <x:c r="G468" s="44" t="str">
        <x:v>https://www.reuters.com/legal/government/democratic-midterm-wins-could-bring-scrutiny-wall-street-crypto-firms-2026-10-13/</x:v>
      </x:c>
      <x:c r="H468" s="44" t="str">
        <x:v>Reuters reported Democrats positioned for the House with a Senate edge and mapped potential oversight pressure on banks, crypto, AI and housing.</x:v>
      </x:c>
      <x:c r="I468" s="44" t="str">
        <x:v>Strengthens political branch; no market entry</x:v>
      </x:c>
      <x:c r="J468" s="44" t="n">
        <x:v>5</x:v>
      </x:c>
      <x:c r="K468" s="44" t="str">
        <x:v>Subpoena power could slow or scrutinize deregulation but would not automatically reverse executive actions.</x:v>
      </x:c>
    </x:row>
    <x:row r="469">
      <x:c r="A469" t="str">
        <x:v>EV-2026-464</x:v>
      </x:c>
      <x:c r="B469" t="str">
        <x:v>EEI-2026-003</x:v>
      </x:c>
      <x:c r="C469" s="21" t="d">
        <x:v>2026-10-13T11:58:45.000Z</x:v>
      </x:c>
      <x:c r="D469" t="str">
        <x:v>Competitive Senate-state signal</x:v>
      </x:c>
      <x:c r="E469" t="str">
        <x:v>Associated Press</x:v>
      </x:c>
      <x:c r="F469" t="str">
        <x:v>High-quality independent reporting</x:v>
      </x:c>
      <x:c r="G469" s="44" t="str">
        <x:v>https://apnews.com/article/trump-alaska-sullivan-midterm-election-0542aaa0e516c1c6057a2f13e9163b3f</x:v>
      </x:c>
      <x:c r="H469" s="44" t="str">
        <x:v>A presidential campaign visit for Alaska Senator Dan Sullivan showed Republican concern in a state made more competitive by fuel costs, inflation and weaker approval.</x:v>
      </x:c>
      <x:c r="I469" s="44" t="str">
        <x:v>Incremental Senate support; polling and turnout remain unresolved</x:v>
      </x:c>
      <x:c r="J469" s="44" t="n">
        <x:v>4</x:v>
      </x:c>
      <x:c r="K469" s="44" t="str">
        <x:v>Alaska is a distinct difficult-state data point, not proof of chamber control.</x:v>
      </x:c>
    </x:row>
    <x:row r="470">
      <x:c r="A470" t="str">
        <x:v>EV-2026-465</x:v>
      </x:c>
      <x:c r="B470" t="str">
        <x:v>EEI-2026-005</x:v>
      </x:c>
      <x:c r="C470" s="21" t="d">
        <x:v>2026-10-13T11:58:45.000Z</x:v>
      </x:c>
      <x:c r="D470" t="str">
        <x:v>Pivotal Phase 3 topline result</x:v>
      </x:c>
      <x:c r="E470" t="str">
        <x:v>Bristol Myers Squibb</x:v>
      </x:c>
      <x:c r="F470" t="str">
        <x:v>Primary issuer clinical record</x:v>
      </x:c>
      <x:c r="G470" s="44" t="str">
        <x:v>https://news.bms.com/news/corporate-financial/2026/Bristol-Myers-Squibb-Announces-Phase-3-ALOFT-IPF-Trial-Evaluating-Admilparant-in-Adults-with-Idiopathic-Pulmonary-Fibrosis-Met-Primary-Endpoint/default.aspx</x:v>
      </x:c>
      <x:c r="H470" s="44" t="str">
        <x:v>Admilparant 60 mg twice daily met the 52-week ALOFT-IPF primary endpoint with favorable topline safety; the 120 mg dose did not reach statistical significance.</x:v>
      </x:c>
      <x:c r="I470" s="44" t="str">
        <x:v>Strengthens growth portfolio with an important dose-response contradiction</x:v>
      </x:c>
      <x:c r="J470" s="44" t="n">
        <x:v>5</x:v>
      </x:c>
      <x:c r="K470" s="44" t="str">
        <x:v>Full effect sizes, detailed safety and regulatory plans remain pending.</x:v>
      </x:c>
    </x:row>
    <x:row r="471">
      <x:c r="A471" t="str">
        <x:v>EV-2026-466</x:v>
      </x:c>
      <x:c r="B471" t="str">
        <x:v>EEI-2026-005</x:v>
      </x:c>
      <x:c r="C471" s="21" t="d">
        <x:v>2026-10-13T11:58:45.000Z</x:v>
      </x:c>
      <x:c r="D471" t="str">
        <x:v>Pivotal Phase 3 interim result</x:v>
      </x:c>
      <x:c r="E471" t="str">
        <x:v>Bristol Myers Squibb</x:v>
      </x:c>
      <x:c r="F471" t="str">
        <x:v>Primary issuer clinical record</x:v>
      </x:c>
      <x:c r="G471" s="44" t="str">
        <x:v>https://news.bms.com/news/details/2026/Bristol-Myers-Squibb-Announces-Positive-Topline-Results-from-the-Interim-Analysis-of-Phase-3-ACTION-1-for-RYZ101-RayzeBios-Radiopharmaceutical-Therapy-in-Patients-with-GEP-NETs/default.aspx</x:v>
      </x:c>
      <x:c r="H471" s="44" t="str">
        <x:v>RYZ101 achieved a statistically significant and clinically meaningful PFS improvement in ACTION-1, with safety consistent with the known profile.</x:v>
      </x:c>
      <x:c r="I471" s="44" t="str">
        <x:v>Strengthens growth portfolio</x:v>
      </x:c>
      <x:c r="J471" s="44" t="n">
        <x:v>5</x:v>
      </x:c>
      <x:c r="K471" s="44" t="str">
        <x:v>Full data, filing timing and commercial economics remain undisclosed.</x:v>
      </x:c>
    </x:row>
    <x:row r="472">
      <x:c r="A472" t="str">
        <x:v>EV-2026-467</x:v>
      </x:c>
      <x:c r="B472" t="str">
        <x:v>EEI-2026-005</x:v>
      </x:c>
      <x:c r="C472" s="21" t="d">
        <x:v>2026-10-13T11:58:45.000Z</x:v>
      </x:c>
      <x:c r="D472" t="str">
        <x:v>Adverse equity reaction</x:v>
      </x:c>
      <x:c r="E472" t="str">
        <x:v>Investors Business Daily</x:v>
      </x:c>
      <x:c r="F472" t="str">
        <x:v>Independent market reporting</x:v>
      </x:c>
      <x:c r="G472" s="44" t="str">
        <x:v>https://www.investors.com/news/technology/bristol-myers-squibb-stock-continuem-therapeutics-stock-ipf-gep-nets/</x:v>
      </x:c>
      <x:c r="H472" s="44" t="str">
        <x:v>BMY fell 2.6% to $57.58 on heavy volume after the dual Phase 3 announcements, as the admilparant dose result was viewed as confounding.</x:v>
      </x:c>
      <x:c r="I472" s="44" t="str">
        <x:v>Contradicts immediate equity confirmation; confidence still rises on fundamentals</x:v>
      </x:c>
      <x:c r="J472" s="44" t="n">
        <x:v>4</x:v>
      </x:c>
      <x:c r="K472" s="44" t="str">
        <x:v>Market reaction keeps Entry Window at WAIT despite stronger pipeline evidence.</x:v>
      </x:c>
    </x:row>
    <x:row r="473">
      <x:c r="A473" t="str">
        <x:v>EV-2026-468</x:v>
      </x:c>
      <x:c r="B473" t="str">
        <x:v>EEI-2026-019</x:v>
      </x:c>
      <x:c r="C473" s="21" t="d">
        <x:v>2026-10-13T11:58:45.000Z</x:v>
      </x:c>
      <x:c r="D473" t="str">
        <x:v>Motley Fool trigger</x:v>
      </x:c>
      <x:c r="E473" t="str">
        <x:v>The Motley Fool — Geoffrey Seiler</x:v>
      </x:c>
      <x:c r="F473" t="str">
        <x:v>Free editorial trigger; not confirmation</x:v>
      </x:c>
      <x:c r="G473" s="44" t="str">
        <x:v>https://www.fool.com/investing/2026/10/13/darpa-just-revealed-the-2-best-quantum-computing-s/</x:v>
      </x:c>
      <x:c r="H473" s="44" t="str">
        <x:v>Published October 13 at 5:22 a.m. ET; suggested IonQ and IBM based on DARPA QBI Stage C advancement and a multiyear validation/funding catalyst.</x:v>
      </x:c>
      <x:c r="I473" s="44" t="str">
        <x:v>Trigger only; escalated after primary-source confirmation</x:v>
      </x:c>
      <x:c r="J473" s="44" t="n">
        <x:v>2</x:v>
      </x:c>
      <x:c r="K473" s="44" t="str">
        <x:v>Free editorial, not an official paid-service recommendation. Author disclosed no position; Motley Fool owns/recommends IBM, IonQ and Microsoft. Horizon was multiyear; expected variable was quantum validation and revenue.</x:v>
      </x:c>
    </x:row>
    <x:row r="474">
      <x:c r="A474" t="str">
        <x:v>EV-2026-469</x:v>
      </x:c>
      <x:c r="B474" t="str">
        <x:v>EEI-2026-019</x:v>
      </x:c>
      <x:c r="C474" s="21" t="d">
        <x:v>2026-10-13T11:58:45.000Z</x:v>
      </x:c>
      <x:c r="D474" t="str">
        <x:v>Government technical selection</x:v>
      </x:c>
      <x:c r="E474" t="str">
        <x:v>DARPA</x:v>
      </x:c>
      <x:c r="F474" t="str">
        <x:v>Primary government record</x:v>
      </x:c>
      <x:c r="G474" s="44" t="str">
        <x:v>https://www.darpa.mil/news/2026/four-more-teams-enter-quantum-benchmarking-initiative-final-stage</x:v>
      </x:c>
      <x:c r="H474" s="44" t="str">
        <x:v>DARPA advanced Atom Computing, Diraq, IBM and IonQ into QBI Stage C for system-level testing toward utility-scale capability by 2033; additional firms can still advance.</x:v>
      </x:c>
      <x:c r="I474" s="44" t="str">
        <x:v>Confirms third-party validation but not exclusivity</x:v>
      </x:c>
      <x:c r="J474" s="44" t="n">
        <x:v>5</x:v>
      </x:c>
      <x:c r="K474" s="44" t="str">
        <x:v>QBI is not a competition and no winner was declared.</x:v>
      </x:c>
    </x:row>
    <x:row r="475">
      <x:c r="A475" t="str">
        <x:v>EV-2026-470</x:v>
      </x:c>
      <x:c r="B475" t="str">
        <x:v>EEI-2026-019</x:v>
      </x:c>
      <x:c r="C475" s="21" t="d">
        <x:v>2026-10-13T11:58:45.000Z</x:v>
      </x:c>
      <x:c r="D475" t="str">
        <x:v>Government agreement disclosure</x:v>
      </x:c>
      <x:c r="E475" t="str">
        <x:v>IonQ</x:v>
      </x:c>
      <x:c r="F475" t="str">
        <x:v>Primary issuer record</x:v>
      </x:c>
      <x:c r="G475" s="44" t="str">
        <x:v>https://ionq.com/news/ionq-advances-to-final-stage-of-darpas-quantum-benchmarking-initiative</x:v>
      </x:c>
      <x:c r="H475" s="44" t="str">
        <x:v>Recipient/parent: IonQ Inc.; agency: DARPA/DoD; action: new Stage C agreement; potential value: up to $300M; current value and obligation: undisclosed; performance: through 2029; competition: multi-performer QBI; award ID, NAICS and PSC: undisclosed.</x:v>
      </x:c>
      <x:c r="I475" s="44" t="str">
        <x:v>Material conditional ceiling; opens Developing thesis</x:v>
      </x:c>
      <x:c r="J475" s="44" t="n">
        <x:v>5</x:v>
      </x:c>
      <x:c r="K475" s="44" t="str">
        <x:v>Publicly announced October 7. Ceiling is about 105% of top-end FY2026 revenue guidance but is subject to appropriations, milestones and DARPA action. Stage B participation made some advancement risk known, but Stage C was not guaranteed.</x:v>
      </x:c>
    </x:row>
    <x:row r="476">
      <x:c r="A476" t="str">
        <x:v>EV-2026-471</x:v>
      </x:c>
      <x:c r="B476" t="str">
        <x:v>EEI-2026-019</x:v>
      </x:c>
      <x:c r="C476" s="21" t="d">
        <x:v>2026-10-13T11:58:45.000Z</x:v>
      </x:c>
      <x:c r="D476" t="str">
        <x:v>Financial capacity and operating trend</x:v>
      </x:c>
      <x:c r="E476" t="str">
        <x:v>IonQ / SEC</x:v>
      </x:c>
      <x:c r="F476" t="str">
        <x:v>Primary issuer and regulatory records</x:v>
      </x:c>
      <x:c r="G476" s="44" t="str">
        <x:v>https://investors.ionq.com/news/news-details/2026/IonQ-Announces-Record-Second-Quarter-2026-Revenues-Growing-287-YoY/default.aspx</x:v>
      </x:c>
      <x:c r="H476" s="44" t="str">
        <x:v>Q2 revenue was $80.1M, up 287% year over year; FY2026 guidance was $280M-$290M; cash and investments were about $3.0B before SkyWater, while six-month operating loss was about $608.8M.</x:v>
      </x:c>
      <x:c r="I476" s="44" t="str">
        <x:v>Revenue growth supports mechanism; losses and valuation limit edge</x:v>
      </x:c>
      <x:c r="J476" s="44" t="n">
        <x:v>5</x:v>
      </x:c>
      <x:c r="K476" s="44" t="str">
        <x:v>SEC filing: https://www.sec.gov/Archives/edgar/data/1824920/000119312526341001/ionq-20260630.htm</x:v>
      </x:c>
    </x:row>
    <x:row r="477">
      <x:c r="A477" t="str">
        <x:v>EV-2026-472</x:v>
      </x:c>
      <x:c r="B477" t="str">
        <x:v>EEI-2026-019</x:v>
      </x:c>
      <x:c r="C477" s="21" t="d">
        <x:v>2026-10-13T11:58:45.000Z</x:v>
      </x:c>
      <x:c r="D477" t="str">
        <x:v>Acquisition and dilution contradiction</x:v>
      </x:c>
      <x:c r="E477" t="str">
        <x:v>IonQ / Reuters</x:v>
      </x:c>
      <x:c r="F477" t="str">
        <x:v>Primary issuer plus independent reporting</x:v>
      </x:c>
      <x:c r="G477" s="44" t="str">
        <x:v>https://www.ionq.com/news/ionq-to-acquire-elisity-to-accelerate-zero-trust-for-the-quantum-era</x:v>
      </x:c>
      <x:c r="H477" s="44" t="str">
        <x:v>IonQ agreed to acquire Elisity for up to $1.3B in stock plus a $150M earnout; disclosed revenue was not provided.</x:v>
      </x:c>
      <x:c r="I477" s="44" t="str">
        <x:v>Material dilution, integration and capital-allocation risk</x:v>
      </x:c>
      <x:c r="J477" s="44" t="n">
        <x:v>5</x:v>
      </x:c>
      <x:c r="K477" s="44" t="str">
        <x:v>Reuters confirmation: https://www.reuters.com/legal/transactional/ionq-buy-cybersecurity-firm-elisity-up-13-billion-deal-2026-10-12/</x:v>
      </x:c>
    </x:row>
    <x:row r="478">
      <x:c r="A478" t="str">
        <x:v>EV-2026-473</x:v>
      </x:c>
      <x:c r="B478" t="str">
        <x:v>EEI-2026-017</x:v>
      </x:c>
      <x:c r="C478" s="21" t="d">
        <x:v>2026-10-13T11:58:45.000Z</x:v>
      </x:c>
      <x:c r="D478" t="str">
        <x:v>Motley Fool repeat trigger</x:v>
      </x:c>
      <x:c r="E478" t="str">
        <x:v>The Motley Fool — James Brumley</x:v>
      </x:c>
      <x:c r="F478" t="str">
        <x:v>Free editorial trigger; not confirmation</x:v>
      </x:c>
      <x:c r="G478" s="44" t="str">
        <x:v>https://www.fool.com/investing/2026/10/13/constellation-google-upgrades-vistra-nuclear/</x:v>
      </x:c>
      <x:c r="H478" s="44" t="str">
        <x:v>Published October 13 at 6:45 a.m. ET; compared CEG's Google uprates with VST's nuclear plan using already logged announcements.</x:v>
      </x:c>
      <x:c r="I478" s="44" t="str">
        <x:v>No new evidence or thesis change</x:v>
      </x:c>
      <x:c r="J478" s="44" t="n">
        <x:v>2</x:v>
      </x:c>
      <x:c r="K478" s="44" t="str">
        <x:v>Free editorial, not a paid recommendation. Author owns Alphabet; Motley Fool owns/recommends Alphabet, Amazon, CEG, Meta and VST. Promotional framing was excluded.</x:v>
      </x:c>
    </x:row>
    <x:row r="479">
      <x:c r="A479" t="str">
        <x:v>EV-2026-474</x:v>
      </x:c>
      <x:c r="B479"/>
      <x:c r="C479" s="21" t="d">
        <x:v>2026-10-13T11:58:45.000Z</x:v>
      </x:c>
      <x:c r="D479" t="str">
        <x:v>Rejected Motley Fool consumer basket</x:v>
      </x:c>
      <x:c r="E479" t="str">
        <x:v>The Motley Fool — Micah Zimmerman</x:v>
      </x:c>
      <x:c r="F479" t="str">
        <x:v>Free editorial trigger; not confirmation</x:v>
      </x:c>
      <x:c r="G479" s="44" t="str">
        <x:v>https://www.fool.com/investing/2026/10/13/want-passive-income-beaten-consumer-stocks/</x:v>
      </x:c>
      <x:c r="H479" s="44" t="str">
        <x:v>Published October 13 at 5:35 a.m. ET; suggested GIS, TAP, HRL and CLX on yield and depressed valuation, without a new operating catalyst.</x:v>
      </x:c>
      <x:c r="I479" s="44" t="str">
        <x:v>Rejected as a new thesis</x:v>
      </x:c>
      <x:c r="J479" s="44" t="n">
        <x:v>2</x:v>
      </x:c>
      <x:c r="K479" s="44" t="str">
        <x:v>Author and Motley Fool disclosed no positions. Free editorial, not a paid recommendation; expected variable was mean reversion and dividend income over years.</x:v>
      </x:c>
    </x:row>
    <x:row r="480">
      <x:c r="A480" t="str">
        <x:v>EV-2026-475</x:v>
      </x:c>
      <x:c r="B480"/>
      <x:c r="C480" s="21" t="d">
        <x:v>2026-10-13T11:58:45.000Z</x:v>
      </x:c>
      <x:c r="D480" t="str">
        <x:v>Rejected Motley Fool portfolio article</x:v>
      </x:c>
      <x:c r="E480" t="str">
        <x:v>The Motley Fool — Bram Berkowitz</x:v>
      </x:c>
      <x:c r="F480" t="str">
        <x:v>Free editorial trigger; not confirmation</x:v>
      </x:c>
      <x:c r="G480" s="44" t="str">
        <x:v>https://www.fool.com/investing/2026/10/13/greg-abel-reshaping-berkshire-hathaway-portfolio/</x:v>
      </x:c>
      <x:c r="H480" s="44" t="str">
        <x:v>Published October 13 at 4:30 a.m. ET; reviewed Berkshire portfolio changes without a distinct new issuer catalyst.</x:v>
      </x:c>
      <x:c r="I480" s="44" t="str">
        <x:v>Rejected as a new thesis</x:v>
      </x:c>
      <x:c r="J480" s="44" t="n">
        <x:v>2</x:v>
      </x:c>
      <x:c r="K480" s="44" t="str">
        <x:v>Free editorial, not a paid recommendation. Conflicts were disclosed at article end; no premium pick was inferred.</x:v>
      </x:c>
    </x:row>
    <x:row r="481">
      <x:c r="A481" t="str">
        <x:v>EV-2026-476</x:v>
      </x:c>
      <x:c r="B481" t="str">
        <x:v>EEI-2026-001</x:v>
      </x:c>
      <x:c r="C481" s="21" t="n">
        <x:v>46308.833333333336</x:v>
      </x:c>
      <x:c r="D481" t="str">
        <x:v>Paper-trade outcome</x:v>
      </x:c>
      <x:c r="E481" t="str">
        <x:v>S&amp;P Global Market Intelligence via StockAnalysis</x:v>
      </x:c>
      <x:c r="F481" t="str">
        <x:v>Official regular-session closing market data</x:v>
      </x:c>
      <x:c r="G481" s="44" t="str">
        <x:v>https://stockanalysis.com/etf/bno/</x:v>
      </x:c>
      <x:c r="H481" s="44" t="str">
        <x:v>BNO closed October 13 at $65.10 versus the $57.21 September 8 opening entry. The $1,000 fractional-share paper position was worth $1137.91, up $137.91 (+13.79%).</x:v>
      </x:c>
      <x:c r="I481" s="44" t="str">
        <x:v>Direct Brent expression remains the strongest cumulative position</x:v>
      </x:c>
      <x:c r="J481" s="44" t="n">
        <x:v>5</x:v>
      </x:c>
      <x:c r="K481" s="44" t="str">
        <x:v>BNO finished nearly flat for the session; this is a hypothetical paper position.</x:v>
      </x:c>
    </x:row>
    <x:row r="482">
      <x:c r="A482" t="str">
        <x:v>EV-2026-477</x:v>
      </x:c>
      <x:c r="B482" t="str">
        <x:v>EEI-2026-001</x:v>
      </x:c>
      <x:c r="C482" s="21" t="n">
        <x:v>46308.833333333336</x:v>
      </x:c>
      <x:c r="D482" t="str">
        <x:v>Paper-trade outcome</x:v>
      </x:c>
      <x:c r="E482" t="str">
        <x:v>S&amp;P Global Market Intelligence via StockAnalysis</x:v>
      </x:c>
      <x:c r="F482" t="str">
        <x:v>Official regular-session closing market data</x:v>
      </x:c>
      <x:c r="G482" s="44" t="str">
        <x:v>https://stockanalysis.com/etf/uso/</x:v>
      </x:c>
      <x:c r="H482" s="44" t="str">
        <x:v>USO closed October 13 at $153.09 versus the $144.60 September 8 opening entry. The $1,000 fractional-share paper position was worth $1058.71, up $58.71 (+5.87%).</x:v>
      </x:c>
      <x:c r="I482" s="44" t="str">
        <x:v>WTI expression remains profitable but trails BNO</x:v>
      </x:c>
      <x:c r="J482" s="44" t="n">
        <x:v>5</x:v>
      </x:c>
      <x:c r="K482" s="44" t="str">
        <x:v>USO gained 1.36% for the session; this is a hypothetical paper position.</x:v>
      </x:c>
    </x:row>
    <x:row r="483">
      <x:c r="A483" t="str">
        <x:v>EV-2026-478</x:v>
      </x:c>
      <x:c r="B483" t="str">
        <x:v>EEI-2026-001</x:v>
      </x:c>
      <x:c r="C483" s="21" t="n">
        <x:v>46308.833333333336</x:v>
      </x:c>
      <x:c r="D483" t="str">
        <x:v>Paper-trade outcome</x:v>
      </x:c>
      <x:c r="E483" t="str">
        <x:v>S&amp;P Global Market Intelligence via StockAnalysis</x:v>
      </x:c>
      <x:c r="F483" t="str">
        <x:v>Official regular-session closing market data</x:v>
      </x:c>
      <x:c r="G483" s="44" t="str">
        <x:v>https://stockanalysis.com/etf/xop/</x:v>
      </x:c>
      <x:c r="H483" s="44" t="str">
        <x:v>XOP closed October 13 at $199.82 versus the $193.84 September 8 opening entry. The $1,000 fractional-share paper position was worth $1030.85, up $30.85 (+3.09%).</x:v>
      </x:c>
      <x:c r="I483" s="44" t="str">
        <x:v>Producer-equity expression moved clearly above entry but still trails direct crude exposure</x:v>
      </x:c>
      <x:c r="J483" s="44" t="n">
        <x:v>5</x:v>
      </x:c>
      <x:c r="K483" s="44" t="str">
        <x:v>XOP gained 2.85% for the session; this is a hypothetical paper position.</x:v>
      </x:c>
    </x:row>
    <x:row r="484">
      <x:c r="A484" t="str">
        <x:v>EV-2026-479</x:v>
      </x:c>
      <x:c r="B484" t="str">
        <x:v>EEI-2026-001</x:v>
      </x:c>
      <x:c r="C484" s="21" t="n">
        <x:v>46308.833333333336</x:v>
      </x:c>
      <x:c r="D484" t="str">
        <x:v>Post-horizon market and attack-risk evidence</x:v>
      </x:c>
      <x:c r="E484" t="str">
        <x:v>Reuters</x:v>
      </x:c>
      <x:c r="F484" t="str">
        <x:v>High-quality reporting and settlement data</x:v>
      </x:c>
      <x:c r="G484" s="44" t="str">
        <x:v>https://www.reuters.com/business/energy/oil-ticks-lower-russia-diesel-supply-prospects-counter-gulf-supply-risks-2026-10-13/</x:v>
      </x:c>
      <x:c r="H484" s="44" t="str">
        <x:v>Brent settled October 13 at $105.69, down 0.9%, while WTI rose 0.4% to $94.14, its highest close since September 24. Gulf infrastructure and shipping risk remained elevated after attacks in Saudi Arabia and Yemen and reports of booms near Saudi Aramco headquarters.</x:v>
      </x:c>
      <x:c r="I484" s="44" t="str">
        <x:v>Confirms continuing attack and logistics risk, with a mixed benchmark-price response</x:v>
      </x:c>
      <x:c r="J484" s="44" t="n">
        <x:v>5</x:v>
      </x:c>
      <x:c r="K484" s="44" t="str">
        <x:v>Prospective Russian diesel supply and higher Saudi output offset some supply concern. The mixed settlement does not change the completed September 18 evaluation.</x:v>
      </x:c>
    </x:row>
    <x:row r="485">
      <x:c r="A485" t="str">
        <x:v>EV-2026-480</x:v>
      </x:c>
      <x:c r="B485" t="str">
        <x:v>EEI-2026-001</x:v>
      </x:c>
      <x:c r="C485" s="21" t="n">
        <x:v>46308.833333333336</x:v>
      </x:c>
      <x:c r="D485" t="str">
        <x:v>Post-horizon production and demand counterevidence</x:v>
      </x:c>
      <x:c r="E485" t="str">
        <x:v>Reuters / OPEC</x:v>
      </x:c>
      <x:c r="F485" t="str">
        <x:v>Official producer-group data independently reported</x:v>
      </x:c>
      <x:c r="G485" s="44" t="str">
        <x:v>https://www.reuters.com/business/energy/opec-raises-2027-oil-demand-view-citing-need-rebuild-stocks-2026-10-13/</x:v>
      </x:c>
      <x:c r="H485" s="44" t="str">
        <x:v>OPEC reported September OPEC+ production of 39.07 million bpd, up about 900,000 bpd from August. Saudi Arabia reported an increase of more than 2 million bpd to 8.372 million bpd. OPEC cut 2026 demand growth to 180,000 bpd while raising its 2027 replenishment view.</x:v>
      </x:c>
      <x:c r="I485" s="44" t="str">
        <x:v>Strong counterevidence to an extended crude shortage despite unresolved security risk</x:v>
      </x:c>
      <x:c r="J485" s="44" t="n">
        <x:v>5</x:v>
      </x:c>
      <x:c r="K485" s="44" t="str">
        <x:v>Middle East supply has recovered substantially, although shipments remain below prewar levels and shipping security remains costly. The original formal horizon and frozen outcome remain unchanged.</x:v>
      </x:c>
    </x:row>
    <x:row r="486">
      <x:c r="A486" t="str">
        <x:v>EV-2026-481</x:v>
      </x:c>
      <x:c r="B486"/>
      <x:c r="C486" s="21" t="d">
        <x:v>2026-10-13T11:58:45.000Z</x:v>
      </x:c>
      <x:c r="D486" t="str">
        <x:v>Federal award screen</x:v>
      </x:c>
      <x:c r="E486" t="str">
        <x:v>Department of War / USAspending.gov</x:v>
      </x:c>
      <x:c r="F486" t="str">
        <x:v>Primary government records</x:v>
      </x:c>
      <x:c r="G486" s="44" t="str">
        <x:v>https://www.war.gov/News/Contracts/</x:v>
      </x:c>
      <x:c r="H486" s="44" t="str">
        <x:v>No new October 13 public-company award with complete, unexpected and material terms was posted by scan cutoff; the IonQ item is a separately announced DARPA Stage C agreement with obligation details undisclosed.</x:v>
      </x:c>
      <x:c r="I486" s="44" t="str">
        <x:v>No additional government-spending thesis</x:v>
      </x:c>
      <x:c r="J486" s="44" t="n">
        <x:v>4</x:v>
      </x:c>
      <x:c r="K486" s="44" t="str">
        <x:v>No routine modification was promoted to a new award. Posting lag remains possible and will be rechecked.</x:v>
      </x:c>
    </x:row>
    <x:row r="487">
      <x:c r="A487" t="str">
        <x:v>EV-2026-482</x:v>
      </x:c>
      <x:c r="B487"/>
      <x:c r="C487" s="21" t="d">
        <x:v>2026-10-13T11:58:45.000Z</x:v>
      </x:c>
      <x:c r="D487" t="str">
        <x:v>Candidate-queue checkpoint</x:v>
      </x:c>
      <x:c r="E487" t="str">
        <x:v>SEC EDGAR and issuer investor-relations records</x:v>
      </x:c>
      <x:c r="F487" t="str">
        <x:v>Primary regulatory and issuer records</x:v>
      </x:c>
      <x:c r="G487" s="44" t="str">
        <x:v>https://www.sec.gov/edgar/search/</x:v>
      </x:c>
      <x:c r="H487" s="44" t="str">
        <x:v>BMY produced thesis-changing Phase 3 evidence and was updated separately. LULU and AVAV had no new primary operating or accounting evidence sufficient to change stage, confidence, edge or Entry Window.</x:v>
      </x:c>
      <x:c r="I487" s="44" t="str">
        <x:v>LULU and AVAV unchanged</x:v>
      </x:c>
      <x:c r="J487" s="44" t="n">
        <x:v>5</x:v>
      </x:c>
      <x:c r="K487" s="44" t="str">
        <x:v>No real trade was recommended or executed.</x:v>
      </x:c>
    </x:row>
    <x:row r="488">
      <x:c r="A488" t="str">
        <x:v>EV-2026-483</x:v>
      </x:c>
      <x:c r="B488" t="str">
        <x:v>EEI-2026-017</x:v>
      </x:c>
      <x:c r="C488" s="21" t="d">
        <x:v>2026-10-13T11:58:45.000Z</x:v>
      </x:c>
      <x:c r="D488" t="str">
        <x:v>Grid-demand and regulatory update</x:v>
      </x:c>
      <x:c r="E488" t="str">
        <x:v>Reuters / FERC / PJM</x:v>
      </x:c>
      <x:c r="F488" t="str">
        <x:v>High-quality reporting on regulatory action</x:v>
      </x:c>
      <x:c r="G488" s="44" t="str">
        <x:v>https://www.reuters.com/business/energy/us-panel-approves-pjms-registry-data-centers-rejects-plan-curtail-power-them-2026-10-12/</x:v>
      </x:c>
      <x:c r="H488" s="44" t="str">
        <x:v>FERC approved PJM's large-load registry but rejected the curtailment plan; PJM forecasts data-center demand to triple to about 29 GW by 2030 against a 6.8 GW capacity shortfall.</x:v>
      </x:c>
      <x:c r="I488" s="44" t="str">
        <x:v>Supports power-demand mechanism; regulatory and reliability risk remain</x:v>
      </x:c>
      <x:c r="J488" s="44" t="n">
        <x:v>5</x:v>
      </x:c>
      <x:c r="K488" s="44" t="str">
        <x:v>Demand evidence supports existing CEG/VST theses but does not change their stage or Entry Window.</x:v>
      </x:c>
    </x:row>
    <x:row r="489">
      <x:c r="A489" t="str">
        <x:v>EV-2026-484</x:v>
      </x:c>
      <x:c r="B489" t="str">
        <x:v>EEI-2026-020</x:v>
      </x:c>
      <x:c r="C489" s="21" t="d">
        <x:v>2026-10-13T10:12:00.000Z</x:v>
      </x:c>
      <x:c r="D489" t="str">
        <x:v>Motley Fool trigger</x:v>
      </x:c>
      <x:c r="E489" t="str">
        <x:v>The Motley Fool — Daniel Foelber</x:v>
      </x:c>
      <x:c r="F489" t="str">
        <x:v>Free editorial trigger; not confirmation</x:v>
      </x:c>
      <x:c r="G489" s="44" t="str">
        <x:v>https://www.fool.com/investing/2026/10/13/asml-earnings-6-numbers-long-term-investors-should/</x:v>
      </x:c>
      <x:c r="H489" s="44" t="str">
        <x:v>Published October 13 at 6:12 a.m. ET; proposed ASML as a long-term AI growth stock and identified system mix, EUV/High-NA, gross margin, installed-base service and capacity as the economic tests.</x:v>
      </x:c>
      <x:c r="I489" s="44" t="str">
        <x:v>Escalated only after primary results confirmed catalyst and materiality</x:v>
      </x:c>
      <x:c r="J489" s="44" t="n">
        <x:v>2</x:v>
      </x:c>
      <x:c r="K489" s="44" t="str">
        <x:v>Free editorial, not an official paid-service recommendation. Author owns ASML, Broadcom and Nvidia; Motley Fool owns and recommends ASML and several semiconductor names. Claimed horizon was long term; article acknowledged a 65.4% YTD rise and 41.3x forward earnings.</x:v>
      </x:c>
    </x:row>
    <x:row r="490">
      <x:c r="A490" t="str">
        <x:v>EV-2026-485</x:v>
      </x:c>
      <x:c r="B490" t="str">
        <x:v>EEI-2026-020</x:v>
      </x:c>
      <x:c r="C490" s="21" t="d">
        <x:v>2026-10-14T12:01:57.000Z</x:v>
      </x:c>
      <x:c r="D490" t="str">
        <x:v>Quarterly financial and capacity confirmation</x:v>
      </x:c>
      <x:c r="E490" t="str">
        <x:v>ASML</x:v>
      </x:c>
      <x:c r="F490" t="str">
        <x:v>Primary issuer record</x:v>
      </x:c>
      <x:c r="G490" s="44" t="str">
        <x:v>https://investor.asml.com/news-releases/news-release-details/asml-reports-eu11.7-billion-total-net-sales-and-eu5.0-billion-net-income-q3-2026</x:v>
      </x:c>
      <x:c r="H490" s="44" t="str">
        <x:v>Q3 sales were €11.662B, gross margin 57.5%, net income €4.960B and new systems sold 113; Q4 sales guidance was €14.2-€15.2B and FY2026 sales guidance €44-€45B. Management said planned 2027-2028 supply is insufficient for customer forecasts.</x:v>
      </x:c>
      <x:c r="I490" s="44" t="str">
        <x:v>Opens Strong thesis; fundamental mechanism confirmed</x:v>
      </x:c>
      <x:c r="J490" s="44" t="n">
        <x:v>5</x:v>
      </x:c>
      <x:c r="K490" s="44" t="str">
        <x:v>Customer forecasts are not firm orders. ASML highlighted export-control, customer-capex, cancellation, supply-chain and capacity risks.</x:v>
      </x:c>
    </x:row>
    <x:row r="491">
      <x:c r="A491" t="str">
        <x:v>EV-2026-486</x:v>
      </x:c>
      <x:c r="B491" t="str">
        <x:v>EEI-2026-020</x:v>
      </x:c>
      <x:c r="C491" s="21" t="d">
        <x:v>2026-10-14T12:01:57.000Z</x:v>
      </x:c>
      <x:c r="D491" t="str">
        <x:v>Independent results and market reaction</x:v>
      </x:c>
      <x:c r="E491" t="str">
        <x:v>Reuters</x:v>
      </x:c>
      <x:c r="F491" t="str">
        <x:v>High-quality independent reporting</x:v>
      </x:c>
      <x:c r="G491" s="44" t="str">
        <x:v>https://www.reuters.com/business/asml-forecasts-q4-sales-above-expectations-ai-chip-demand-2026-10-14/</x:v>
      </x:c>
      <x:c r="H491" s="44" t="str">
        <x:v>Reuters confirmed above-consensus Q4 guidance and AI demand extending into 2027-2028; European shares rose roughly 2% early after gaining nearly 70% year to date.</x:v>
      </x:c>
      <x:c r="I491" s="44" t="str">
        <x:v>Independent confirmation; limited fresh market edge</x:v>
      </x:c>
      <x:c r="J491" s="44" t="n">
        <x:v>5</x:v>
      </x:c>
      <x:c r="K491" s="44" t="str">
        <x:v>A modest reaction after a large prior rerating argues against chasing the headline.</x:v>
      </x:c>
    </x:row>
    <x:row r="492">
      <x:c r="A492" t="str">
        <x:v>EV-2026-487</x:v>
      </x:c>
      <x:c r="B492" t="str">
        <x:v>EEI-2026-020</x:v>
      </x:c>
      <x:c r="C492" s="21" t="d">
        <x:v>2026-10-14T12:01:57.000Z</x:v>
      </x:c>
      <x:c r="D492" t="str">
        <x:v>Valuation and policy contradiction</x:v>
      </x:c>
      <x:c r="E492" t="str">
        <x:v>StockAnalysis / Reuters</x:v>
      </x:c>
      <x:c r="F492" t="str">
        <x:v>Independent market data and reporting</x:v>
      </x:c>
      <x:c r="G492" s="44" t="str">
        <x:v>https://stockanalysis.com/stocks/asml/statistics/</x:v>
      </x:c>
      <x:c r="H492" s="44" t="str">
        <x:v>ASML traded near 53.5x trailing and about 30x forward earnings; export-control proposals and China's localization efforts remain material threats to DUV demand.</x:v>
      </x:c>
      <x:c r="I492" s="44" t="str">
        <x:v>Limits trading edge and keeps Entry Window WAIT</x:v>
      </x:c>
      <x:c r="J492" s="44" t="n">
        <x:v>4</x:v>
      </x:c>
      <x:c r="K492" s="44" t="str">
        <x:v>Reuters policy context: https://www.reuters.com/business/asml-cfo-warns-against-proposed-us-curbs-chipmaking-tool-sales-china-2026-10-14/</x:v>
      </x:c>
    </x:row>
    <x:row r="493">
      <x:c r="A493" t="str">
        <x:v>EV-2026-488</x:v>
      </x:c>
      <x:c r="B493" t="str">
        <x:v>EEI-2026-011</x:v>
      </x:c>
      <x:c r="C493" s="21" t="d">
        <x:v>2026-10-14T12:01:57.000Z</x:v>
      </x:c>
      <x:c r="D493" t="str">
        <x:v>Shipping disruption and crude-market update</x:v>
      </x:c>
      <x:c r="E493" t="str">
        <x:v>Reuters</x:v>
      </x:c>
      <x:c r="F493" t="str">
        <x:v>High-quality independent reporting</x:v>
      </x:c>
      <x:c r="G493" s="44" t="str">
        <x:v>https://www.reuters.com/business/energy/oil-prices-climb-traders-weigh-saudi-supply-risk-russian-diesel-flow-2026-10-14/</x:v>
      </x:c>
      <x:c r="H493" s="44" t="str">
        <x:v>Iranian officials acknowledged new ship-targeting tactics; a tanker and container vessel were hit and a mine strike sank a ship. Brent was near $106.60 and WTI near $95.79.</x:v>
      </x:c>
      <x:c r="I493" s="44" t="str">
        <x:v>Strengthens physical disruption; Entry Window remains WAIT</x:v>
      </x:c>
      <x:c r="J493" s="44" t="n">
        <x:v>5</x:v>
      </x:c>
      <x:c r="K493" s="44" t="str">
        <x:v>Regional exports have held up and the Aramco damage was limited, preserving a normalization path.</x:v>
      </x:c>
    </x:row>
    <x:row r="494">
      <x:c r="A494" t="str">
        <x:v>EV-2026-489</x:v>
      </x:c>
      <x:c r="B494" t="str">
        <x:v>EEI-2026-009</x:v>
      </x:c>
      <x:c r="C494" s="21" t="d">
        <x:v>2026-10-14T12:01:57.000Z</x:v>
      </x:c>
      <x:c r="D494" t="str">
        <x:v>Refined-product balance update</x:v>
      </x:c>
      <x:c r="E494" t="str">
        <x:v>IEA via Reuters</x:v>
      </x:c>
      <x:c r="F494" t="str">
        <x:v>High-quality independent reporting</x:v>
      </x:c>
      <x:c r="G494" s="44" t="str">
        <x:v>https://www.reuters.com/business/energy/oil-prices-climb-traders-weigh-saudi-supply-risk-russian-diesel-flow-2026-10-14/</x:v>
      </x:c>
      <x:c r="H494" s="44" t="str">
        <x:v>The IEA said Russian diesel easing was unlikely to materially change the gasoil balance because damaged refining capacity remains limiting; constrained diesel supply could persist into 2027.</x:v>
      </x:c>
      <x:c r="I494" s="44" t="str">
        <x:v>Strengthens scarcity variable; no Entry Window change</x:v>
      </x:c>
      <x:c r="J494" s="44" t="n">
        <x:v>5</x:v>
      </x:c>
      <x:c r="K494" s="44" t="str">
        <x:v>Russian policy relief and stable crude exports remain meaningful contradictions.</x:v>
      </x:c>
    </x:row>
    <x:row r="495">
      <x:c r="A495" t="str">
        <x:v>EV-2026-490</x:v>
      </x:c>
      <x:c r="B495" t="str">
        <x:v>EEI-2026-003</x:v>
      </x:c>
      <x:c r="C495" s="21" t="d">
        <x:v>2026-10-14T12:01:57.000Z</x:v>
      </x:c>
      <x:c r="D495" t="str">
        <x:v>House spending and race-map shift</x:v>
      </x:c>
      <x:c r="E495" t="str">
        <x:v>Associated Press</x:v>
      </x:c>
      <x:c r="F495" t="str">
        <x:v>High-quality independent reporting</x:v>
      </x:c>
      <x:c r="G495" s="44" t="str">
        <x:v>https://apnews.com/article/midterms-republicans-democrats-senate-house-cdd95df350c648d19e60cb3ecea42138</x:v>
      </x:c>
      <x:c r="H495" s="44" t="str">
        <x:v>Republican super PAC cancellations in four House races and Democratic expansion toward about a dozen additional targets strengthen the House-control branch; Senate spending remains defensive in several states.</x:v>
      </x:c>
      <x:c r="I495" s="44" t="str">
        <x:v>Strengthens political branch; no market entry</x:v>
      </x:c>
      <x:c r="J495" s="44" t="n">
        <x:v>5</x:v>
      </x:c>
      <x:c r="K495" s="44" t="str">
        <x:v>Outside spending is not voting, and Senate control remains structurally difficult.</x:v>
      </x:c>
    </x:row>
    <x:row r="496">
      <x:c r="A496" t="str">
        <x:v>EV-2026-491</x:v>
      </x:c>
      <x:c r="B496" t="str">
        <x:v>EEI-2026-003</x:v>
      </x:c>
      <x:c r="C496" s="21" t="d">
        <x:v>2026-10-14T12:01:57.000Z</x:v>
      </x:c>
      <x:c r="D496" t="str">
        <x:v>Conditional policy agenda</x:v>
      </x:c>
      <x:c r="E496" t="str">
        <x:v>Associated Press</x:v>
      </x:c>
      <x:c r="F496" t="str">
        <x:v>High-quality independent reporting</x:v>
      </x:c>
      <x:c r="G496" s="44" t="str">
        <x:v>https://apnews.com/article/midterm-elections-democrats-affordability-corruption-018019529b14a6b3bc4a343a4e17c44f</x:v>
      </x:c>
      <x:c r="H496" s="44" t="str">
        <x:v>Democrats outlined ACA subsidies, Medicaid reversals, tariff challenges, war-powers votes and oversight as early priorities if they win the House.</x:v>
      </x:c>
      <x:c r="I496" s="44" t="str">
        <x:v>Clarifies causal policy map; does not determine passage</x:v>
      </x:c>
      <x:c r="J496" s="44" t="n">
        <x:v>5</x:v>
      </x:c>
      <x:c r="K496" s="44" t="str">
        <x:v>Senate control, majority size and presidential vetoes constrain implementation.</x:v>
      </x:c>
    </x:row>
    <x:row r="497">
      <x:c r="A497" t="str">
        <x:v>EV-2026-492</x:v>
      </x:c>
      <x:c r="B497" t="str">
        <x:v>EEI-2026-003</x:v>
      </x:c>
      <x:c r="C497" s="21" t="d">
        <x:v>2026-10-14T12:01:57.000Z</x:v>
      </x:c>
      <x:c r="D497" t="str">
        <x:v>Prediction-market positioning</x:v>
      </x:c>
      <x:c r="E497" t="str">
        <x:v>Reuters</x:v>
      </x:c>
      <x:c r="F497" t="str">
        <x:v>High-quality independent reporting</x:v>
      </x:c>
      <x:c r="G497" s="44" t="str">
        <x:v>https://www.reuters.com/legal/government/inside-booming-market-us-midterm-election-bets-2026-10-14/</x:v>
      </x:c>
      <x:c r="H497" s="44" t="str">
        <x:v>Congressional prediction-market volume reached about $220M versus $92M in the 2024 cycle, but the top 1% of wallets accounted for roughly 70% of volume.</x:v>
      </x:c>
      <x:c r="I497" s="44" t="str">
        <x:v>Observable positioning with severe concentration modifier</x:v>
      </x:c>
      <x:c r="J497" s="44" t="n">
        <x:v>4</x:v>
      </x:c>
      <x:c r="K497" s="44" t="str">
        <x:v>Concentrated volume prevents treating market odds as independent broad confirmation.</x:v>
      </x:c>
    </x:row>
    <x:row r="498">
      <x:c r="A498" t="str">
        <x:v>EV-2026-493</x:v>
      </x:c>
      <x:c r="B498"/>
      <x:c r="C498" s="21" t="d">
        <x:v>2026-10-14T12:01:57.000Z</x:v>
      </x:c>
      <x:c r="D498" t="str">
        <x:v>New federal strategic-communications IDIQ</x:v>
      </x:c>
      <x:c r="E498" t="str">
        <x:v>Department of War</x:v>
      </x:c>
      <x:c r="F498" t="str">
        <x:v>Primary government award announcement</x:v>
      </x:c>
      <x:c r="G498" s="44" t="str">
        <x:v>https://www.war.gov/News/Contracts/Contract/Article/4624853/contracts-for-oct-13-2026/</x:v>
      </x:c>
      <x:c r="H498" s="44" t="str">
        <x:v>Recipient/parent: Raytheon Company/RTX; agency: Air Force Nuclear Weapons Center; action: new sole-source cost-plus-fixed-fee IDIQ; maximum potential value $8.0B; initial obligation $800K FY2026 RDT&amp;E; work Marlborough MA and Largo FL; performance through October 12, 2036; award identifier, NAICS and PSC not disclosed.</x:v>
      </x:c>
      <x:c r="I498" s="44" t="str">
        <x:v>Monitor; no new thesis because current funding is immaterial</x:v>
      </x:c>
      <x:c r="J498" s="44" t="n">
        <x:v>5</x:v>
      </x:c>
      <x:c r="K498" s="44" t="str">
        <x:v>Development, modernization and production-restart scope is strategically important, but the ceiling is not funded revenue and the market had no positive same-day confirmation.</x:v>
      </x:c>
    </x:row>
    <x:row r="499">
      <x:c r="A499" t="str">
        <x:v>EV-2026-494</x:v>
      </x:c>
      <x:c r="B499" t="str">
        <x:v>EEI-2026-007</x:v>
      </x:c>
      <x:c r="C499" s="21" t="d">
        <x:v>2026-10-14T12:01:57.000Z</x:v>
      </x:c>
      <x:c r="D499" t="str">
        <x:v>Counter-UAS contract awards</x:v>
      </x:c>
      <x:c r="E499" t="str">
        <x:v>RTX Raytheon</x:v>
      </x:c>
      <x:c r="F499" t="str">
        <x:v>Primary issuer record</x:v>
      </x:c>
      <x:c r="G499" s="44" t="str">
        <x:v>https://www.rtx.com/news/news-center/2026/10/13/rtxs-raytheon-awarded-729-million-in-counter-drone-contracts-for-u-s-qatar-a</x:v>
      </x:c>
      <x:c r="H499" s="44" t="str">
        <x:v>RTX announced $729M across U.S. Army, Qatar and Jordan LIDS awards, including first international KuRFS and Coyote sales. Individual award IDs, current obligations, potential-value split, NAICS/PSC, periods and competition terms were not disclosed.</x:v>
      </x:c>
      <x:c r="I499" s="44" t="str">
        <x:v>Confirms sector demand and AVAV competition; stage unchanged</x:v>
      </x:c>
      <x:c r="J499" s="44" t="n">
        <x:v>5</x:v>
      </x:c>
      <x:c r="K499" s="44" t="str">
        <x:v>About 0.8% of RTX's 2025 sales before revenue timing; meaningful for counter-UAS demand but not independently material enough for a new RTX thesis.</x:v>
      </x:c>
    </x:row>
    <x:row r="500">
      <x:c r="A500" t="str">
        <x:v>EV-2026-495</x:v>
      </x:c>
      <x:c r="B500"/>
      <x:c r="C500" s="21" t="d">
        <x:v>2026-10-14T12:01:57.000Z</x:v>
      </x:c>
      <x:c r="D500" t="str">
        <x:v>Motley Fool bank-dividend idea rejected</x:v>
      </x:c>
      <x:c r="E500" t="str">
        <x:v>The Motley Fool — Dave Kovaleski</x:v>
      </x:c>
      <x:c r="F500" t="str">
        <x:v>Free editorial trigger; not confirmation</x:v>
      </x:c>
      <x:c r="G500" s="44" t="str">
        <x:v>https://www.fool.com/investing/2026/10/14/3-bank-stocks-to-buy-that-raised-their-dividends-a/</x:v>
      </x:c>
      <x:c r="H500" s="44" t="str">
        <x:v>Published October 14 at 5:00 a.m. ET; suggested PNC, Morgan Stanley and Bank of America after previously announced dividend increases, favoring PNC.</x:v>
      </x:c>
      <x:c r="I500" s="44" t="str">
        <x:v>Rejected: no new operating or policy catalyst</x:v>
      </x:c>
      <x:c r="J500" s="44" t="n">
        <x:v>2</x:v>
      </x:c>
      <x:c r="K500" s="44" t="str">
        <x:v>Author and publication disclosed no positions; Bank of America is an advertising partner. Free editorial, not a paid-service recommendation.</x:v>
      </x:c>
    </x:row>
    <x:row r="501">
      <x:c r="A501" t="str">
        <x:v>EV-2026-496</x:v>
      </x:c>
      <x:c r="B501"/>
      <x:c r="C501" s="21" t="d">
        <x:v>2026-10-14T12:01:57.000Z</x:v>
      </x:c>
      <x:c r="D501" t="str">
        <x:v>Motley Fool Apple idea rejected</x:v>
      </x:c>
      <x:c r="E501" t="str">
        <x:v>The Motley Fool — Will Healy / Parkev Tatevosian</x:v>
      </x:c>
      <x:c r="F501" t="str">
        <x:v>Free editorial triggers; not confirmation</x:v>
      </x:c>
      <x:c r="G501" s="44" t="str">
        <x:v>https://www.fool.com/investing/2026/10/14/is-apple-stock-a-buy-during-the-holiday-quarter/</x:v>
      </x:c>
      <x:c r="H501" s="44" t="str">
        <x:v>Two free editorials discussed Apple's holiday cycle, new CEO and weak iPhone indicators without a new primary catalyst or independently established material surprise.</x:v>
      </x:c>
      <x:c r="I501" s="44" t="str">
        <x:v>Rejected as a new thesis</x:v>
      </x:c>
      <x:c r="J501" s="44" t="n">
        <x:v>2</x:v>
      </x:c>
      <x:c r="K501" s="44" t="str">
        <x:v>Authors disclosed no Apple position; Motley Fool owns and recommends Apple. Promotional framing was excluded.</x:v>
      </x:c>
    </x:row>
    <x:row r="502">
      <x:c r="A502" t="str">
        <x:v>EV-2026-497</x:v>
      </x:c>
      <x:c r="B502"/>
      <x:c r="C502" s="21" t="d">
        <x:v>2026-10-14T12:01:57.000Z</x:v>
      </x:c>
      <x:c r="D502" t="str">
        <x:v>Motley Fool stale-position and index ideas rejected</x:v>
      </x:c>
      <x:c r="E502" t="str">
        <x:v>The Motley Fool</x:v>
      </x:c>
      <x:c r="F502" t="str">
        <x:v>Free editorial triggers; not confirmation</x:v>
      </x:c>
      <x:c r="G502" s="44" t="str">
        <x:v>https://www.fool.com/investing/2026/10/14/palantir-peter-thiel-buys-2-ai-stocks-not-nvidia-micron/</x:v>
      </x:c>
      <x:c r="H502" s="44" t="str">
        <x:v>Public articles highlighted Q2 Thiel holdings in Amazon and Vistra and long-run VOO/SCHD historical returns. They did not provide a new primary operating catalyst; VST is already tracked under EEI-2026-015.</x:v>
      </x:c>
      <x:c r="I502" s="44" t="str">
        <x:v>Rejected as new theses; no change to existing VST thesis</x:v>
      </x:c>
      <x:c r="J502" s="44" t="n">
        <x:v>2</x:v>
      </x:c>
      <x:c r="K502" s="44" t="str">
        <x:v>Author and publication conflicts were disclosed in each article; portfolio disclosure and backtested history are not confirmation.</x:v>
      </x:c>
    </x:row>
    <x:row r="503">
      <x:c r="A503" t="str">
        <x:v>EV-2026-498</x:v>
      </x:c>
      <x:c r="B503"/>
      <x:c r="C503" s="21" t="d">
        <x:v>2026-10-14T12:01:57.000Z</x:v>
      </x:c>
      <x:c r="D503" t="str">
        <x:v>Candidate-queue checkpoint</x:v>
      </x:c>
      <x:c r="E503" t="str">
        <x:v>SEC EDGAR and issuer investor-relations records</x:v>
      </x:c>
      <x:c r="F503" t="str">
        <x:v>Primary regulatory and issuer records</x:v>
      </x:c>
      <x:c r="G503" s="44" t="str">
        <x:v>https://www.sec.gov/edgar/search/</x:v>
      </x:c>
      <x:c r="H503" s="44" t="str">
        <x:v>BMY and LULU had no new primary operating evidence sufficient to change stage, confidence, edge or Entry Window. RTX's LIDS awards strengthen AVAV's demand backdrop but also its competition risk; AVAV remains unchanged.</x:v>
      </x:c>
      <x:c r="I503" s="44" t="str">
        <x:v>BMY, LULU and AVAV classifications unchanged</x:v>
      </x:c>
      <x:c r="J503" s="44" t="n">
        <x:v>5</x:v>
      </x:c>
      <x:c r="K503" s="44" t="str">
        <x:v>No real trade was recommended or executed.</x:v>
      </x:c>
    </x:row>
    <x:row r="504">
      <x:c r="A504" t="str">
        <x:v>EV-2026-499</x:v>
      </x:c>
      <x:c r="B504" t="str">
        <x:v>EEI-2026-001</x:v>
      </x:c>
      <x:c r="C504" s="21" t="d">
        <x:v>2026-10-14T20:56:19.000Z</x:v>
      </x:c>
      <x:c r="D504" t="str">
        <x:v>Paper-trade outcome</x:v>
      </x:c>
      <x:c r="E504" t="str">
        <x:v>StockAnalysis</x:v>
      </x:c>
      <x:c r="F504" t="str">
        <x:v>Market data</x:v>
      </x:c>
      <x:c r="G504" s="44" t="str">
        <x:v>https://stockanalysis.com/etf/bno/history/</x:v>
      </x:c>
      <x:c r="H504" s="44" t="str">
        <x:v>BNO closed October 14 at $65.09, versus the fixed September 8 opening entry of $57.21. The $1,000 fractional-share paper position was worth $1,137.74, a gain of $137.74 or 13.77%.</x:v>
      </x:c>
      <x:c r="I504" s="44" t="str">
        <x:v>Confirms direct Brent expression</x:v>
      </x:c>
      <x:c r="J504" s="44" t="n">
        <x:v>4</x:v>
      </x:c>
      <x:c r="K504" s="44" t="str">
        <x:v>Official regular-session close used; totals retain unrounded fractional shares.</x:v>
      </x:c>
    </x:row>
    <x:row r="505">
      <x:c r="A505" t="str">
        <x:v>EV-2026-500</x:v>
      </x:c>
      <x:c r="B505" t="str">
        <x:v>EEI-2026-001</x:v>
      </x:c>
      <x:c r="C505" s="21" t="d">
        <x:v>2026-10-14T20:56:19.000Z</x:v>
      </x:c>
      <x:c r="D505" t="str">
        <x:v>Paper-trade outcome</x:v>
      </x:c>
      <x:c r="E505" t="str">
        <x:v>StockAnalysis</x:v>
      </x:c>
      <x:c r="F505" t="str">
        <x:v>Market data</x:v>
      </x:c>
      <x:c r="G505" s="44" t="str">
        <x:v>https://stockanalysis.com/etf/uso/history/</x:v>
      </x:c>
      <x:c r="H505" s="44" t="str">
        <x:v>USO closed October 14 at $153.56, versus the fixed September 8 opening entry of $144.60. The $1,000 fractional-share paper position was worth $1,061.96, a gain of $61.96 or 6.20%.</x:v>
      </x:c>
      <x:c r="I505" s="44" t="str">
        <x:v>Confirms direct WTI expression</x:v>
      </x:c>
      <x:c r="J505" s="44" t="n">
        <x:v>4</x:v>
      </x:c>
      <x:c r="K505" s="44" t="str">
        <x:v>Official regular-session close used; totals retain unrounded fractional shares.</x:v>
      </x:c>
    </x:row>
    <x:row r="506">
      <x:c r="A506" t="str">
        <x:v>EV-2026-501</x:v>
      </x:c>
      <x:c r="B506" t="str">
        <x:v>EEI-2026-001</x:v>
      </x:c>
      <x:c r="C506" s="21" t="d">
        <x:v>2026-10-14T20:56:19.000Z</x:v>
      </x:c>
      <x:c r="D506" t="str">
        <x:v>Paper-trade outcome</x:v>
      </x:c>
      <x:c r="E506" t="str">
        <x:v>StockAnalysis</x:v>
      </x:c>
      <x:c r="F506" t="str">
        <x:v>Market data</x:v>
      </x:c>
      <x:c r="G506" s="44" t="str">
        <x:v>https://stockanalysis.com/etf/xop/history/</x:v>
      </x:c>
      <x:c r="H506" s="44" t="str">
        <x:v>XOP closed October 14 at $197.84, versus the fixed September 8 opening entry of $193.84. The $1,000 fractional-share paper position was worth $1,020.64, a gain of $20.64 or 2.06%.</x:v>
      </x:c>
      <x:c r="I506" s="44" t="str">
        <x:v>Positive but weakest expression</x:v>
      </x:c>
      <x:c r="J506" s="44" t="n">
        <x:v>4</x:v>
      </x:c>
      <x:c r="K506" s="44" t="str">
        <x:v>Producer equities ended above entry but materially lagged both direct crude funds.</x:v>
      </x:c>
    </x:row>
    <x:row r="507">
      <x:c r="A507" t="str">
        <x:v>EV-2026-502</x:v>
      </x:c>
      <x:c r="B507" t="str">
        <x:v>EEI-2026-001</x:v>
      </x:c>
      <x:c r="C507" s="21" t="d">
        <x:v>2026-10-14T20:56:19.000Z</x:v>
      </x:c>
      <x:c r="D507" t="str">
        <x:v>Market confirmation</x:v>
      </x:c>
      <x:c r="E507" t="str">
        <x:v>Reuters</x:v>
      </x:c>
      <x:c r="F507" t="str">
        <x:v>High-quality independent reporting</x:v>
      </x:c>
      <x:c r="G507" s="44" t="str">
        <x:v>https://www.reuters.com/business/energy/oil-prices-climb-traders-weigh-saudi-supply-risk-russian-diesel-flow-2026-10-14/</x:v>
      </x:c>
      <x:c r="H507" s="44" t="str">
        <x:v>Brent settled October 14 at $106.06 and WTI at $95.09 after a Houthi attack on an Aramco building, renewed attacks on ships near Hormuz and Iran's reported adoption of new ship-targeting tactics.</x:v>
      </x:c>
      <x:c r="I507" s="44" t="str">
        <x:v>Supports persistent crude risk premium</x:v>
      </x:c>
      <x:c r="J507" s="44" t="n">
        <x:v>4</x:v>
      </x:c>
      <x:c r="K507" s="44" t="str">
        <x:v>The limited fire at the Aramco building was not a verified production outage; price support came chiefly from route and escalation risk.</x:v>
      </x:c>
    </x:row>
    <x:row r="508">
      <x:c r="A508" t="str">
        <x:v>EV-2026-503</x:v>
      </x:c>
      <x:c r="B508" t="str">
        <x:v>EEI-2026-001</x:v>
      </x:c>
      <x:c r="C508" s="21" t="d">
        <x:v>2026-10-14T20:56:19.000Z</x:v>
      </x:c>
      <x:c r="D508" t="str">
        <x:v>Contradictory modifier</x:v>
      </x:c>
      <x:c r="E508" t="str">
        <x:v>Reuters / IEA</x:v>
      </x:c>
      <x:c r="F508" t="str">
        <x:v>High-quality reporting citing IEA data</x:v>
      </x:c>
      <x:c r="G508" s="44" t="str">
        <x:v>https://www.reuters.com/business/energy/oil-prices-climb-traders-weigh-saudi-supply-risk-russian-diesel-flow-2026-10-14/</x:v>
      </x:c>
      <x:c r="H508" s="44" t="str">
        <x:v>IEA data showed Middle East Gulf crude exports rose by 4.4 million barrels per day in September to about 75% of pre-war levels; excluding Iran, flows exceeded 81% of pre-war levels.</x:v>
      </x:c>
      <x:c r="I508" s="44" t="str">
        <x:v>Weakens shortage mechanism without invalidating route risk</x:v>
      </x:c>
      <x:c r="J508" s="44" t="n">
        <x:v>4</x:v>
      </x:c>
      <x:c r="K508" s="44" t="str">
        <x:v>Recovered exports demonstrate adaptation and cap the scarcity premium even as shipping attacks and insurance costs remain elevated.</x:v>
      </x:c>
    </x:row>
    <x:row r="509">
      <x:c r="A509" t="str">
        <x:v>EV-2026-504</x:v>
      </x:c>
      <x:c r="B509"/>
      <x:c r="C509" s="21" t="d">
        <x:v>2026-10-15T12:24:12.000Z</x:v>
      </x:c>
      <x:c r="D509" t="str">
        <x:v>Long-duration Treasury safe-haven candidate</x:v>
      </x:c>
      <x:c r="E509" t="str">
        <x:v>Reuters</x:v>
      </x:c>
      <x:c r="F509" t="str">
        <x:v>High-quality independent reporting</x:v>
      </x:c>
      <x:c r="G509" s="44" t="str">
        <x:v>https://www.reuters.com/legal/transactional/is-ai-rout-making-bonds-safe-again-2026-10-15/</x:v>
      </x:c>
      <x:c r="H509" s="44" t="str">
        <x:v>AI-linked equity and credit stress pushed government bonds higher despite hot consumer inflation; the 10-year Treasury yield fell to a three-week low as highly leveraged AI issuers repriced.</x:v>
      </x:c>
      <x:c r="I509" s="44" t="str">
        <x:v>Candidate rejected at current entry; review 2026-10-22</x:v>
      </x:c>
      <x:c r="J509" s="44" t="n">
        <x:v>5</x:v>
      </x:c>
      <x:c r="K509" s="44" t="str">
        <x:v>The move conflicts with persistent inflation and fiscal/term-premium risk. Reuters reported CoreWeave carried roughly $48B of bonds and loans, but credit-default-swap markets can be thin and do not establish a broad default cycle.</x:v>
      </x:c>
    </x:row>
    <x:row r="510">
      <x:c r="A510" t="str">
        <x:v>EV-2026-505</x:v>
      </x:c>
      <x:c r="B510"/>
      <x:c r="C510" s="21" t="d">
        <x:v>2026-10-15T12:30:00.000Z</x:v>
      </x:c>
      <x:c r="D510" t="str">
        <x:v>Producer-price contradiction to duration entry</x:v>
      </x:c>
      <x:c r="E510" t="str">
        <x:v>U.S. Bureau of Labor Statistics</x:v>
      </x:c>
      <x:c r="F510" t="str">
        <x:v>Primary government data</x:v>
      </x:c>
      <x:c r="G510" s="44" t="str">
        <x:v>https://www.bls.gov/ppi/</x:v>
      </x:c>
      <x:c r="H510" s="44" t="str">
        <x:v>September final-demand PPI rose 1.3% month over month and 6.3% year over year; goods rose 2.6% and services 0.8%.</x:v>
      </x:c>
      <x:c r="I510" s="44" t="str">
        <x:v>Rejects a fresh TLT entry today; inflation can reverse the safe-haven rally</x:v>
      </x:c>
      <x:c r="J510" s="44" t="n">
        <x:v>5</x:v>
      </x:c>
      <x:c r="K510" s="44" t="str">
        <x:v>One monthly release can be volatile, but the magnitude materially worsens duration risk and was released after the premarket TLT quote.</x:v>
      </x:c>
    </x:row>
    <x:row r="511">
      <x:c r="A511" t="str">
        <x:v>EV-2026-506</x:v>
      </x:c>
      <x:c r="B511"/>
      <x:c r="C511" s="21" t="d">
        <x:v>2026-10-15T12:30:00.000Z</x:v>
      </x:c>
      <x:c r="D511" t="str">
        <x:v>Retail-sales contradiction to duration entry</x:v>
      </x:c>
      <x:c r="E511" t="str">
        <x:v>U.S. Census Bureau</x:v>
      </x:c>
      <x:c r="F511" t="str">
        <x:v>Primary government data</x:v>
      </x:c>
      <x:c r="G511" s="44" t="str">
        <x:v>https://www.census.gov/retail/sales.html</x:v>
      </x:c>
      <x:c r="H511" s="44" t="str">
        <x:v>September retail and food-services sales were $745.0B, up 0.8% month over month and 6.3% year over year; July-August growth was revised higher.</x:v>
      </x:c>
      <x:c r="I511" s="44" t="str">
        <x:v>Rejects a fresh TLT entry today; demand resilience supports higher-for-longer risk</x:v>
      </x:c>
      <x:c r="J511" s="44" t="n">
        <x:v>5</x:v>
      </x:c>
      <x:c r="K511" s="44" t="str">
        <x:v>Sales are nominal and therefore partly reflect inflation, but the release does not support an immediate growth-collapse thesis.</x:v>
      </x:c>
    </x:row>
    <x:row r="512">
      <x:c r="A512" t="str">
        <x:v>EV-2026-507</x:v>
      </x:c>
      <x:c r="B512"/>
      <x:c r="C512" s="21" t="d">
        <x:v>2026-10-15T12:14:43.000Z</x:v>
      </x:c>
      <x:c r="D512" t="str">
        <x:v>TLT comparison-price baseline</x:v>
      </x:c>
      <x:c r="E512" t="str">
        <x:v>Nasdaq market data / iShares</x:v>
      </x:c>
      <x:c r="F512" t="str">
        <x:v>Public market data and issuer fund record</x:v>
      </x:c>
      <x:c r="G512" s="44" t="str">
        <x:v>https://www.nasdaq.com/market-activity/etf/tlt</x:v>
      </x:c>
      <x:c r="H512" s="44" t="str">
        <x:v>TLT was quoted at $78.89, up 0.65% from the prior close, before the 8:30 a.m. ET PPI and retail-sales releases. Decision: REJECT a paper entry rather than use a stale pre-data quote as an executable fill. Performance checkpoint: October 22, 2026.</x:v>
      </x:c>
      <x:c r="I512" s="44" t="str">
        <x:v>No paper order and no simulated fill</x:v>
      </x:c>
      <x:c r="J512" s="44" t="n">
        <x:v>4</x:v>
      </x:c>
      <x:c r="K512" s="44" t="str">
        <x:v>The quote supplied no bid/ask and predates the two primary macro releases; the ledger also contains no available-cash or portfolio-sizing rule. These are operational constraints, not negative investment evidence.</x:v>
      </x:c>
    </x:row>
    <x:row r="513">
      <x:c r="A513" t="str">
        <x:v>EV-2026-508</x:v>
      </x:c>
      <x:c r="B513"/>
      <x:c r="C513" s="21" t="d">
        <x:v>2026-10-15T12:24:12.000Z</x:v>
      </x:c>
      <x:c r="D513" t="str">
        <x:v>TSMC earnings-beat candidate rejected at current price</x:v>
      </x:c>
      <x:c r="E513" t="str">
        <x:v>TSMC / Reuters</x:v>
      </x:c>
      <x:c r="F513" t="str">
        <x:v>Primary issuer event and high-quality independent reporting</x:v>
      </x:c>
      <x:c r="G513" s="44" t="str">
        <x:v>https://www.reuters.com/world/asia-pacific/tsmc-q3-profit-jumps-69-record-beating-expectations-2026-10-15/</x:v>
      </x:c>
      <x:c r="H513" s="44" t="str">
        <x:v>TSMC reported record Q3 profit of NT$763.1B, up 69% year over year and above expectations, as AI demand remained strong. The U.S. ADR was indicated near $430, down 3.37% at 12:14 UTC.</x:v>
      </x:c>
      <x:c r="I513" s="44" t="str">
        <x:v>Rejected as a new entry; review 2026-10-29</x:v>
      </x:c>
      <x:c r="J513" s="44" t="n">
        <x:v>5</x:v>
      </x:c>
      <x:c r="K513" s="44" t="str">
        <x:v>The company cautioned on 2027 macro uncertainty, the stock had already risen about 44% in 2026 and broader AI-credit stress was repricing the sector. Strong operations did not establish an underpriced entry.</x:v>
      </x:c>
    </x:row>
    <x:row r="514">
      <x:c r="A514" t="str">
        <x:v>EV-2026-509</x:v>
      </x:c>
      <x:c r="B514"/>
      <x:c r="C514" s="21" t="d">
        <x:v>2026-10-15T12:24:12.000Z</x:v>
      </x:c>
      <x:c r="D514" t="str">
        <x:v>October 14 federal contract screen</x:v>
      </x:c>
      <x:c r="E514" t="str">
        <x:v>U.S. Department of War</x:v>
      </x:c>
      <x:c r="F514" t="str">
        <x:v>Primary government award announcement</x:v>
      </x:c>
      <x:c r="G514" s="44" t="str">
        <x:v>https://www.war.gov/News/Contracts/Contract/Article/4625668/contracts-for-oct-14-2026/</x:v>
      </x:c>
      <x:c r="H514" s="44" t="str">
        <x:v>Six announced actions totaled about $754.3M. The $499.8M ceiling IDIQ went to Johns Hopkins APL with no funds obligated at award; the $99.0M Shift5 award went to a private company. Public-company items for Lockheed Martin and Oshkosh were modifications rather than distinct new public-equity catalysts.</x:v>
      </x:c>
      <x:c r="I514" s="44" t="str">
        <x:v>No new public-company thesis</x:v>
      </x:c>
      <x:c r="J514" s="44" t="n">
        <x:v>5</x:v>
      </x:c>
      <x:c r="K514" s="44" t="str">
        <x:v>The official page did not disclose every NAICS/PSC field. Ceiling values are not funded revenue, and the largest awards lacked a direct listed-company expression.</x:v>
      </x:c>
    </x:row>
    <x:row r="515">
      <x:c r="A515" t="str">
        <x:v>EV-2026-510</x:v>
      </x:c>
      <x:c r="B515"/>
      <x:c r="C515" s="21" t="d">
        <x:v>2026-10-15T12:24:12.000Z</x:v>
      </x:c>
      <x:c r="D515" t="str">
        <x:v>Refining-margin candidate rejected after prior rerating</x:v>
      </x:c>
      <x:c r="E515" t="str">
        <x:v>TotalEnergies / Reuters</x:v>
      </x:c>
      <x:c r="F515" t="str">
        <x:v>Issuer operating indicator and high-quality independent reporting</x:v>
      </x:c>
      <x:c r="G515" s="44" t="str">
        <x:v>https://www.reuters.com/business/energy/totalenergies-expects-sharp-rise-third-quarter-earnings-2026-10-15/</x:v>
      </x:c>
      <x:c r="H515" s="44" t="str">
        <x:v>TotalEnergies flagged stronger Q3 earnings as its European refining margin reached $33.2 per barrel and downstream cash flow approached $4B. TTE was indicated at $89.64, up 0.82%, after roughly 45% year-to-date appreciation.</x:v>
      </x:c>
      <x:c r="I515" s="44" t="str">
        <x:v>Rejected as a fresh entry; review after October 29 results</x:v>
      </x:c>
      <x:c r="J515" s="44" t="n">
        <x:v>4</x:v>
      </x:c>
      <x:c r="K515" s="44" t="str">
        <x:v>The catalyst was already broadly reflected in the prior rerating, formal results were still pending, and the expression retains oil-price, geopolitical and integrated-company risks.</x:v>
      </x:c>
    </x:row>
    <x:row r="516">
      <x:c r="A516" t="str">
        <x:v>EV-2026-511</x:v>
      </x:c>
      <x:c r="B516"/>
      <x:c r="C516" s="21" t="d">
        <x:v>2026-10-15T12:24:12.000Z</x:v>
      </x:c>
      <x:c r="D516" t="str">
        <x:v>Broad risk and benchmark checkpoint</x:v>
      </x:c>
      <x:c r="E516" t="str">
        <x:v>Reuters / public market data</x:v>
      </x:c>
      <x:c r="F516" t="str">
        <x:v>High-quality independent reporting and market data</x:v>
      </x:c>
      <x:c r="G516" s="44" t="str">
        <x:v>https://www.reuters.com/world/china/global-markets-wrapup-1-2026-10-15/</x:v>
      </x:c>
      <x:c r="H516" s="44" t="str">
        <x:v>Asian technology indexes fell sharply and AI-linked credit stress widened while government bonds and gold gained. At 12:15 UTC QQQ was indicated down 1.97% and SPY down 1.07%, establishing the day's broad benchmark context.</x:v>
      </x:c>
      <x:c r="I516" s="44" t="str">
        <x:v>Supports caution but not a forced defensive trade</x:v>
      </x:c>
      <x:c r="J516" s="44" t="n">
        <x:v>4</x:v>
      </x:c>
      <x:c r="K516" s="44" t="str">
        <x:v>Premarket indications are not official closes; U.S. regular-session breadth and post-data price discovery were unavailable at scan time.</x:v>
      </x:c>
    </x:row>
    <x:row r="517">
      <x:c r="A517" t="str">
        <x:v>EV-2026-512</x:v>
      </x:c>
      <x:c r="B517" t="str">
        <x:v>EEI-2026-001</x:v>
      </x:c>
      <x:c r="C517" s="21" t="d">
        <x:v>2026-10-15T20:36:40.000Z</x:v>
      </x:c>
      <x:c r="D517" t="str">
        <x:v>Paper-trade outcome</x:v>
      </x:c>
      <x:c r="E517" t="str">
        <x:v>StockAnalysis</x:v>
      </x:c>
      <x:c r="F517" t="str">
        <x:v>Market data</x:v>
      </x:c>
      <x:c r="G517" s="44" t="str">
        <x:v>https://stockanalysis.com/etf/bno/history/</x:v>
      </x:c>
      <x:c r="H517" s="44" t="str">
        <x:v>BNO closed October 15 at $64.87 versus the fixed September 8 opening entry of $57.21. The $1,000 fractional-share paper position was worth $1,133.89, a gain of $133.89 or 13.39%.</x:v>
      </x:c>
      <x:c r="I517" s="44" t="str">
        <x:v>Confirms direct Brent expression</x:v>
      </x:c>
      <x:c r="J517" s="44" t="n">
        <x:v>4</x:v>
      </x:c>
      <x:c r="K517" s="44" t="str">
        <x:v>Official regular-session close used; totals retain unrounded fractional shares.</x:v>
      </x:c>
    </x:row>
    <x:row r="518">
      <x:c r="A518" t="str">
        <x:v>EV-2026-513</x:v>
      </x:c>
      <x:c r="B518" t="str">
        <x:v>EEI-2026-001</x:v>
      </x:c>
      <x:c r="C518" s="21" t="d">
        <x:v>2026-10-15T20:36:40.000Z</x:v>
      </x:c>
      <x:c r="D518" t="str">
        <x:v>Paper-trade outcome</x:v>
      </x:c>
      <x:c r="E518" t="str">
        <x:v>StockAnalysis</x:v>
      </x:c>
      <x:c r="F518" t="str">
        <x:v>Market data</x:v>
      </x:c>
      <x:c r="G518" s="44" t="str">
        <x:v>https://stockanalysis.com/etf/uso/history/</x:v>
      </x:c>
      <x:c r="H518" s="44" t="str">
        <x:v>USO closed October 15 at $157.31 versus the fixed September 8 opening entry of $144.60. The $1,000 fractional-share paper position was worth $1,087.90, a gain of $87.90 or 8.79%.</x:v>
      </x:c>
      <x:c r="I518" s="44" t="str">
        <x:v>Confirms direct WTI expression</x:v>
      </x:c>
      <x:c r="J518" s="44" t="n">
        <x:v>4</x:v>
      </x:c>
      <x:c r="K518" s="44" t="str">
        <x:v>Official regular-session close used; totals retain unrounded fractional shares.</x:v>
      </x:c>
    </x:row>
    <x:row r="519">
      <x:c r="A519" t="str">
        <x:v>EV-2026-514</x:v>
      </x:c>
      <x:c r="B519" t="str">
        <x:v>EEI-2026-001</x:v>
      </x:c>
      <x:c r="C519" s="21" t="d">
        <x:v>2026-10-15T20:36:40.000Z</x:v>
      </x:c>
      <x:c r="D519" t="str">
        <x:v>Paper-trade outcome</x:v>
      </x:c>
      <x:c r="E519" t="str">
        <x:v>StockAnalysis</x:v>
      </x:c>
      <x:c r="F519" t="str">
        <x:v>Market data</x:v>
      </x:c>
      <x:c r="G519" s="44" t="str">
        <x:v>https://stockanalysis.com/etf/xop/history/</x:v>
      </x:c>
      <x:c r="H519" s="44" t="str">
        <x:v>XOP closed October 15 at $194.89 versus the fixed September 8 opening entry of $193.84. The $1,000 fractional-share paper position was worth $1,005.42, a gain of $5.42 or 0.54%.</x:v>
      </x:c>
      <x:c r="I519" s="44" t="str">
        <x:v>Positive but weakest expression</x:v>
      </x:c>
      <x:c r="J519" s="44" t="n">
        <x:v>4</x:v>
      </x:c>
      <x:c r="K519" s="44" t="str">
        <x:v>XOP fell 1.49% on the day despite the WTI rally, reinforcing the imperfect producer-equity mapping.</x:v>
      </x:c>
    </x:row>
    <x:row r="520">
      <x:c r="A520" t="str">
        <x:v>EV-2026-515</x:v>
      </x:c>
      <x:c r="B520" t="str">
        <x:v>EEI-2026-001</x:v>
      </x:c>
      <x:c r="C520" s="21" t="d">
        <x:v>2026-10-15T20:36:40.000Z</x:v>
      </x:c>
      <x:c r="D520" t="str">
        <x:v>Infrastructure-risk confirmation</x:v>
      </x:c>
      <x:c r="E520" t="str">
        <x:v>Reuters investigation</x:v>
      </x:c>
      <x:c r="F520" t="str">
        <x:v>High-quality independent reporting</x:v>
      </x:c>
      <x:c r="G520" s="44" t="str">
        <x:v>https://www.reuters.com/investigates/special-report/iran-crisis-infrastructure-attacks/</x:v>
      </x:c>
      <x:c r="H520" s="44" t="str">
        <x:v>Reuters documented at least 135 Iranian or proxy strikes on at least 84 Gulf infrastructure sites, including damage to Fujairah oil-routing systems and Saudi East-West Pipeline pumping stations that impaired key Hormuz bypass routes.</x:v>
      </x:c>
      <x:c r="I520" s="44" t="str">
        <x:v>Confirms persistence of the disruption mechanism</x:v>
      </x:c>
      <x:c r="J520" s="44" t="n">
        <x:v>5</x:v>
      </x:c>
      <x:c r="K520" s="44" t="str">
        <x:v>The investigation supports lasting route and infrastructure risk; it does not establish a new October 15 production outage.</x:v>
      </x:c>
    </x:row>
    <x:row r="521">
      <x:c r="A521" t="str">
        <x:v>EV-2026-516</x:v>
      </x:c>
      <x:c r="B521" t="str">
        <x:v>EEI-2026-001</x:v>
      </x:c>
      <x:c r="C521" s="21" t="d">
        <x:v>2026-10-15T20:36:40.000Z</x:v>
      </x:c>
      <x:c r="D521" t="str">
        <x:v>Market confirmation and counterweight</x:v>
      </x:c>
      <x:c r="E521" t="str">
        <x:v>Reuters / EIA / IEA</x:v>
      </x:c>
      <x:c r="F521" t="str">
        <x:v>High-quality reporting citing government and agency data</x:v>
      </x:c>
      <x:c r="G521" s="44" t="str">
        <x:v>https://www.reuters.com/business/energy/oil-prices-fall-investors-weigh-supply-outlook-middle-east-tensions-2026-10-15/</x:v>
      </x:c>
      <x:c r="H521" s="44" t="str">
        <x:v>Brent settled October 15 at $105.92 while WTI rose 3.03% to $97.97 after an 8.6-million-barrel U.S. crude draw. Shipping attacks sustained the risk premium, but possible shadow-fleet sanctions relief and an IEA release of more than 20 million diesel barrels added supply-side relief.</x:v>
      </x:c>
      <x:c r="I521" s="44" t="str">
        <x:v>Mixed: confirms risk premium but caps shortage upside</x:v>
      </x:c>
      <x:c r="J521" s="44" t="n">
        <x:v>5</x:v>
      </x:c>
      <x:c r="K521" s="44" t="str">
        <x:v>The WTI move was driven partly by U.S. inventories rather than a fresh global Hormuz supply loss; Reuters noted no energy-infrastructure attack in the preceding several days.</x:v>
      </x:c>
    </x:row>
    <x:row r="522">
      <x:c r="A522" t="str">
        <x:v>EV-2026-517</x:v>
      </x:c>
      <x:c r="B522" t="str">
        <x:v>EEI-2026-021</x:v>
      </x:c>
      <x:c r="C522" s="21" t="d">
        <x:v>2026-10-16T13:05:19.000Z</x:v>
      </x:c>
      <x:c r="D522" t="str">
        <x:v>Travelers third-quarter operating trigger</x:v>
      </x:c>
      <x:c r="E522" t="str">
        <x:v>Travelers / SEC EDGAR</x:v>
      </x:c>
      <x:c r="F522" t="str">
        <x:v>Primary issuer filing</x:v>
      </x:c>
      <x:c r="G522" s="44" t="str">
        <x:v>https://www.sec.gov/Archives/edgar/data/86312/000008631226000180/a991pressrelease93026.htm</x:v>
      </x:c>
      <x:c r="H522" s="44" t="str">
        <x:v>Travelers reported $9.18 core EPS, $1.947B core income, 22.1% core ROE, $1.736B of underlying underwriting income, an 84.1% underlying combined ratio and record $1.098B pre-tax net investment income.</x:v>
      </x:c>
      <x:c r="I522" s="44" t="str">
        <x:v>Supports a new developing underwriting and investment-income thesis</x:v>
      </x:c>
      <x:c r="J522" s="44" t="n">
        <x:v>5</x:v>
      </x:c>
      <x:c r="K522" s="44" t="str">
        <x:v>Net written premiums were flat, catastrophe losses were higher, the underlying combined ratio was slightly worse year over year, and favorable reserve development plus repurchases supported results.</x:v>
      </x:c>
    </x:row>
    <x:row r="523">
      <x:c r="A523" t="str">
        <x:v>EV-2026-518</x:v>
      </x:c>
      <x:c r="B523" t="str">
        <x:v>EEI-2026-021</x:v>
      </x:c>
      <x:c r="C523" s="21" t="d">
        <x:v>2026-10-16T12:59:00.000Z</x:v>
      </x:c>
      <x:c r="D523" t="str">
        <x:v>Travelers price dislocation and proposed order</x:v>
      </x:c>
      <x:c r="E523" t="str">
        <x:v>WSJ market data</x:v>
      </x:c>
      <x:c r="F523" t="str">
        <x:v>Timestamped public market data</x:v>
      </x:c>
      <x:c r="G523" s="44" t="str">
        <x:v>https://www.wsj.com/market-data/stock/trv</x:v>
      </x:c>
      <x:c r="H523" s="44" t="str">
        <x:v>TRV was indicated at $371.30 at 8:59 a.m. ET, down 3.28% from the verified October 15 close of $383.89. Decision: PROPOSED $500 paper limit at $365 expiring October 23; not live or filled.</x:v>
      </x:c>
      <x:c r="I523" s="44" t="str">
        <x:v>Creates a testable pending-price condition</x:v>
      </x:c>
      <x:c r="J523" s="44" t="n">
        <x:v>4</x:v>
      </x:c>
      <x:c r="K523" s="44" t="str">
        <x:v>No bid/ask spread was published, regular-session confirmation was unavailable, and the ledger lacks capital and position-sizing rules. These are operational blockers, not negative investment evidence.</x:v>
      </x:c>
    </x:row>
    <x:row r="524">
      <x:c r="A524" t="str">
        <x:v>EV-2026-519</x:v>
      </x:c>
      <x:c r="B524"/>
      <x:c r="C524" s="21" t="d">
        <x:v>2026-10-16T12:55:00.000Z</x:v>
      </x:c>
      <x:c r="D524" t="str">
        <x:v>Exxon refining-margin candidate rejected</x:v>
      </x:c>
      <x:c r="E524" t="str">
        <x:v>ExxonMobil filing / Reuters / WSJ market data</x:v>
      </x:c>
      <x:c r="F524" t="str">
        <x:v>Primary issuer signal and public market data</x:v>
      </x:c>
      <x:c r="G524" s="44" t="str">
        <x:v>https://www.reuters.com/business/energy/exxonmobil-signals-lower-third-quarter-earnings-2026-10-16/</x:v>
      </x:c>
      <x:c r="H524" s="44" t="str">
        <x:v>Exxon indicated that third-quarter refining margins could add $4.5B sequentially to downstream earnings; XOM was $175.94 at 8:55 a.m. ET, near its 52-week high, before full results due October 30.</x:v>
      </x:c>
      <x:c r="I524" s="44" t="str">
        <x:v>REJECT fresh entry; review after full results</x:v>
      </x:c>
      <x:c r="J524" s="44" t="n">
        <x:v>4</x:v>
      </x:c>
      <x:c r="K524" s="44" t="str">
        <x:v>Upstream earnings could fall $1.3B sequentially, no conflict-related volume disruption was reported, the stock was already near a high and the paper portfolio already has concentrated energy exposure.</x:v>
      </x:c>
    </x:row>
    <x:row r="525">
      <x:c r="A525" t="str">
        <x:v>EV-2026-520</x:v>
      </x:c>
      <x:c r="B525"/>
      <x:c r="C525" s="21" t="d">
        <x:v>2026-10-16T13:01:00.000Z</x:v>
      </x:c>
      <x:c r="D525" t="str">
        <x:v>Varonis merger-arbitrage candidate rejected</x:v>
      </x:c>
      <x:c r="E525" t="str">
        <x:v>Varonis SEC filing / public market data</x:v>
      </x:c>
      <x:c r="F525" t="str">
        <x:v>Primary merger filing and timestamped market data</x:v>
      </x:c>
      <x:c r="G525" s="44" t="str">
        <x:v>https://www.sec.gov/Archives/edgar/data/1361113/000121390026109901/ea0308610-8k_varonis.htm</x:v>
      </x:c>
      <x:c r="H525" s="44" t="str">
        <x:v>Proofpoint agreed to pay $49.75 cash per VRNS share with expected closing in first-half 2027. VRNS was $48.72 at 9:01 a.m. ET, leaving only about 2.1% gross spread before time value and deal risk.</x:v>
      </x:c>
      <x:c r="I525" s="44" t="str">
        <x:v>REJECT merger-arbitrage entry</x:v>
      </x:c>
      <x:c r="J525" s="44" t="n">
        <x:v>5</x:v>
      </x:c>
      <x:c r="K525" s="44" t="str">
        <x:v>Stockholder and regulatory approvals, financing, delay and termination risks remain; the small gross spread is inadequate for the stated risks and holding period.</x:v>
      </x:c>
    </x:row>
    <x:row r="526">
      <x:c r="A526" t="str">
        <x:v>EV-2026-521</x:v>
      </x:c>
      <x:c r="B526"/>
      <x:c r="C526" s="21" t="d">
        <x:v>2026-10-16T12:30:00.000Z</x:v>
      </x:c>
      <x:c r="D526" t="str">
        <x:v>Import-price contradiction to duration entry</x:v>
      </x:c>
      <x:c r="E526" t="str">
        <x:v>U.S. Bureau of Labor Statistics</x:v>
      </x:c>
      <x:c r="F526" t="str">
        <x:v>Primary government data</x:v>
      </x:c>
      <x:c r="G526" s="44" t="str">
        <x:v>https://www.bls.gov/news.release/ximpim.htm</x:v>
      </x:c>
      <x:c r="H526" s="44" t="str">
        <x:v>September import prices rose 1.1% month over month and 8.1% year over year; nonfuel import prices rose 0.7% and 6.0%, respectively.</x:v>
      </x:c>
      <x:c r="I526" s="44" t="str">
        <x:v>REJECT fresh TLT entry; reinforces October 15 decision</x:v>
      </x:c>
      <x:c r="J526" s="44" t="n">
        <x:v>5</x:v>
      </x:c>
      <x:c r="K526" s="44" t="str">
        <x:v>Safe-haven demand can still lower yields during equity stress, but broad imported inflation worsens the duration asymmetry after TLT's rebound.</x:v>
      </x:c>
    </x:row>
    <x:row r="527">
      <x:c r="A527" t="str">
        <x:v>EV-2026-522</x:v>
      </x:c>
      <x:c r="B527"/>
      <x:c r="C527" s="21" t="d">
        <x:v>2026-10-16T13:05:19.000Z</x:v>
      </x:c>
      <x:c r="D527" t="str">
        <x:v>October 15 federal contract screen</x:v>
      </x:c>
      <x:c r="E527" t="str">
        <x:v>U.S. Department of War</x:v>
      </x:c>
      <x:c r="F527" t="str">
        <x:v>Primary government award announcement</x:v>
      </x:c>
      <x:c r="G527" s="44" t="str">
        <x:v>https://www.war.gov/News/Contracts/Contract/Article/4626623/contracts-for-oct-15-2026/</x:v>
      </x:c>
      <x:c r="H527" s="44" t="str">
        <x:v>The screen found a $38.77M fully obligated sole-source Taiwan MQ-9B support award to private General Atomics (FA8689-26-C-B006), a $23.87M Navy IDIQ to small-business Core Services Group with a $2,500 minimum obligation (N00189-27-D-W001), and an $18.79M fully obligated Lockheed F-35 modification P00011 to N0001922C0015.</x:v>
      </x:c>
      <x:c r="I527" s="44" t="str">
        <x:v>No new listed-equity thesis</x:v>
      </x:c>
      <x:c r="J527" s="44" t="n">
        <x:v>5</x:v>
      </x:c>
      <x:c r="K527" s="44" t="str">
        <x:v>General Atomics and Core Services Group are not public. Lockheed's item was a modification and immaterial relative to company revenue/backlog; the announcement omitted NAICS/PSC fields.</x:v>
      </x:c>
    </x:row>
    <x:row r="528">
      <x:c r="A528" t="str">
        <x:v>EV-2026-523</x:v>
      </x:c>
      <x:c r="B528" t="str">
        <x:v>EEI-2026-001</x:v>
      </x:c>
      <x:c r="C528" s="21" t="d">
        <x:v>2026-10-15T20:36:40.000Z</x:v>
      </x:c>
      <x:c r="D528" t="str">
        <x:v>Portfolio and SPY benchmark checkpoint</x:v>
      </x:c>
      <x:c r="E528" t="str">
        <x:v>StockAnalysis</x:v>
      </x:c>
      <x:c r="F528" t="str">
        <x:v>Public market data</x:v>
      </x:c>
      <x:c r="G528" s="44" t="str">
        <x:v>https://stockanalysis.com/etf/spy/history/</x:v>
      </x:c>
      <x:c r="H528" s="44" t="str">
        <x:v>The three actual paper positions were worth $3,227.21 at the October 15 closes, up $227.21 or 7.57% on $3,000. SPY rose from its September 8 open of $769.07 to $771.79, about 0.35% over the same unadjusted price window.</x:v>
      </x:c>
      <x:c r="I528" s="44" t="str">
        <x:v>Paper portfolio outperformed the broad benchmark by about 7.22 percentage points</x:v>
      </x:c>
      <x:c r="J528" s="44" t="n">
        <x:v>4</x:v>
      </x:c>
      <x:c r="K528" s="44" t="str">
        <x:v>This is a short, energy-shock-specific window; the paper portfolio is concentrated and excludes transaction costs, taxes and cash. SPY paid a dividend during the period, so the unadjusted price comparison slightly understates benchmark return.</x:v>
      </x:c>
    </x:row>
    <x:row r="529">
      <x:c r="A529" t="str">
        <x:v>EV-2026-524</x:v>
      </x:c>
      <x:c r="B529" t="str">
        <x:v>EEI-2026-002</x:v>
      </x:c>
      <x:c r="C529" s="21" t="d">
        <x:v>2026-10-16T13:05:19.000Z</x:v>
      </x:c>
      <x:c r="D529" t="str">
        <x:v>Expired decision checkpoint resolved</x:v>
      </x:c>
      <x:c r="E529" t="str">
        <x:v>Easy E Invest decision record</x:v>
      </x:c>
      <x:c r="F529" t="str">
        <x:v>Methodology decision</x:v>
      </x:c>
      <x:c r="G529" s="44" t="str">
        <x:v>https://www.reuters.com/world/china/global-markets-global-markets-2026-10-16/</x:v>
      </x:c>
      <x:c r="H529" s="44" t="str">
        <x:v>Decision: REJECT a current coal-equity entry rather than renew WAIT. LNG scarcity remains supported, but there is still no clean coal price or producer-equity confirmation.</x:v>
      </x:c>
      <x:c r="I529" s="44" t="str">
        <x:v>No live order; reassess November 2</x:v>
      </x:c>
      <x:c r="J529" s="44" t="n">
        <x:v>4</x:v>
      </x:c>
      <x:c r="K529" s="44" t="str">
        <x:v>Gas-market strength does not guarantee coal-equity performance because switching capacity, grades, geography, policy and fund structure remain material.</x:v>
      </x:c>
    </x:row>
    <x:row r="530">
      <x:c r="A530" t="str">
        <x:v>EV-2026-525</x:v>
      </x:c>
      <x:c r="B530" t="str">
        <x:v>EEI-2026-003</x:v>
      </x:c>
      <x:c r="C530" s="21" t="d">
        <x:v>2026-10-16T13:05:19.000Z</x:v>
      </x:c>
      <x:c r="D530" t="str">
        <x:v>Expired decision checkpoint resolved</x:v>
      </x:c>
      <x:c r="E530" t="str">
        <x:v>BLS / Easy E Invest decision record</x:v>
      </x:c>
      <x:c r="F530" t="str">
        <x:v>Primary macro data and methodology decision</x:v>
      </x:c>
      <x:c r="G530" s="44" t="str">
        <x:v>https://www.bls.gov/news.release/ximpim.htm</x:v>
      </x:c>
      <x:c r="H530" s="44" t="str">
        <x:v>Decision: REJECT a pre-election breadth trade rather than renew WAIT. Chamber control is unresolved and imported inflation broadening keeps the rates backdrop adverse.</x:v>
      </x:c>
      <x:c r="I530" s="44" t="str">
        <x:v>No live order; reassess November 4</x:v>
      </x:c>
      <x:c r="J530" s="44" t="n">
        <x:v>5</x:v>
      </x:c>
      <x:c r="K530" s="44" t="str">
        <x:v>A control shift can still occur, but the election result, policy implementation, veto risk and market breadth remain unresolved.</x:v>
      </x:c>
    </x:row>
    <x:row r="531">
      <x:c r="A531" t="str">
        <x:v>EV-2026-526</x:v>
      </x:c>
      <x:c r="B531" t="str">
        <x:v>EEI-2026-008</x:v>
      </x:c>
      <x:c r="C531" s="21" t="d">
        <x:v>2026-10-16T13:05:19.000Z</x:v>
      </x:c>
      <x:c r="D531" t="str">
        <x:v>Expired documentation checkpoint resolved</x:v>
      </x:c>
      <x:c r="E531" t="str">
        <x:v>Easy E Invest decision record</x:v>
      </x:c>
      <x:c r="F531" t="str">
        <x:v>Methodology decision</x:v>
      </x:c>
      <x:c r="G531" s="44" t="str">
        <x:v>https://www.usaspending.gov/</x:v>
      </x:c>
      <x:c r="H531" s="44" t="str">
        <x:v>Decision: REJECT a current ELMT entry rather than renew WAIT. No new primary award record resolved the obligation schedule, competition details, capital terms or dilution/execution risk.</x:v>
      </x:c>
      <x:c r="I531" s="44" t="str">
        <x:v>No live order; reassess at next primary filing or November 16</x:v>
      </x:c>
      <x:c r="J531" s="44" t="n">
        <x:v>4</x:v>
      </x:c>
      <x:c r="K531" s="44" t="str">
        <x:v>Government support remains material, so rejection is a current-entry decision rather than thesis invalidation.</x:v>
      </x:c>
    </x:row>
    <x:row r="532">
      <x:c r="A532" t="str">
        <x:v>EV-2026-527</x:v>
      </x:c>
      <x:c r="B532" t="str">
        <x:v>EEI-2026-001</x:v>
      </x:c>
      <x:c r="C532" s="21" t="d">
        <x:v>2026-10-16T21:12:33.000Z</x:v>
      </x:c>
      <x:c r="D532" t="str">
        <x:v>Paper-trade outcome</x:v>
      </x:c>
      <x:c r="E532" t="str">
        <x:v>StockAnalysis</x:v>
      </x:c>
      <x:c r="F532" t="str">
        <x:v>Market data</x:v>
      </x:c>
      <x:c r="G532" s="44" t="str">
        <x:v>https://stockanalysis.com/etf/bno/history/</x:v>
      </x:c>
      <x:c r="H532" s="44" t="str">
        <x:v>BNO closed October 16 at $67.19 versus the fixed September 8 opening entry of $57.21. The $1,000 fractional-share paper position was worth $1,174.45, a gain of $174.45 or 17.44%.</x:v>
      </x:c>
      <x:c r="I532" s="44" t="str">
        <x:v>Confirms direct Brent expression</x:v>
      </x:c>
      <x:c r="J532" s="44" t="n">
        <x:v>4</x:v>
      </x:c>
      <x:c r="K532" s="44" t="str">
        <x:v>Official regular-session close used; totals retain unrounded fractional shares.</x:v>
      </x:c>
    </x:row>
    <x:row r="533">
      <x:c r="A533" t="str">
        <x:v>EV-2026-528</x:v>
      </x:c>
      <x:c r="B533" t="str">
        <x:v>EEI-2026-001</x:v>
      </x:c>
      <x:c r="C533" s="21" t="d">
        <x:v>2026-10-16T21:12:33.000Z</x:v>
      </x:c>
      <x:c r="D533" t="str">
        <x:v>Paper-trade outcome</x:v>
      </x:c>
      <x:c r="E533" t="str">
        <x:v>StockAnalysis</x:v>
      </x:c>
      <x:c r="F533" t="str">
        <x:v>Market data</x:v>
      </x:c>
      <x:c r="G533" s="44" t="str">
        <x:v>https://stockanalysis.com/etf/uso/history/</x:v>
      </x:c>
      <x:c r="H533" s="44" t="str">
        <x:v>USO closed October 16 at $161.76 versus the fixed September 8 opening entry of $144.60. The $1,000 fractional-share paper position was worth $1,118.67, a gain of $118.67 or 11.87%.</x:v>
      </x:c>
      <x:c r="I533" s="44" t="str">
        <x:v>Confirms direct WTI expression</x:v>
      </x:c>
      <x:c r="J533" s="44" t="n">
        <x:v>4</x:v>
      </x:c>
      <x:c r="K533" s="44" t="str">
        <x:v>Official regular-session close used; totals retain unrounded fractional shares.</x:v>
      </x:c>
    </x:row>
    <x:row r="534">
      <x:c r="A534" t="str">
        <x:v>EV-2026-529</x:v>
      </x:c>
      <x:c r="B534" t="str">
        <x:v>EEI-2026-001</x:v>
      </x:c>
      <x:c r="C534" s="21" t="d">
        <x:v>2026-10-16T21:12:33.000Z</x:v>
      </x:c>
      <x:c r="D534" t="str">
        <x:v>Paper-trade outcome</x:v>
      </x:c>
      <x:c r="E534" t="str">
        <x:v>StockAnalysis</x:v>
      </x:c>
      <x:c r="F534" t="str">
        <x:v>Market data</x:v>
      </x:c>
      <x:c r="G534" s="44" t="str">
        <x:v>https://stockanalysis.com/etf/xop/history/</x:v>
      </x:c>
      <x:c r="H534" s="44" t="str">
        <x:v>XOP closed October 16 at $200.38 versus the fixed September 8 opening entry of $193.84. The $1,000 fractional-share paper position was worth $1,033.74, a gain of $33.74 or 3.37%.</x:v>
      </x:c>
      <x:c r="I534" s="44" t="str">
        <x:v>Positive but still weakest expression</x:v>
      </x:c>
      <x:c r="J534" s="44" t="n">
        <x:v>4</x:v>
      </x:c>
      <x:c r="K534" s="44" t="str">
        <x:v>Official regular-session close used; the producer-equity ETF retains company and equity-market mapping risk.</x:v>
      </x:c>
    </x:row>
    <x:row r="535">
      <x:c r="A535" t="str">
        <x:v>EV-2026-530</x:v>
      </x:c>
      <x:c r="B535" t="str">
        <x:v>EEI-2026-001</x:v>
      </x:c>
      <x:c r="C535" s="21" t="d">
        <x:v>2026-10-16T21:12:33.000Z</x:v>
      </x:c>
      <x:c r="D535" t="str">
        <x:v>Market confirmation</x:v>
      </x:c>
      <x:c r="E535" t="str">
        <x:v>Reuters</x:v>
      </x:c>
      <x:c r="F535" t="str">
        <x:v>High-quality independent reporting</x:v>
      </x:c>
      <x:c r="G535" s="44" t="str">
        <x:v>https://www.reuters.com/business/autos-transportation/oil-edges-down-investors-weigh-possible-us-sanctions-shadow-fleet-2026-10-16/</x:v>
      </x:c>
      <x:c r="H535" s="44" t="str">
        <x:v>Brent settled October 16 at $109.86 and WTI at $101.41 after a missile aimed toward Yanbu was intercepted and intensified Iranian attacks sharply reduced Gulf crude flows. Russian refinery damage added a separate supply risk.</x:v>
      </x:c>
      <x:c r="I535" s="44" t="str">
        <x:v>Confirms the crude-scarcity and risk-premium mechanism</x:v>
      </x:c>
      <x:c r="J535" s="44" t="n">
        <x:v>5</x:v>
      </x:c>
      <x:c r="K535" s="44" t="str">
        <x:v>Yanbu infrastructure was reportedly undamaged, and part of the move reflected broader Russia-related refined-product risk.</x:v>
      </x:c>
    </x:row>
    <x:row r="536">
      <x:c r="A536" t="str">
        <x:v>EV-2026-531</x:v>
      </x:c>
      <x:c r="B536" t="str">
        <x:v>EEI-2026-001</x:v>
      </x:c>
      <x:c r="C536" s="21" t="d">
        <x:v>2026-10-16T21:12:33.000Z</x:v>
      </x:c>
      <x:c r="D536" t="str">
        <x:v>Counterweight</x:v>
      </x:c>
      <x:c r="E536" t="str">
        <x:v>Reuters / Baltic Exchange</x:v>
      </x:c>
      <x:c r="F536" t="str">
        <x:v>High-quality reporting citing market data</x:v>
      </x:c>
      <x:c r="G536" s="44" t="str">
        <x:v>https://www.reuters.com/business/energy/supertanker-rates-fall-record-highs-2026-10-16/</x:v>
      </x:c>
      <x:c r="H536" s="44" t="str">
        <x:v>Gulf of Oman-to-China VLCC freight rates eased to about 776 Worldscale from 841 the prior week as route demand softened and the U.S. considered easing some shadow-fleet sanctions, although rates remained near records.</x:v>
      </x:c>
      <x:c r="I536" s="44" t="str">
        <x:v>Mixed: potential transport relief, but persistent elevated friction</x:v>
      </x:c>
      <x:c r="J536" s="44" t="n">
        <x:v>5</x:v>
      </x:c>
      <x:c r="K536" s="44" t="str">
        <x:v>Lower freight can reflect weaker export volumes after attacks rather than normalized Hormuz access; sanctions policy remains under consideration.</x:v>
      </x:c>
    </x:row>
    <x:row r="537">
      <x:c r="A537" t="str">
        <x:v>EV-2026-532</x:v>
      </x:c>
      <x:c r="B537" t="str">
        <x:v>EEI-2026-021</x:v>
      </x:c>
      <x:c r="C537" s="21" t="d">
        <x:v>2026-10-17T12:06:36.000Z</x:v>
      </x:c>
      <x:c r="D537" t="str">
        <x:v>Travelers stale proposal withdrawn</x:v>
      </x:c>
      <x:c r="E537" t="str">
        <x:v>Travelers investor relations / public market data</x:v>
      </x:c>
      <x:c r="F537" t="str">
        <x:v>Issuer-hosted market data</x:v>
      </x:c>
      <x:c r="G537" s="44" t="str">
        <x:v>https://investor.travelers.com/investor-toolkit/historical-prices/default.aspx</x:v>
      </x:c>
      <x:c r="H537" s="44" t="str">
        <x:v>TRV closed October 16 at $389.54 after opening at $370.00 and reaching $390.91. It finished 6.72% above the proposed $365 entry and only 2.30% below its 52-week high. Decision: REJECT and withdraw the stale pending proposal; no fill or position exists.</x:v>
      </x:c>
      <x:c r="I537" s="44" t="str">
        <x:v>Entry decision changed from proposed pending order to rejection</x:v>
      </x:c>
      <x:c r="J537" s="44" t="n">
        <x:v>5</x:v>
      </x:c>
      <x:c r="K537" s="44" t="str">
        <x:v>Travelers' operating results remain strong and its trailing P/E was about 10.4, but the user intends to use market orders and the original price-dependent edge was no longer available. A future alert requires a fresh regular-session quote and acceptable current-price risk/reward.</x:v>
      </x:c>
    </x:row>
    <x:row r="538">
      <x:c r="A538" t="str">
        <x:v>EV-2026-533</x:v>
      </x:c>
      <x:c r="B538"/>
      <x:c r="C538" s="21" t="d">
        <x:v>2026-10-17T12:06:36.000Z</x:v>
      </x:c>
      <x:c r="D538" t="str">
        <x:v>Alcoa earnings candidate rejected</x:v>
      </x:c>
      <x:c r="E538" t="str">
        <x:v>Alcoa</x:v>
      </x:c>
      <x:c r="F538" t="str">
        <x:v>Primary issuer results</x:v>
      </x:c>
      <x:c r="G538" s="44" t="str">
        <x:v>https://investors.alcoa.com/press-releases/press-release-details/2026/Alcoa-Corporation-Reports-Third-Quarter-2026-Results/default.aspx</x:v>
      </x:c>
      <x:c r="H538" s="44" t="str">
        <x:v>Alcoa reported $483M of Q3 net income, $472M of free cash flow and improved production, while reaffirming output projections. AA closed Friday at $41.45, up 2.56%, at about 8.6 times trailing earnings.</x:v>
      </x:c>
      <x:c r="I538" s="44" t="str">
        <x:v>REJECT current entry; review with a live Monday quote only if economics and price remain favorable</x:v>
      </x:c>
      <x:c r="J538" s="44" t="n">
        <x:v>5</x:v>
      </x:c>
      <x:c r="K538" s="44" t="str">
        <x:v>Revenue fell 7% sequentially, adjusted EBITDA fell $112M sequentially, aluminum shipments and realized prices declined, Q4 costs are expected to rise, and debt issued for the AliGroup acquisition lifted gross debt to $4.82B. The weekend quote is not executable.</x:v>
      </x:c>
    </x:row>
    <x:row r="539">
      <x:c r="A539" t="str">
        <x:v>EV-2026-534</x:v>
      </x:c>
      <x:c r="B539"/>
      <x:c r="C539" s="21" t="d">
        <x:v>2026-10-17T12:06:36.000Z</x:v>
      </x:c>
      <x:c r="D539" t="str">
        <x:v>J.B. Hunt earnings candidate rejected</x:v>
      </x:c>
      <x:c r="E539" t="str">
        <x:v>J.B. Hunt</x:v>
      </x:c>
      <x:c r="F539" t="str">
        <x:v>Primary issuer results</x:v>
      </x:c>
      <x:c r="G539" s="44" t="str">
        <x:v>https://www.jbhunt.com/our-company/newsroom/2026/10/q3-2026-earnings</x:v>
      </x:c>
      <x:c r="H539" s="44" t="str">
        <x:v>J.B. Hunt reported revenue up 20% to $3.68B, operating income up 2% and EPS up 3%. Intermodal operating income rose 18%, but JBHT closed Friday at $228.78, down 2.77%, at about 32.5 times trailing earnings.</x:v>
      </x:c>
      <x:c r="I539" s="44" t="str">
        <x:v>REJECT current entry</x:v>
      </x:c>
      <x:c r="J539" s="44" t="n">
        <x:v>5</x:v>
      </x:c>
      <x:c r="K539" s="44" t="str">
        <x:v>Margin conversion was weak: Dedicated operating income fell 22%, Final Mile fell 76% and Truckload fell 6%. The company had about $4M cash versus $1.12B debt, and higher fuel, insurance, medical and purchased-transportation costs remain unresolved.</x:v>
      </x:c>
    </x:row>
    <x:row r="540">
      <x:c r="A540" t="str">
        <x:v>EV-2026-535</x:v>
      </x:c>
      <x:c r="B540"/>
      <x:c r="C540" s="21" t="d">
        <x:v>2026-10-17T12:06:36.000Z</x:v>
      </x:c>
      <x:c r="D540" t="str">
        <x:v>October 16 federal contract screen</x:v>
      </x:c>
      <x:c r="E540" t="str">
        <x:v>U.S. Department of War</x:v>
      </x:c>
      <x:c r="F540" t="str">
        <x:v>Primary government award announcement</x:v>
      </x:c>
      <x:c r="G540" s="44" t="str">
        <x:v>https://www.war.gov/News/Contracts/Contract/Article/4627497/contracts-for-oct-16-2026/</x:v>
      </x:c>
      <x:c r="H540" s="44" t="str">
        <x:v>Three private small businesses received competitive Combat Air Force Contracted Air Support IDIQs with a shared $5.4B ceiling: KestrelX FA4890-27-D-0003, A2G International FA4890-27-D-0002 and Fleet Adversary Support and Training FA4890-27-D-0001. Only $3,000 was obligated at award; performance runs through October 8, 2029.</x:v>
      </x:c>
      <x:c r="I540" s="44" t="str">
        <x:v>No public-equity thesis</x:v>
      </x:c>
      <x:c r="J540" s="44" t="n">
        <x:v>5</x:v>
      </x:c>
      <x:c r="K540" s="44" t="str">
        <x:v>The recipients are private and the ceiling is not funded revenue. A separate $80M Boeing MQ-25A action was too small relative to company revenue and backlog to create a distinct thesis.</x:v>
      </x:c>
    </x:row>
    <x:row r="541">
      <x:c r="A541" t="str">
        <x:v>EV-2026-536</x:v>
      </x:c>
      <x:c r="B541"/>
      <x:c r="C541" s="21" t="d">
        <x:v>2026-10-17T12:06:36.000Z</x:v>
      </x:c>
      <x:c r="D541" t="str">
        <x:v>Friday cross-asset and sector screen</x:v>
      </x:c>
      <x:c r="E541" t="str">
        <x:v>Associated Press / public market data</x:v>
      </x:c>
      <x:c r="F541" t="str">
        <x:v>Independent reporting and observable market data</x:v>
      </x:c>
      <x:c r="G541" s="44" t="str">
        <x:v>https://apnews.com/article/c27809783ae3230b44c26e5ee4bea056</x:v>
      </x:c>
      <x:c r="H541" s="44" t="str">
        <x:v>The S&amp;P 500 fell 1.09% and Nasdaq 2.15% Friday. Technology fell 3.03%, while energy rose 2.56%, staples 1.10% and utilities 1.38%; HYG fell 0.34% and TLT was nearly flat. The rotation confirms narrow risk-off pressure rather than a broad new entry signal.</x:v>
      </x:c>
      <x:c r="I541" s="44" t="str">
        <x:v>No new actionable-now candidate while markets are closed</x:v>
      </x:c>
      <x:c r="J541" s="44" t="n">
        <x:v>4</x:v>
      </x:c>
      <x:c r="K541" s="44" t="str">
        <x:v>Energy and defensives had already moved, credit weakened modestly and no regular-session quote is available on Saturday. The next executable assessment requires fresh Monday price discovery.</x:v>
      </x:c>
    </x:row>
    <x:row r="542">
      <x:c r="A542" t="str">
        <x:v>EV-2026-537</x:v>
      </x:c>
      <x:c r="B542" t="str">
        <x:v>EEI-2026-001</x:v>
      </x:c>
      <x:c r="C542" s="21" t="d">
        <x:v>2026-10-17T12:06:36.000Z</x:v>
      </x:c>
      <x:c r="D542" t="str">
        <x:v>Portfolio and SPY benchmark checkpoint</x:v>
      </x:c>
      <x:c r="E542" t="str">
        <x:v>StockAnalysis / public market data</x:v>
      </x:c>
      <x:c r="F542" t="str">
        <x:v>Official-close market data</x:v>
      </x:c>
      <x:c r="G542" s="44" t="str">
        <x:v>https://stockanalysis.com/etf/spy/history/</x:v>
      </x:c>
      <x:c r="H542" s="44" t="str">
        <x:v>At October 16 closes the three actual paper positions were worth $3,326.86, up $326.86 or 10.90% on $3,000. SPY fell from its September 8 open of $769.07 to $763.25, about -0.76% over the same unadjusted price window.</x:v>
      </x:c>
      <x:c r="I542" s="44" t="str">
        <x:v>Paper portfolio outperformed SPY by about 11.65 percentage points</x:v>
      </x:c>
      <x:c r="J542" s="44" t="n">
        <x:v>4</x:v>
      </x:c>
      <x:c r="K542" s="44" t="str">
        <x:v>The result is concentrated in one energy-shock thesis, excludes transaction costs and taxes, and uses fractional shares. SPY paid a dividend during the period, so the unadjusted price comparison understates benchmark total return.</x:v>
      </x:c>
    </x:row>
  </x:sheetData>
  <x:mergeCells>
    <x:mergeCell ref="A2:K2"/>
  </x:mergeCells>
  <x:pageMargins left="0.7" right="0.7" top="0.75" bottom="0.75" header="0.3" footer="0.3"/>
  <x:tableParts count="1">
    <x:tablePart xmlns:r="http://schemas.openxmlformats.org/officeDocument/2006/relationships" r:id="R200d116ba22b4700"/>
  </x:tableParts>
</x:worksheet>
</file>

<file path=xl/worksheets/sheet4.xml><?xml version="1.0" encoding="utf-8"?>
<x:worksheet xmlns:x="http://schemas.openxmlformats.org/spreadsheetml/2006/main">
  <x:sheetPr>
    <x:tabColor rgb="FFF4B942"/>
  </x:sheetPr>
  <x:sheetViews>
    <x:sheetView showGridLines="0" workbookViewId="0">
      <x:pane ySplit="5" topLeftCell="A6" activePane="bottomLeft" state="frozen"/>
    </x:sheetView>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34" hidden="0" customWidth="1"/>
  </x:cols>
  <x:sheetData>
    <x:row r="1">
      <x:c r="A1" s="1"/>
      <x:c r="B1" s="1"/>
      <x:c r="C1" s="1"/>
      <x:c r="D1" s="1"/>
      <x:c r="E1" s="1"/>
      <x:c r="F1" s="1"/>
      <x:c r="G1" s="1"/>
      <x:c r="H1" s="1"/>
      <x:c r="I1" s="1"/>
      <x:c r="J1" s="1"/>
      <x:c r="K1" s="1"/>
      <x:c r="L1" s="1"/>
      <x:c r="M1" s="1"/>
    </x:row>
    <x:row r="2">
      <x:c r="A2" s="2" t="str">
        <x:v>Source Registry</x:v>
      </x:c>
      <x:c r="B2" s="1"/>
      <x:c r="C2" s="1"/>
      <x:c r="D2" s="1"/>
      <x:c r="E2" s="1"/>
      <x:c r="F2" s="1"/>
      <x:c r="G2" s="1"/>
      <x:c r="H2" s="1"/>
      <x:c r="I2" s="1"/>
      <x:c r="J2" s="1"/>
      <x:c r="K2" s="1"/>
      <x:c r="L2" s="1"/>
      <x:c r="M2" s="1"/>
    </x:row>
    <x:row r="3">
      <x:c r="A3" s="3"/>
      <x:c r="B3" s="3"/>
      <x:c r="C3" s="3"/>
      <x:c r="D3" s="3"/>
      <x:c r="E3" s="3"/>
      <x:c r="F3" s="3"/>
      <x:c r="G3" s="3"/>
      <x:c r="H3" s="3"/>
      <x:c r="I3" s="3"/>
      <x:c r="J3" s="3"/>
      <x:c r="K3" s="3"/>
      <x:c r="L3" s="3"/>
      <x:c r="M3" s="3"/>
    </x:row>
    <x:row r="4">
      <x:c r="A4" s="1"/>
      <x:c r="B4" s="1"/>
      <x:c r="C4" s="1"/>
      <x:c r="D4" s="1"/>
      <x:c r="E4" s="1"/>
      <x:c r="F4" s="1"/>
      <x:c r="G4" s="1"/>
      <x:c r="H4" s="1"/>
      <x:c r="I4" s="1"/>
      <x:c r="J4" s="1"/>
      <x:c r="K4" s="1"/>
      <x:c r="L4" s="1"/>
      <x:c r="M4" s="1"/>
    </x:row>
    <x:row r="5">
      <x:c r="A5" s="24" t="str">
        <x:v>Source</x:v>
      </x:c>
      <x:c r="B5" s="25" t="str">
        <x:v>Source Class</x:v>
      </x:c>
      <x:c r="C5" s="25" t="str">
        <x:v>Domain</x:v>
      </x:c>
      <x:c r="D5" s="25" t="str">
        <x:v>Approved Status</x:v>
      </x:c>
      <x:c r="E5" s="25" t="str">
        <x:v>Reliability 1 to 5</x:v>
      </x:c>
      <x:c r="F5" s="25" t="str">
        <x:v>Timeliness 1 to 5</x:v>
      </x:c>
      <x:c r="G5" s="25" t="str">
        <x:v>Directness 1 to 5</x:v>
      </x:c>
      <x:c r="H5" s="25" t="str">
        <x:v>Corroboration Required</x:v>
      </x:c>
      <x:c r="I5" s="25" t="str">
        <x:v>Correct Calls</x:v>
      </x:c>
      <x:c r="J5" s="25" t="str">
        <x:v>Incorrect Calls</x:v>
      </x:c>
      <x:c r="K5" s="25" t="str">
        <x:v>Evaluated Calls</x:v>
      </x:c>
      <x:c r="L5" s="25" t="str">
        <x:v>Hit Rate</x:v>
      </x:c>
      <x:c r="M5" s="26" t="str">
        <x:v>Notes</x:v>
      </x:c>
    </x:row>
    <x:row r="6">
      <x:c r="A6" s="27" t="str">
        <x:v>USAspending.gov</x:v>
      </x:c>
      <x:c r="B6" s="27" t="str">
        <x:v>Trigger</x:v>
      </x:c>
      <x:c r="C6" s="27" t="str">
        <x:v>Government contracts</x:v>
      </x:c>
      <x:c r="D6" s="27" t="str">
        <x:v>Approved</x:v>
      </x:c>
      <x:c r="E6" s="27" t="n">
        <x:v>5</x:v>
      </x:c>
      <x:c r="F6" s="27" t="n">
        <x:v>3</x:v>
      </x:c>
      <x:c r="G6" s="27" t="n">
        <x:v>5</x:v>
      </x:c>
      <x:c r="H6" s="27" t="str">
        <x:v>Yes</x:v>
      </x:c>
      <x:c r="I6" s="27" t="n">
        <x:v>0</x:v>
      </x:c>
      <x:c r="J6" s="27" t="n">
        <x:v>0</x:v>
      </x:c>
      <x:c r="K6" s="27" t="n">
        <x:f>I6+J6</x:f>
        <x:v>0</x:v>
      </x:c>
      <x:c r="L6" s="31" t="str">
        <x:f>IF(K6=0,"",I6/K6)</x:f>
      </x:c>
      <x:c r="M6" s="29" t="str">
        <x:v>Award records trigger investigation; test materiality and confirm economic impact.</x:v>
      </x:c>
    </x:row>
    <x:row r="7">
      <x:c r="A7" s="27" t="str">
        <x:v>Congress.gov</x:v>
      </x:c>
      <x:c r="B7" s="27" t="str">
        <x:v>Trigger and confirmation</x:v>
      </x:c>
      <x:c r="C7" s="27" t="str">
        <x:v>Legislation</x:v>
      </x:c>
      <x:c r="D7" s="27" t="str">
        <x:v>Approved</x:v>
      </x:c>
      <x:c r="E7" s="27" t="n">
        <x:v>5</x:v>
      </x:c>
      <x:c r="F7" s="27" t="n">
        <x:v>3</x:v>
      </x:c>
      <x:c r="G7" s="27" t="n">
        <x:v>5</x:v>
      </x:c>
      <x:c r="H7" s="27" t="str">
        <x:v>Context often required</x:v>
      </x:c>
      <x:c r="I7" s="27" t="n">
        <x:v>0</x:v>
      </x:c>
      <x:c r="J7" s="27" t="n">
        <x:v>0</x:v>
      </x:c>
      <x:c r="K7" s="27" t="n">
        <x:f>I7+J7</x:f>
        <x:v>0</x:v>
      </x:c>
      <x:c r="L7" s="31" t="str">
        <x:f>IF(K7=0,"",I7/K7)</x:f>
      </x:c>
      <x:c r="M7" s="29" t="str">
        <x:v>Use statutory text and action history; passage and implementation are separate risks.</x:v>
      </x:c>
    </x:row>
    <x:row r="8">
      <x:c r="A8" s="27" t="str">
        <x:v>Federal Register</x:v>
      </x:c>
      <x:c r="B8" s="27" t="str">
        <x:v>Confirmation</x:v>
      </x:c>
      <x:c r="C8" s="27" t="str">
        <x:v>Regulation</x:v>
      </x:c>
      <x:c r="D8" s="27" t="str">
        <x:v>Approved</x:v>
      </x:c>
      <x:c r="E8" s="27" t="n">
        <x:v>5</x:v>
      </x:c>
      <x:c r="F8" s="27" t="n">
        <x:v>3</x:v>
      </x:c>
      <x:c r="G8" s="27" t="n">
        <x:v>5</x:v>
      </x:c>
      <x:c r="H8" s="27" t="str">
        <x:v>Context often required</x:v>
      </x:c>
      <x:c r="I8" s="27" t="n">
        <x:v>0</x:v>
      </x:c>
      <x:c r="J8" s="27" t="n">
        <x:v>0</x:v>
      </x:c>
      <x:c r="K8" s="27" t="n">
        <x:f>I8+J8</x:f>
        <x:v>0</x:v>
      </x:c>
      <x:c r="L8" s="31" t="str">
        <x:f>IF(K8=0,"",I8/K8)</x:f>
      </x:c>
      <x:c r="M8" s="29" t="str">
        <x:v>Distinguish proposed, final and effective rules.</x:v>
      </x:c>
    </x:row>
    <x:row r="9">
      <x:c r="A9" s="27" t="str">
        <x:v>SEC EDGAR</x:v>
      </x:c>
      <x:c r="B9" s="27" t="str">
        <x:v>Confirmation</x:v>
      </x:c>
      <x:c r="C9" s="27" t="str">
        <x:v>Company filings</x:v>
      </x:c>
      <x:c r="D9" s="27" t="str">
        <x:v>Approved</x:v>
      </x:c>
      <x:c r="E9" s="27" t="n">
        <x:v>5</x:v>
      </x:c>
      <x:c r="F9" s="27" t="n">
        <x:v>4</x:v>
      </x:c>
      <x:c r="G9" s="27" t="n">
        <x:v>5</x:v>
      </x:c>
      <x:c r="H9" s="27" t="str">
        <x:v>No for filed facts</x:v>
      </x:c>
      <x:c r="I9" s="27" t="n">
        <x:v>0</x:v>
      </x:c>
      <x:c r="J9" s="27" t="n">
        <x:v>0</x:v>
      </x:c>
      <x:c r="K9" s="27" t="n">
        <x:f>I9+J9</x:f>
        <x:v>0</x:v>
      </x:c>
      <x:c r="L9" s="31" t="str">
        <x:f>IF(K9=0,"",I9/K9)</x:f>
      </x:c>
      <x:c r="M9" s="29" t="str">
        <x:v>Use filings for company disclosures, risks and materiality.</x:v>
      </x:c>
    </x:row>
    <x:row r="10">
      <x:c r="A10" s="27" t="str">
        <x:v>U.S. EIA</x:v>
      </x:c>
      <x:c r="B10" s="27" t="str">
        <x:v>Confirmation</x:v>
      </x:c>
      <x:c r="C10" s="27" t="str">
        <x:v>Energy</x:v>
      </x:c>
      <x:c r="D10" s="27" t="str">
        <x:v>Approved</x:v>
      </x:c>
      <x:c r="E10" s="27" t="n">
        <x:v>5</x:v>
      </x:c>
      <x:c r="F10" s="27" t="n">
        <x:v>4</x:v>
      </x:c>
      <x:c r="G10" s="27" t="n">
        <x:v>5</x:v>
      </x:c>
      <x:c r="H10" s="27" t="str">
        <x:v>No for published data</x:v>
      </x:c>
      <x:c r="I10" s="27" t="n">
        <x:v>0</x:v>
      </x:c>
      <x:c r="J10" s="27" t="n">
        <x:v>0</x:v>
      </x:c>
      <x:c r="K10" s="27" t="n">
        <x:f>I10+J10</x:f>
        <x:v>0</x:v>
      </x:c>
      <x:c r="L10" s="31" t="str">
        <x:f>IF(K10=0,"",I10/K10)</x:f>
      </x:c>
      <x:c r="M10" s="29" t="str">
        <x:v>Primary U.S. energy statistics and forecasts.</x:v>
      </x:c>
    </x:row>
    <x:row r="11">
      <x:c r="A11" s="27" t="str">
        <x:v>IEA</x:v>
      </x:c>
      <x:c r="B11" s="27" t="str">
        <x:v>Confirmation</x:v>
      </x:c>
      <x:c r="C11" s="27" t="str">
        <x:v>Global energy</x:v>
      </x:c>
      <x:c r="D11" s="27" t="str">
        <x:v>Approved</x:v>
      </x:c>
      <x:c r="E11" s="27" t="n">
        <x:v>5</x:v>
      </x:c>
      <x:c r="F11" s="27" t="n">
        <x:v>4</x:v>
      </x:c>
      <x:c r="G11" s="27" t="n">
        <x:v>5</x:v>
      </x:c>
      <x:c r="H11" s="27" t="str">
        <x:v>Check assumptions</x:v>
      </x:c>
      <x:c r="I11" s="27" t="n">
        <x:v>0</x:v>
      </x:c>
      <x:c r="J11" s="27" t="n">
        <x:v>0</x:v>
      </x:c>
      <x:c r="K11" s="27" t="n">
        <x:f>I11+J11</x:f>
        <x:v>0</x:v>
      </x:c>
      <x:c r="L11" s="31" t="str">
        <x:f>IF(K11=0,"",I11/K11)</x:f>
      </x:c>
      <x:c r="M11" s="29" t="str">
        <x:v>Global energy data and forecasts; distinguish estimates from observations.</x:v>
      </x:c>
    </x:row>
    <x:row r="12">
      <x:c r="A12" s="27" t="str">
        <x:v>Reuters</x:v>
      </x:c>
      <x:c r="B12" s="27" t="str">
        <x:v>High quality reporting</x:v>
      </x:c>
      <x:c r="C12" s="27" t="str">
        <x:v>Cross-sector</x:v>
      </x:c>
      <x:c r="D12" s="27" t="str">
        <x:v>Approved</x:v>
      </x:c>
      <x:c r="E12" s="27" t="n">
        <x:v>4</x:v>
      </x:c>
      <x:c r="F12" s="27" t="n">
        <x:v>5</x:v>
      </x:c>
      <x:c r="G12" s="27" t="n">
        <x:v>3</x:v>
      </x:c>
      <x:c r="H12" s="27" t="str">
        <x:v>Yes for decisive claims</x:v>
      </x:c>
      <x:c r="I12" s="27" t="n">
        <x:v>0</x:v>
      </x:c>
      <x:c r="J12" s="27" t="n">
        <x:v>0</x:v>
      </x:c>
      <x:c r="K12" s="27" t="n">
        <x:f>I12+J12</x:f>
        <x:v>0</x:v>
      </x:c>
      <x:c r="L12" s="31" t="str">
        <x:f>IF(K12=0,"",I12/K12)</x:f>
      </x:c>
      <x:c r="M12" s="29" t="str">
        <x:v>Strong timely reporting; trace claims to primary sources when available.</x:v>
      </x:c>
    </x:row>
    <x:row r="13">
      <x:c r="A13" s="27" t="str">
        <x:v>Associated Press</x:v>
      </x:c>
      <x:c r="B13" s="27" t="str">
        <x:v>High quality reporting</x:v>
      </x:c>
      <x:c r="C13" s="27" t="str">
        <x:v>Cross-sector</x:v>
      </x:c>
      <x:c r="D13" s="27" t="str">
        <x:v>Approved</x:v>
      </x:c>
      <x:c r="E13" s="27" t="n">
        <x:v>4</x:v>
      </x:c>
      <x:c r="F13" s="27" t="n">
        <x:v>4</x:v>
      </x:c>
      <x:c r="G13" s="27" t="n">
        <x:v>3</x:v>
      </x:c>
      <x:c r="H13" s="27" t="str">
        <x:v>Yes for investment mechanism</x:v>
      </x:c>
      <x:c r="I13" s="27" t="n">
        <x:v>0</x:v>
      </x:c>
      <x:c r="J13" s="27" t="n">
        <x:v>0</x:v>
      </x:c>
      <x:c r="K13" s="27" t="n">
        <x:f>I13+J13</x:f>
        <x:v>0</x:v>
      </x:c>
      <x:c r="L13" s="31" t="str">
        <x:f>IF(K13=0,"",I13/K13)</x:f>
      </x:c>
      <x:c r="M13" s="29" t="str">
        <x:v>Useful factual confirmation and context.</x:v>
      </x:c>
    </x:row>
    <x:row r="14">
      <x:c r="A14" s="27" t="str">
        <x:v>Mr Global</x:v>
      </x:c>
      <x:c r="B14" s="27" t="str">
        <x:v>Enhancer</x:v>
      </x:c>
      <x:c r="C14" s="27" t="str">
        <x:v>Oil and gas</x:v>
      </x:c>
      <x:c r="D14" s="27" t="str">
        <x:v>Approved enhancer</x:v>
      </x:c>
      <x:c r="E14" s="27" t="n">
        <x:v>3</x:v>
      </x:c>
      <x:c r="F14" s="27" t="n">
        <x:v>5</x:v>
      </x:c>
      <x:c r="G14" s="27" t="n">
        <x:v>2</x:v>
      </x:c>
      <x:c r="H14" s="27" t="str">
        <x:v>Always</x:v>
      </x:c>
      <x:c r="I14" s="27" t="n">
        <x:v>1</x:v>
      </x:c>
      <x:c r="J14" s="27" t="n">
        <x:v>0</x:v>
      </x:c>
      <x:c r="K14" s="27" t="n">
        <x:f>I14+J14</x:f>
        <x:v>1</x:v>
      </x:c>
      <x:c r="L14" s="31" t="n">
        <x:f>IF(K14=0,"",I14/K14)</x:f>
        <x:v>1</x:v>
      </x:c>
      <x:c r="M14" s="29" t="str">
        <x:v>Expert enhancer only; never originating proof. EEI-2026-001 resolved on September 18 with the oil supply-risk direction and timing correct, so one call is credited. Independent evidence remained required.</x:v>
      </x:c>
    </x:row>
    <x:row r="15">
      <x:c r="A15" s="27" t="str">
        <x:v>Market price and volume data</x:v>
      </x:c>
      <x:c r="B15" s="27" t="str">
        <x:v>Market data</x:v>
      </x:c>
      <x:c r="C15" s="27" t="str">
        <x:v>Cross-sector</x:v>
      </x:c>
      <x:c r="D15" s="27" t="str">
        <x:v>Approved</x:v>
      </x:c>
      <x:c r="E15" s="27" t="n">
        <x:v>5</x:v>
      </x:c>
      <x:c r="F15" s="27" t="n">
        <x:v>5</x:v>
      </x:c>
      <x:c r="G15" s="27" t="n">
        <x:v>4</x:v>
      </x:c>
      <x:c r="H15" s="27" t="str">
        <x:v>Interpretation required</x:v>
      </x:c>
      <x:c r="I15" s="27" t="n">
        <x:v>0</x:v>
      </x:c>
      <x:c r="J15" s="27" t="n">
        <x:v>0</x:v>
      </x:c>
      <x:c r="K15" s="27" t="n">
        <x:f>I15+J15</x:f>
        <x:v>0</x:v>
      </x:c>
      <x:c r="L15" s="31" t="str">
        <x:f>IF(K15=0,"",I15/K15)</x:f>
      </x:c>
      <x:c r="M15" s="29" t="str">
        <x:v>Use for confirmation, entry analysis and outcome measurement.</x:v>
      </x:c>
    </x:row>
    <x:row r="16">
      <x:c r="A16" s="27"/>
      <x:c r="B16" s="27"/>
      <x:c r="C16" s="27"/>
      <x:c r="D16" s="27"/>
      <x:c r="E16" s="27"/>
      <x:c r="F16" s="27"/>
      <x:c r="G16" s="27"/>
      <x:c r="H16" s="27"/>
      <x:c r="I16" s="27"/>
      <x:c r="J16" s="27"/>
      <x:c r="K16" s="27" t="n">
        <x:f>I16+J16</x:f>
        <x:v>0</x:v>
      </x:c>
      <x:c r="L16" s="31" t="str">
        <x:f>IF(K16=0,"",I16/K16)</x:f>
      </x:c>
      <x:c r="M16" s="29"/>
    </x:row>
    <x:row r="17">
      <x:c r="A17" s="27"/>
      <x:c r="B17" s="27"/>
      <x:c r="C17" s="27"/>
      <x:c r="D17" s="27"/>
      <x:c r="E17" s="27"/>
      <x:c r="F17" s="27"/>
      <x:c r="G17" s="27"/>
      <x:c r="H17" s="27"/>
      <x:c r="I17" s="27"/>
      <x:c r="J17" s="27"/>
      <x:c r="K17" s="27" t="n">
        <x:f>I17+J17</x:f>
        <x:v>0</x:v>
      </x:c>
      <x:c r="L17" s="31" t="str">
        <x:f>IF(K17=0,"",I17/K17)</x:f>
      </x:c>
      <x:c r="M17" s="29"/>
    </x:row>
    <x:row r="18">
      <x:c r="A18" s="27"/>
      <x:c r="B18" s="27"/>
      <x:c r="C18" s="27"/>
      <x:c r="D18" s="27"/>
      <x:c r="E18" s="27"/>
      <x:c r="F18" s="27"/>
      <x:c r="G18" s="27"/>
      <x:c r="H18" s="27"/>
      <x:c r="I18" s="27"/>
      <x:c r="J18" s="27"/>
      <x:c r="K18" s="27" t="n">
        <x:f>I18+J18</x:f>
        <x:v>0</x:v>
      </x:c>
      <x:c r="L18" s="31" t="str">
        <x:f>IF(K18=0,"",I18/K18)</x:f>
      </x:c>
      <x:c r="M18" s="29"/>
    </x:row>
    <x:row r="19">
      <x:c r="A19" s="27"/>
      <x:c r="B19" s="27"/>
      <x:c r="C19" s="27"/>
      <x:c r="D19" s="27"/>
      <x:c r="E19" s="27"/>
      <x:c r="F19" s="27"/>
      <x:c r="G19" s="27"/>
      <x:c r="H19" s="27"/>
      <x:c r="I19" s="27"/>
      <x:c r="J19" s="27"/>
      <x:c r="K19" s="27" t="n">
        <x:f>I19+J19</x:f>
        <x:v>0</x:v>
      </x:c>
      <x:c r="L19" s="31" t="str">
        <x:f>IF(K19=0,"",I19/K19)</x:f>
      </x:c>
      <x:c r="M19" s="29"/>
    </x:row>
    <x:row r="20">
      <x:c r="A20" s="27"/>
      <x:c r="B20" s="27"/>
      <x:c r="C20" s="27"/>
      <x:c r="D20" s="27"/>
      <x:c r="E20" s="27"/>
      <x:c r="F20" s="27"/>
      <x:c r="G20" s="27"/>
      <x:c r="H20" s="27"/>
      <x:c r="I20" s="27"/>
      <x:c r="J20" s="27"/>
      <x:c r="K20" s="27" t="n">
        <x:f>I20+J20</x:f>
        <x:v>0</x:v>
      </x:c>
      <x:c r="L20" s="31" t="str">
        <x:f>IF(K20=0,"",I20/K20)</x:f>
      </x:c>
      <x:c r="M20" s="29"/>
    </x:row>
    <x:row r="21">
      <x:c r="A21" s="27"/>
      <x:c r="B21" s="27"/>
      <x:c r="C21" s="27"/>
      <x:c r="D21" s="27"/>
      <x:c r="E21" s="27"/>
      <x:c r="F21" s="27"/>
      <x:c r="G21" s="27"/>
      <x:c r="H21" s="27"/>
      <x:c r="I21" s="27"/>
      <x:c r="J21" s="27"/>
      <x:c r="K21" s="27" t="n">
        <x:f>I21+J21</x:f>
        <x:v>0</x:v>
      </x:c>
      <x:c r="L21" s="31" t="str">
        <x:f>IF(K21=0,"",I21/K21)</x:f>
      </x:c>
      <x:c r="M21" s="29"/>
    </x:row>
    <x:row r="22">
      <x:c r="A22" s="27"/>
      <x:c r="B22" s="27"/>
      <x:c r="C22" s="27"/>
      <x:c r="D22" s="27"/>
      <x:c r="E22" s="27"/>
      <x:c r="F22" s="27"/>
      <x:c r="G22" s="27"/>
      <x:c r="H22" s="27"/>
      <x:c r="I22" s="27"/>
      <x:c r="J22" s="27"/>
      <x:c r="K22" s="27" t="n">
        <x:f>I22+J22</x:f>
        <x:v>0</x:v>
      </x:c>
      <x:c r="L22" s="31" t="str">
        <x:f>IF(K22=0,"",I22/K22)</x:f>
      </x:c>
      <x:c r="M22" s="29"/>
    </x:row>
    <x:row r="23">
      <x:c r="A23" s="27"/>
      <x:c r="B23" s="27"/>
      <x:c r="C23" s="27"/>
      <x:c r="D23" s="27"/>
      <x:c r="E23" s="27"/>
      <x:c r="F23" s="27"/>
      <x:c r="G23" s="27"/>
      <x:c r="H23" s="27"/>
      <x:c r="I23" s="27"/>
      <x:c r="J23" s="27"/>
      <x:c r="K23" s="27" t="n">
        <x:f>I23+J23</x:f>
        <x:v>0</x:v>
      </x:c>
      <x:c r="L23" s="31" t="str">
        <x:f>IF(K23=0,"",I23/K23)</x:f>
      </x:c>
      <x:c r="M23" s="29"/>
    </x:row>
    <x:row r="24">
      <x:c r="A24" s="27"/>
      <x:c r="B24" s="27"/>
      <x:c r="C24" s="27"/>
      <x:c r="D24" s="27"/>
      <x:c r="E24" s="27"/>
      <x:c r="F24" s="27"/>
      <x:c r="G24" s="27"/>
      <x:c r="H24" s="27"/>
      <x:c r="I24" s="27"/>
      <x:c r="J24" s="27"/>
      <x:c r="K24" s="27" t="n">
        <x:f>I24+J24</x:f>
        <x:v>0</x:v>
      </x:c>
      <x:c r="L24" s="31" t="str">
        <x:f>IF(K24=0,"",I24/K24)</x:f>
      </x:c>
      <x:c r="M24" s="29"/>
    </x:row>
    <x:row r="25">
      <x:c r="A25" s="27"/>
      <x:c r="B25" s="27"/>
      <x:c r="C25" s="27"/>
      <x:c r="D25" s="27"/>
      <x:c r="E25" s="27"/>
      <x:c r="F25" s="27"/>
      <x:c r="G25" s="27"/>
      <x:c r="H25" s="27"/>
      <x:c r="I25" s="27"/>
      <x:c r="J25" s="27"/>
      <x:c r="K25" s="27" t="n">
        <x:f>I25+J25</x:f>
        <x:v>0</x:v>
      </x:c>
      <x:c r="L25" s="31" t="str">
        <x:f>IF(K25=0,"",I25/K25)</x:f>
      </x:c>
      <x:c r="M25" s="29"/>
    </x:row>
    <x:row r="26">
      <x:c r="A26" s="27"/>
      <x:c r="B26" s="27"/>
      <x:c r="C26" s="27"/>
      <x:c r="D26" s="27"/>
      <x:c r="E26" s="27"/>
      <x:c r="F26" s="27"/>
      <x:c r="G26" s="27"/>
      <x:c r="H26" s="27"/>
      <x:c r="I26" s="27"/>
      <x:c r="J26" s="27"/>
      <x:c r="K26" s="27" t="n">
        <x:f>I26+J26</x:f>
        <x:v>0</x:v>
      </x:c>
      <x:c r="L26" s="31" t="str">
        <x:f>IF(K26=0,"",I26/K26)</x:f>
      </x:c>
      <x:c r="M26" s="29"/>
    </x:row>
    <x:row r="27">
      <x:c r="A27" s="27"/>
      <x:c r="B27" s="27"/>
      <x:c r="C27" s="27"/>
      <x:c r="D27" s="27"/>
      <x:c r="E27" s="27"/>
      <x:c r="F27" s="27"/>
      <x:c r="G27" s="27"/>
      <x:c r="H27" s="27"/>
      <x:c r="I27" s="27"/>
      <x:c r="J27" s="27"/>
      <x:c r="K27" s="27" t="n">
        <x:f>I27+J27</x:f>
        <x:v>0</x:v>
      </x:c>
      <x:c r="L27" s="31" t="str">
        <x:f>IF(K27=0,"",I27/K27)</x:f>
      </x:c>
      <x:c r="M27" s="29"/>
    </x:row>
    <x:row r="28">
      <x:c r="A28" s="27"/>
      <x:c r="B28" s="27"/>
      <x:c r="C28" s="27"/>
      <x:c r="D28" s="27"/>
      <x:c r="E28" s="27"/>
      <x:c r="F28" s="27"/>
      <x:c r="G28" s="27"/>
      <x:c r="H28" s="27"/>
      <x:c r="I28" s="27"/>
      <x:c r="J28" s="27"/>
      <x:c r="K28" s="27" t="n">
        <x:f>I28+J28</x:f>
        <x:v>0</x:v>
      </x:c>
      <x:c r="L28" s="31" t="str">
        <x:f>IF(K28=0,"",I28/K28)</x:f>
      </x:c>
      <x:c r="M28" s="29"/>
    </x:row>
    <x:row r="29">
      <x:c r="A29" s="27"/>
      <x:c r="B29" s="27"/>
      <x:c r="C29" s="27"/>
      <x:c r="D29" s="27"/>
      <x:c r="E29" s="27"/>
      <x:c r="F29" s="27"/>
      <x:c r="G29" s="27"/>
      <x:c r="H29" s="27"/>
      <x:c r="I29" s="27"/>
      <x:c r="J29" s="27"/>
      <x:c r="K29" s="27" t="n">
        <x:f>I29+J29</x:f>
        <x:v>0</x:v>
      </x:c>
      <x:c r="L29" s="31" t="str">
        <x:f>IF(K29=0,"",I29/K29)</x:f>
      </x:c>
      <x:c r="M29" s="29"/>
    </x:row>
    <x:row r="30">
      <x:c r="A30" s="27"/>
      <x:c r="B30" s="27"/>
      <x:c r="C30" s="27"/>
      <x:c r="D30" s="27"/>
      <x:c r="E30" s="27"/>
      <x:c r="F30" s="27"/>
      <x:c r="G30" s="27"/>
      <x:c r="H30" s="27"/>
      <x:c r="I30" s="27"/>
      <x:c r="J30" s="27"/>
      <x:c r="K30" s="27" t="n">
        <x:f>I30+J30</x:f>
        <x:v>0</x:v>
      </x:c>
      <x:c r="L30" s="31" t="str">
        <x:f>IF(K30=0,"",I30/K30)</x:f>
      </x:c>
      <x:c r="M30" s="29"/>
    </x:row>
    <x:row r="31">
      <x:c r="A31" s="27"/>
      <x:c r="B31" s="27"/>
      <x:c r="C31" s="27"/>
      <x:c r="D31" s="27"/>
      <x:c r="E31" s="27"/>
      <x:c r="F31" s="27"/>
      <x:c r="G31" s="27"/>
      <x:c r="H31" s="27"/>
      <x:c r="I31" s="27"/>
      <x:c r="J31" s="27"/>
      <x:c r="K31" s="27" t="n">
        <x:f>I31+J31</x:f>
        <x:v>0</x:v>
      </x:c>
      <x:c r="L31" s="31" t="str">
        <x:f>IF(K31=0,"",I31/K31)</x:f>
      </x:c>
      <x:c r="M31" s="29"/>
    </x:row>
    <x:row r="32">
      <x:c r="A32" s="27"/>
      <x:c r="B32" s="27"/>
      <x:c r="C32" s="27"/>
      <x:c r="D32" s="27"/>
      <x:c r="E32" s="27"/>
      <x:c r="F32" s="27"/>
      <x:c r="G32" s="27"/>
      <x:c r="H32" s="27"/>
      <x:c r="I32" s="27"/>
      <x:c r="J32" s="27"/>
      <x:c r="K32" s="27" t="n">
        <x:f>I32+J32</x:f>
        <x:v>0</x:v>
      </x:c>
      <x:c r="L32" s="31" t="str">
        <x:f>IF(K32=0,"",I32/K32)</x:f>
      </x:c>
      <x:c r="M32" s="29"/>
    </x:row>
    <x:row r="33">
      <x:c r="A33" s="27"/>
      <x:c r="B33" s="27"/>
      <x:c r="C33" s="27"/>
      <x:c r="D33" s="27"/>
      <x:c r="E33" s="27"/>
      <x:c r="F33" s="27"/>
      <x:c r="G33" s="27"/>
      <x:c r="H33" s="27"/>
      <x:c r="I33" s="27"/>
      <x:c r="J33" s="27"/>
      <x:c r="K33" s="27" t="n">
        <x:f>I33+J33</x:f>
        <x:v>0</x:v>
      </x:c>
      <x:c r="L33" s="31" t="str">
        <x:f>IF(K33=0,"",I33/K33)</x:f>
      </x:c>
      <x:c r="M33" s="29"/>
    </x:row>
    <x:row r="34">
      <x:c r="A34" s="27"/>
      <x:c r="B34" s="27"/>
      <x:c r="C34" s="27"/>
      <x:c r="D34" s="27"/>
      <x:c r="E34" s="27"/>
      <x:c r="F34" s="27"/>
      <x:c r="G34" s="27"/>
      <x:c r="H34" s="27"/>
      <x:c r="I34" s="27"/>
      <x:c r="J34" s="27"/>
      <x:c r="K34" s="27" t="n">
        <x:f>I34+J34</x:f>
        <x:v>0</x:v>
      </x:c>
      <x:c r="L34" s="31" t="str">
        <x:f>IF(K34=0,"",I34/K34)</x:f>
      </x:c>
      <x:c r="M34" s="29"/>
    </x:row>
    <x:row r="35">
      <x:c r="A35" s="27"/>
      <x:c r="B35" s="27"/>
      <x:c r="C35" s="27"/>
      <x:c r="D35" s="27"/>
      <x:c r="E35" s="27"/>
      <x:c r="F35" s="27"/>
      <x:c r="G35" s="27"/>
      <x:c r="H35" s="27"/>
      <x:c r="I35" s="27"/>
      <x:c r="J35" s="27"/>
      <x:c r="K35" s="27" t="n">
        <x:f>I35+J35</x:f>
        <x:v>0</x:v>
      </x:c>
      <x:c r="L35" s="31" t="str">
        <x:f>IF(K35=0,"",I35/K35)</x:f>
      </x:c>
      <x:c r="M35" s="29"/>
    </x:row>
    <x:row r="36">
      <x:c r="A36" s="27"/>
      <x:c r="B36" s="27"/>
      <x:c r="C36" s="27"/>
      <x:c r="D36" s="27"/>
      <x:c r="E36" s="27"/>
      <x:c r="F36" s="27"/>
      <x:c r="G36" s="27"/>
      <x:c r="H36" s="27"/>
      <x:c r="I36" s="27"/>
      <x:c r="J36" s="27"/>
      <x:c r="K36" s="27" t="n">
        <x:f>I36+J36</x:f>
        <x:v>0</x:v>
      </x:c>
      <x:c r="L36" s="31" t="str">
        <x:f>IF(K36=0,"",I36/K36)</x:f>
      </x:c>
      <x:c r="M36" s="29"/>
    </x:row>
    <x:row r="37">
      <x:c r="A37" s="27"/>
      <x:c r="B37" s="27"/>
      <x:c r="C37" s="27"/>
      <x:c r="D37" s="27"/>
      <x:c r="E37" s="27"/>
      <x:c r="F37" s="27"/>
      <x:c r="G37" s="27"/>
      <x:c r="H37" s="27"/>
      <x:c r="I37" s="27"/>
      <x:c r="J37" s="27"/>
      <x:c r="K37" s="27" t="n">
        <x:f>I37+J37</x:f>
        <x:v>0</x:v>
      </x:c>
      <x:c r="L37" s="31" t="str">
        <x:f>IF(K37=0,"",I37/K37)</x:f>
      </x:c>
      <x:c r="M37" s="29"/>
    </x:row>
    <x:row r="38">
      <x:c r="A38" s="27"/>
      <x:c r="B38" s="27"/>
      <x:c r="C38" s="27"/>
      <x:c r="D38" s="27"/>
      <x:c r="E38" s="27"/>
      <x:c r="F38" s="27"/>
      <x:c r="G38" s="27"/>
      <x:c r="H38" s="27"/>
      <x:c r="I38" s="27"/>
      <x:c r="J38" s="27"/>
      <x:c r="K38" s="27" t="n">
        <x:f>I38+J38</x:f>
        <x:v>0</x:v>
      </x:c>
      <x:c r="L38" s="31" t="str">
        <x:f>IF(K38=0,"",I38/K38)</x:f>
      </x:c>
      <x:c r="M38" s="29"/>
    </x:row>
    <x:row r="39">
      <x:c r="A39" s="27"/>
      <x:c r="B39" s="27"/>
      <x:c r="C39" s="27"/>
      <x:c r="D39" s="27"/>
      <x:c r="E39" s="27"/>
      <x:c r="F39" s="27"/>
      <x:c r="G39" s="27"/>
      <x:c r="H39" s="27"/>
      <x:c r="I39" s="27"/>
      <x:c r="J39" s="27"/>
      <x:c r="K39" s="27" t="n">
        <x:f>I39+J39</x:f>
        <x:v>0</x:v>
      </x:c>
      <x:c r="L39" s="31" t="str">
        <x:f>IF(K39=0,"",I39/K39)</x:f>
      </x:c>
      <x:c r="M39" s="29"/>
    </x:row>
    <x:row r="40">
      <x:c r="A40" s="27"/>
      <x:c r="B40" s="27"/>
      <x:c r="C40" s="27"/>
      <x:c r="D40" s="27"/>
      <x:c r="E40" s="27"/>
      <x:c r="F40" s="27"/>
      <x:c r="G40" s="27"/>
      <x:c r="H40" s="27"/>
      <x:c r="I40" s="27"/>
      <x:c r="J40" s="27"/>
      <x:c r="K40" s="27" t="n">
        <x:f>I40+J40</x:f>
        <x:v>0</x:v>
      </x:c>
      <x:c r="L40" s="31" t="str">
        <x:f>IF(K40=0,"",I40/K40)</x:f>
      </x:c>
      <x:c r="M40" s="29"/>
    </x:row>
    <x:row r="41">
      <x:c r="A41" s="27"/>
      <x:c r="B41" s="27"/>
      <x:c r="C41" s="27"/>
      <x:c r="D41" s="27"/>
      <x:c r="E41" s="27"/>
      <x:c r="F41" s="27"/>
      <x:c r="G41" s="27"/>
      <x:c r="H41" s="27"/>
      <x:c r="I41" s="27"/>
      <x:c r="J41" s="27"/>
      <x:c r="K41" s="27" t="n">
        <x:f>I41+J41</x:f>
        <x:v>0</x:v>
      </x:c>
      <x:c r="L41" s="31" t="str">
        <x:f>IF(K41=0,"",I41/K41)</x:f>
      </x:c>
      <x:c r="M41" s="29"/>
    </x:row>
    <x:row r="42">
      <x:c r="A42" s="27"/>
      <x:c r="B42" s="27"/>
      <x:c r="C42" s="27"/>
      <x:c r="D42" s="27"/>
      <x:c r="E42" s="27"/>
      <x:c r="F42" s="27"/>
      <x:c r="G42" s="27"/>
      <x:c r="H42" s="27"/>
      <x:c r="I42" s="27"/>
      <x:c r="J42" s="27"/>
      <x:c r="K42" s="27" t="n">
        <x:f>I42+J42</x:f>
        <x:v>0</x:v>
      </x:c>
      <x:c r="L42" s="31" t="str">
        <x:f>IF(K42=0,"",I42/K42)</x:f>
      </x:c>
      <x:c r="M42" s="29"/>
    </x:row>
    <x:row r="43">
      <x:c r="A43" s="27"/>
      <x:c r="B43" s="27"/>
      <x:c r="C43" s="27"/>
      <x:c r="D43" s="27"/>
      <x:c r="E43" s="27"/>
      <x:c r="F43" s="27"/>
      <x:c r="G43" s="27"/>
      <x:c r="H43" s="27"/>
      <x:c r="I43" s="27"/>
      <x:c r="J43" s="27"/>
      <x:c r="K43" s="27" t="n">
        <x:f>I43+J43</x:f>
        <x:v>0</x:v>
      </x:c>
      <x:c r="L43" s="31" t="str">
        <x:f>IF(K43=0,"",I43/K43)</x:f>
      </x:c>
      <x:c r="M43" s="29"/>
    </x:row>
    <x:row r="44">
      <x:c r="A44" s="27"/>
      <x:c r="B44" s="27"/>
      <x:c r="C44" s="27"/>
      <x:c r="D44" s="27"/>
      <x:c r="E44" s="27"/>
      <x:c r="F44" s="27"/>
      <x:c r="G44" s="27"/>
      <x:c r="H44" s="27"/>
      <x:c r="I44" s="27"/>
      <x:c r="J44" s="27"/>
      <x:c r="K44" s="27" t="n">
        <x:f>I44+J44</x:f>
        <x:v>0</x:v>
      </x:c>
      <x:c r="L44" s="31" t="str">
        <x:f>IF(K44=0,"",I44/K44)</x:f>
      </x:c>
      <x:c r="M44" s="29"/>
    </x:row>
    <x:row r="45">
      <x:c r="A45" s="27"/>
      <x:c r="B45" s="27"/>
      <x:c r="C45" s="27"/>
      <x:c r="D45" s="27"/>
      <x:c r="E45" s="27"/>
      <x:c r="F45" s="27"/>
      <x:c r="G45" s="27"/>
      <x:c r="H45" s="27"/>
      <x:c r="I45" s="27"/>
      <x:c r="J45" s="27"/>
      <x:c r="K45" s="27" t="n">
        <x:f>I45+J45</x:f>
        <x:v>0</x:v>
      </x:c>
      <x:c r="L45" s="31" t="str">
        <x:f>IF(K45=0,"",I45/K45)</x:f>
      </x:c>
      <x:c r="M45" s="29"/>
    </x:row>
    <x:row r="46">
      <x:c r="A46" s="27"/>
      <x:c r="B46" s="27"/>
      <x:c r="C46" s="27"/>
      <x:c r="D46" s="27"/>
      <x:c r="E46" s="27"/>
      <x:c r="F46" s="27"/>
      <x:c r="G46" s="27"/>
      <x:c r="H46" s="27"/>
      <x:c r="I46" s="27"/>
      <x:c r="J46" s="27"/>
      <x:c r="K46" s="27" t="n">
        <x:f>I46+J46</x:f>
        <x:v>0</x:v>
      </x:c>
      <x:c r="L46" s="31" t="str">
        <x:f>IF(K46=0,"",I46/K46)</x:f>
      </x:c>
      <x:c r="M46" s="29"/>
    </x:row>
    <x:row r="47">
      <x:c r="A47" s="27"/>
      <x:c r="B47" s="27"/>
      <x:c r="C47" s="27"/>
      <x:c r="D47" s="27"/>
      <x:c r="E47" s="27"/>
      <x:c r="F47" s="27"/>
      <x:c r="G47" s="27"/>
      <x:c r="H47" s="27"/>
      <x:c r="I47" s="27"/>
      <x:c r="J47" s="27"/>
      <x:c r="K47" s="27" t="n">
        <x:f>I47+J47</x:f>
        <x:v>0</x:v>
      </x:c>
      <x:c r="L47" s="31" t="str">
        <x:f>IF(K47=0,"",I47/K47)</x:f>
      </x:c>
      <x:c r="M47" s="29"/>
    </x:row>
    <x:row r="48">
      <x:c r="A48" s="27"/>
      <x:c r="B48" s="27"/>
      <x:c r="C48" s="27"/>
      <x:c r="D48" s="27"/>
      <x:c r="E48" s="27"/>
      <x:c r="F48" s="27"/>
      <x:c r="G48" s="27"/>
      <x:c r="H48" s="27"/>
      <x:c r="I48" s="27"/>
      <x:c r="J48" s="27"/>
      <x:c r="K48" s="27" t="n">
        <x:f>I48+J48</x:f>
        <x:v>0</x:v>
      </x:c>
      <x:c r="L48" s="31" t="str">
        <x:f>IF(K48=0,"",I48/K48)</x:f>
      </x:c>
      <x:c r="M48" s="29"/>
    </x:row>
    <x:row r="49">
      <x:c r="A49" s="27"/>
      <x:c r="B49" s="27"/>
      <x:c r="C49" s="27"/>
      <x:c r="D49" s="27"/>
      <x:c r="E49" s="27"/>
      <x:c r="F49" s="27"/>
      <x:c r="G49" s="27"/>
      <x:c r="H49" s="27"/>
      <x:c r="I49" s="27"/>
      <x:c r="J49" s="27"/>
      <x:c r="K49" s="27" t="n">
        <x:f>I49+J49</x:f>
        <x:v>0</x:v>
      </x:c>
      <x:c r="L49" s="31" t="str">
        <x:f>IF(K49=0,"",I49/K49)</x:f>
      </x:c>
      <x:c r="M49" s="29"/>
    </x:row>
    <x:row r="50">
      <x:c r="A50" s="27"/>
      <x:c r="B50" s="27"/>
      <x:c r="C50" s="27"/>
      <x:c r="D50" s="27"/>
      <x:c r="E50" s="27"/>
      <x:c r="F50" s="27"/>
      <x:c r="G50" s="27"/>
      <x:c r="H50" s="27"/>
      <x:c r="I50" s="27"/>
      <x:c r="J50" s="27"/>
      <x:c r="K50" s="27" t="n">
        <x:f>I50+J50</x:f>
        <x:v>0</x:v>
      </x:c>
      <x:c r="L50" s="31" t="str">
        <x:f>IF(K50=0,"",I50/K50)</x:f>
      </x:c>
      <x:c r="M50" s="29"/>
    </x:row>
    <x:row r="51">
      <x:c r="K51" t="n">
        <x:f>I51+J51</x:f>
        <x:v>0</x:v>
      </x:c>
      <x:c r="L51" s="19" t="str">
        <x:f>IF(K51=0,"",I51/K51)</x:f>
      </x:c>
      <x:c r="M51" s="44"/>
    </x:row>
    <x:row r="52">
      <x:c r="K52" t="n">
        <x:f>I52+J52</x:f>
        <x:v>0</x:v>
      </x:c>
      <x:c r="L52" s="19" t="str">
        <x:f>IF(K52=0,"",I52/K52)</x:f>
      </x:c>
      <x:c r="M52" s="44"/>
    </x:row>
    <x:row r="53">
      <x:c r="K53" t="n">
        <x:f>I53+J53</x:f>
        <x:v>0</x:v>
      </x:c>
      <x:c r="L53" s="19" t="str">
        <x:f>IF(K53=0,"",I53/K53)</x:f>
      </x:c>
      <x:c r="M53" s="44"/>
    </x:row>
    <x:row r="54">
      <x:c r="K54" t="n">
        <x:f>I54+J54</x:f>
        <x:v>0</x:v>
      </x:c>
      <x:c r="L54" s="19" t="str">
        <x:f>IF(K54=0,"",I54/K54)</x:f>
      </x:c>
      <x:c r="M54" s="44"/>
    </x:row>
    <x:row r="55">
      <x:c r="K55" t="n">
        <x:f>I55+J55</x:f>
        <x:v>0</x:v>
      </x:c>
      <x:c r="L55" s="19" t="str">
        <x:f>IF(K55=0,"",I55/K55)</x:f>
      </x:c>
      <x:c r="M55" s="44"/>
    </x:row>
    <x:row r="56">
      <x:c r="K56" t="n">
        <x:f>I56+J56</x:f>
        <x:v>0</x:v>
      </x:c>
      <x:c r="L56" s="19" t="str">
        <x:f>IF(K56=0,"",I56/K56)</x:f>
      </x:c>
      <x:c r="M56" s="44"/>
    </x:row>
    <x:row r="57">
      <x:c r="K57" t="n">
        <x:f>I57+J57</x:f>
        <x:v>0</x:v>
      </x:c>
      <x:c r="L57" s="19" t="str">
        <x:f>IF(K57=0,"",I57/K57)</x:f>
      </x:c>
      <x:c r="M57" s="44"/>
    </x:row>
    <x:row r="58">
      <x:c r="K58" t="n">
        <x:f>I58+J58</x:f>
        <x:v>0</x:v>
      </x:c>
      <x:c r="L58" s="19" t="str">
        <x:f>IF(K58=0,"",I58/K58)</x:f>
      </x:c>
      <x:c r="M58" s="44"/>
    </x:row>
    <x:row r="59">
      <x:c r="K59" t="n">
        <x:f>I59+J59</x:f>
        <x:v>0</x:v>
      </x:c>
      <x:c r="L59" s="19" t="str">
        <x:f>IF(K59=0,"",I59/K59)</x:f>
      </x:c>
      <x:c r="M59" s="44"/>
    </x:row>
    <x:row r="60">
      <x:c r="K60" t="n">
        <x:f>I60+J60</x:f>
        <x:v>0</x:v>
      </x:c>
      <x:c r="L60" s="19" t="str">
        <x:f>IF(K60=0,"",I60/K60)</x:f>
      </x:c>
      <x:c r="M60" s="44"/>
    </x:row>
    <x:row r="61">
      <x:c r="K61" t="n">
        <x:f>I61+J61</x:f>
        <x:v>0</x:v>
      </x:c>
      <x:c r="L61" s="19" t="str">
        <x:f>IF(K61=0,"",I61/K61)</x:f>
      </x:c>
      <x:c r="M61" s="44"/>
    </x:row>
    <x:row r="62">
      <x:c r="K62" t="n">
        <x:f>I62+J62</x:f>
        <x:v>0</x:v>
      </x:c>
      <x:c r="L62" s="19" t="str">
        <x:f>IF(K62=0,"",I62/K62)</x:f>
      </x:c>
      <x:c r="M62" s="44"/>
    </x:row>
    <x:row r="63">
      <x:c r="K63" t="n">
        <x:f>I63+J63</x:f>
        <x:v>0</x:v>
      </x:c>
      <x:c r="L63" s="19" t="str">
        <x:f>IF(K63=0,"",I63/K63)</x:f>
      </x:c>
      <x:c r="M63" s="44"/>
    </x:row>
    <x:row r="64">
      <x:c r="K64" t="n">
        <x:f>I64+J64</x:f>
        <x:v>0</x:v>
      </x:c>
      <x:c r="L64" s="19" t="str">
        <x:f>IF(K64=0,"",I64/K64)</x:f>
      </x:c>
      <x:c r="M64" s="44"/>
    </x:row>
    <x:row r="65">
      <x:c r="K65" t="n">
        <x:f>I65+J65</x:f>
        <x:v>0</x:v>
      </x:c>
      <x:c r="L65" s="19" t="str">
        <x:f>IF(K65=0,"",I65/K65)</x:f>
      </x:c>
      <x:c r="M65" s="44"/>
    </x:row>
    <x:row r="66">
      <x:c r="K66" t="n">
        <x:f>I66+J66</x:f>
        <x:v>0</x:v>
      </x:c>
      <x:c r="L66" s="19" t="str">
        <x:f>IF(K66=0,"",I66/K66)</x:f>
      </x:c>
      <x:c r="M66" s="44"/>
    </x:row>
    <x:row r="67">
      <x:c r="K67" t="n">
        <x:f>I67+J67</x:f>
        <x:v>0</x:v>
      </x:c>
      <x:c r="L67" s="19" t="str">
        <x:f>IF(K67=0,"",I67/K67)</x:f>
      </x:c>
      <x:c r="M67" s="44"/>
    </x:row>
    <x:row r="68">
      <x:c r="K68" t="n">
        <x:f>I68+J68</x:f>
        <x:v>0</x:v>
      </x:c>
      <x:c r="L68" s="19" t="str">
        <x:f>IF(K68=0,"",I68/K68)</x:f>
      </x:c>
      <x:c r="M68" s="44"/>
    </x:row>
    <x:row r="69">
      <x:c r="K69" t="n">
        <x:f>I69+J69</x:f>
        <x:v>0</x:v>
      </x:c>
      <x:c r="L69" s="19" t="str">
        <x:f>IF(K69=0,"",I69/K69)</x:f>
      </x:c>
      <x:c r="M69" s="44"/>
    </x:row>
    <x:row r="70">
      <x:c r="K70" t="n">
        <x:f>I70+J70</x:f>
        <x:v>0</x:v>
      </x:c>
      <x:c r="L70" s="19" t="str">
        <x:f>IF(K70=0,"",I70/K70)</x:f>
      </x:c>
      <x:c r="M70" s="44"/>
    </x:row>
    <x:row r="71">
      <x:c r="K71" t="n">
        <x:f>I71+J71</x:f>
        <x:v>0</x:v>
      </x:c>
      <x:c r="L71" s="19" t="str">
        <x:f>IF(K71=0,"",I71/K71)</x:f>
      </x:c>
      <x:c r="M71" s="44"/>
    </x:row>
    <x:row r="72">
      <x:c r="K72" t="n">
        <x:f>I72+J72</x:f>
        <x:v>0</x:v>
      </x:c>
      <x:c r="L72" s="19" t="str">
        <x:f>IF(K72=0,"",I72/K72)</x:f>
      </x:c>
      <x:c r="M72" s="44"/>
    </x:row>
    <x:row r="73">
      <x:c r="K73" t="n">
        <x:f>I73+J73</x:f>
        <x:v>0</x:v>
      </x:c>
      <x:c r="L73" s="19" t="str">
        <x:f>IF(K73=0,"",I73/K73)</x:f>
      </x:c>
      <x:c r="M73" s="44"/>
    </x:row>
    <x:row r="74">
      <x:c r="K74" t="n">
        <x:f>I74+J74</x:f>
        <x:v>0</x:v>
      </x:c>
      <x:c r="L74" s="19" t="str">
        <x:f>IF(K74=0,"",I74/K74)</x:f>
      </x:c>
      <x:c r="M74" s="44"/>
    </x:row>
    <x:row r="75">
      <x:c r="K75" t="n">
        <x:f>I75+J75</x:f>
        <x:v>0</x:v>
      </x:c>
      <x:c r="L75" s="19" t="str">
        <x:f>IF(K75=0,"",I75/K75)</x:f>
      </x:c>
      <x:c r="M75" s="44"/>
    </x:row>
    <x:row r="76">
      <x:c r="K76" t="n">
        <x:f>I76+J76</x:f>
        <x:v>0</x:v>
      </x:c>
      <x:c r="L76" s="19" t="str">
        <x:f>IF(K76=0,"",I76/K76)</x:f>
      </x:c>
      <x:c r="M76" s="44"/>
    </x:row>
    <x:row r="77">
      <x:c r="K77" t="n">
        <x:f>I77+J77</x:f>
        <x:v>0</x:v>
      </x:c>
      <x:c r="L77" s="19" t="str">
        <x:f>IF(K77=0,"",I77/K77)</x:f>
      </x:c>
      <x:c r="M77" s="44"/>
    </x:row>
    <x:row r="78">
      <x:c r="K78" t="n">
        <x:f>I78+J78</x:f>
        <x:v>0</x:v>
      </x:c>
      <x:c r="L78" s="19" t="str">
        <x:f>IF(K78=0,"",I78/K78)</x:f>
      </x:c>
      <x:c r="M78" s="44"/>
    </x:row>
    <x:row r="79">
      <x:c r="K79" t="n">
        <x:f>I79+J79</x:f>
        <x:v>0</x:v>
      </x:c>
      <x:c r="L79" s="19" t="str">
        <x:f>IF(K79=0,"",I79/K79)</x:f>
      </x:c>
      <x:c r="M79" s="44"/>
    </x:row>
    <x:row r="80">
      <x:c r="K80" t="n">
        <x:f>I80+J80</x:f>
        <x:v>0</x:v>
      </x:c>
      <x:c r="L80" s="19" t="str">
        <x:f>IF(K80=0,"",I80/K80)</x:f>
      </x:c>
      <x:c r="M80" s="44"/>
    </x:row>
    <x:row r="81">
      <x:c r="K81" t="n">
        <x:f>I81+J81</x:f>
        <x:v>0</x:v>
      </x:c>
      <x:c r="L81" s="19" t="str">
        <x:f>IF(K81=0,"",I81/K81)</x:f>
      </x:c>
      <x:c r="M81" s="44"/>
    </x:row>
    <x:row r="82">
      <x:c r="K82" t="n">
        <x:f>I82+J82</x:f>
        <x:v>0</x:v>
      </x:c>
      <x:c r="L82" s="19" t="str">
        <x:f>IF(K82=0,"",I82/K82)</x:f>
      </x:c>
      <x:c r="M82" s="44"/>
    </x:row>
    <x:row r="83">
      <x:c r="K83" t="n">
        <x:f>I83+J83</x:f>
        <x:v>0</x:v>
      </x:c>
      <x:c r="L83" s="19" t="str">
        <x:f>IF(K83=0,"",I83/K83)</x:f>
      </x:c>
      <x:c r="M83" s="44"/>
    </x:row>
    <x:row r="84">
      <x:c r="K84" t="n">
        <x:f>I84+J84</x:f>
        <x:v>0</x:v>
      </x:c>
      <x:c r="L84" s="19" t="str">
        <x:f>IF(K84=0,"",I84/K84)</x:f>
      </x:c>
      <x:c r="M84" s="44"/>
    </x:row>
    <x:row r="85">
      <x:c r="K85" t="n">
        <x:f>I85+J85</x:f>
        <x:v>0</x:v>
      </x:c>
      <x:c r="L85" s="19" t="str">
        <x:f>IF(K85=0,"",I85/K85)</x:f>
      </x:c>
      <x:c r="M85" s="44"/>
    </x:row>
    <x:row r="86">
      <x:c r="K86" t="n">
        <x:f>I86+J86</x:f>
        <x:v>0</x:v>
      </x:c>
      <x:c r="L86" s="19" t="str">
        <x:f>IF(K86=0,"",I86/K86)</x:f>
      </x:c>
      <x:c r="M86" s="44"/>
    </x:row>
    <x:row r="87">
      <x:c r="K87" t="n">
        <x:f>I87+J87</x:f>
        <x:v>0</x:v>
      </x:c>
      <x:c r="L87" s="19" t="str">
        <x:f>IF(K87=0,"",I87/K87)</x:f>
      </x:c>
      <x:c r="M87" s="44"/>
    </x:row>
    <x:row r="88">
      <x:c r="K88" t="n">
        <x:f>I88+J88</x:f>
        <x:v>0</x:v>
      </x:c>
      <x:c r="L88" s="19" t="str">
        <x:f>IF(K88=0,"",I88/K88)</x:f>
      </x:c>
      <x:c r="M88" s="44"/>
    </x:row>
    <x:row r="89">
      <x:c r="K89" t="n">
        <x:f>I89+J89</x:f>
        <x:v>0</x:v>
      </x:c>
      <x:c r="L89" s="19" t="str">
        <x:f>IF(K89=0,"",I89/K89)</x:f>
      </x:c>
      <x:c r="M89" s="44"/>
    </x:row>
    <x:row r="90">
      <x:c r="K90" t="n">
        <x:f>I90+J90</x:f>
        <x:v>0</x:v>
      </x:c>
      <x:c r="L90" s="19" t="str">
        <x:f>IF(K90=0,"",I90/K90)</x:f>
      </x:c>
      <x:c r="M90" s="44"/>
    </x:row>
    <x:row r="91">
      <x:c r="K91" t="n">
        <x:f>I91+J91</x:f>
        <x:v>0</x:v>
      </x:c>
      <x:c r="L91" s="19" t="str">
        <x:f>IF(K91=0,"",I91/K91)</x:f>
      </x:c>
      <x:c r="M91" s="44"/>
    </x:row>
    <x:row r="92">
      <x:c r="K92" t="n">
        <x:f>I92+J92</x:f>
        <x:v>0</x:v>
      </x:c>
      <x:c r="L92" s="19" t="str">
        <x:f>IF(K92=0,"",I92/K92)</x:f>
      </x:c>
      <x:c r="M92" s="44"/>
    </x:row>
    <x:row r="93">
      <x:c r="K93" t="n">
        <x:f>I93+J93</x:f>
        <x:v>0</x:v>
      </x:c>
      <x:c r="L93" s="19" t="str">
        <x:f>IF(K93=0,"",I93/K93)</x:f>
      </x:c>
      <x:c r="M93" s="44"/>
    </x:row>
    <x:row r="94">
      <x:c r="K94" t="n">
        <x:f>I94+J94</x:f>
        <x:v>0</x:v>
      </x:c>
      <x:c r="L94" s="19" t="str">
        <x:f>IF(K94=0,"",I94/K94)</x:f>
      </x:c>
      <x:c r="M94" s="44"/>
    </x:row>
    <x:row r="95">
      <x:c r="K95" t="n">
        <x:f>I95+J95</x:f>
        <x:v>0</x:v>
      </x:c>
      <x:c r="L95" s="19" t="str">
        <x:f>IF(K95=0,"",I95/K95)</x:f>
      </x:c>
      <x:c r="M95" s="44"/>
    </x:row>
    <x:row r="96">
      <x:c r="K96" t="n">
        <x:f>I96+J96</x:f>
        <x:v>0</x:v>
      </x:c>
      <x:c r="L96" s="19" t="str">
        <x:f>IF(K96=0,"",I96/K96)</x:f>
      </x:c>
      <x:c r="M96" s="44"/>
    </x:row>
    <x:row r="97">
      <x:c r="K97" t="n">
        <x:f>I97+J97</x:f>
        <x:v>0</x:v>
      </x:c>
      <x:c r="L97" s="19" t="str">
        <x:f>IF(K97=0,"",I97/K97)</x:f>
      </x:c>
      <x:c r="M97" s="44"/>
    </x:row>
    <x:row r="98">
      <x:c r="K98" t="n">
        <x:f>I98+J98</x:f>
        <x:v>0</x:v>
      </x:c>
      <x:c r="L98" s="19" t="str">
        <x:f>IF(K98=0,"",I98/K98)</x:f>
      </x:c>
      <x:c r="M98" s="44"/>
    </x:row>
    <x:row r="99">
      <x:c r="K99" t="n">
        <x:f>I99+J99</x:f>
        <x:v>0</x:v>
      </x:c>
      <x:c r="L99" s="19" t="str">
        <x:f>IF(K99=0,"",I99/K99)</x:f>
      </x:c>
      <x:c r="M99" s="44"/>
    </x:row>
    <x:row r="100">
      <x:c r="K100" t="n">
        <x:f>I100+J100</x:f>
        <x:v>0</x:v>
      </x:c>
      <x:c r="L100" s="19" t="str">
        <x:f>IF(K100=0,"",I100/K100)</x:f>
      </x:c>
      <x:c r="M100" s="44"/>
    </x:row>
    <x:row r="101">
      <x:c r="K101" t="n">
        <x:f>I101+J101</x:f>
        <x:v>0</x:v>
      </x:c>
      <x:c r="L101" s="19" t="str">
        <x:f>IF(K101=0,"",I101/K101)</x:f>
      </x:c>
      <x:c r="M101" s="44"/>
    </x:row>
    <x:row r="102">
      <x:c r="K102" t="n">
        <x:f>I102+J102</x:f>
        <x:v>0</x:v>
      </x:c>
      <x:c r="L102" s="19" t="str">
        <x:f>IF(K102=0,"",I102/K102)</x:f>
      </x:c>
      <x:c r="M102" s="44"/>
    </x:row>
    <x:row r="103">
      <x:c r="K103" t="n">
        <x:f>I103+J103</x:f>
        <x:v>0</x:v>
      </x:c>
      <x:c r="L103" s="19" t="str">
        <x:f>IF(K103=0,"",I103/K103)</x:f>
      </x:c>
      <x:c r="M103" s="44"/>
    </x:row>
    <x:row r="104">
      <x:c r="K104" t="n">
        <x:f>I104+J104</x:f>
        <x:v>0</x:v>
      </x:c>
      <x:c r="L104" s="19" t="str">
        <x:f>IF(K104=0,"",I104/K104)</x:f>
      </x:c>
      <x:c r="M104" s="44"/>
    </x:row>
    <x:row r="105">
      <x:c r="K105" t="n">
        <x:f>I105+J105</x:f>
        <x:v>0</x:v>
      </x:c>
      <x:c r="L105" s="19" t="str">
        <x:f>IF(K105=0,"",I105/K105)</x:f>
      </x:c>
      <x:c r="M105" s="44"/>
    </x:row>
    <x:row r="106">
      <x:c r="K106" t="n">
        <x:f>I106+J106</x:f>
        <x:v>0</x:v>
      </x:c>
      <x:c r="L106" s="19" t="str">
        <x:f>IF(K106=0,"",I106/K106)</x:f>
      </x:c>
      <x:c r="M106" s="44"/>
    </x:row>
    <x:row r="107">
      <x:c r="K107" t="n">
        <x:f>I107+J107</x:f>
        <x:v>0</x:v>
      </x:c>
      <x:c r="L107" s="19" t="str">
        <x:f>IF(K107=0,"",I107/K107)</x:f>
      </x:c>
      <x:c r="M107" s="44"/>
    </x:row>
    <x:row r="108">
      <x:c r="K108" t="n">
        <x:f>I108+J108</x:f>
        <x:v>0</x:v>
      </x:c>
      <x:c r="L108" s="19" t="str">
        <x:f>IF(K108=0,"",I108/K108)</x:f>
      </x:c>
      <x:c r="M108" s="44"/>
    </x:row>
    <x:row r="109">
      <x:c r="K109" t="n">
        <x:f>I109+J109</x:f>
        <x:v>0</x:v>
      </x:c>
      <x:c r="L109" s="19" t="str">
        <x:f>IF(K109=0,"",I109/K109)</x:f>
      </x:c>
      <x:c r="M109" s="44"/>
    </x:row>
    <x:row r="110">
      <x:c r="K110" t="n">
        <x:f>I110+J110</x:f>
        <x:v>0</x:v>
      </x:c>
      <x:c r="L110" s="19" t="str">
        <x:f>IF(K110=0,"",I110/K110)</x:f>
      </x:c>
      <x:c r="M110" s="44"/>
    </x:row>
    <x:row r="111">
      <x:c r="K111" t="n">
        <x:f>I111+J111</x:f>
        <x:v>0</x:v>
      </x:c>
      <x:c r="L111" s="19" t="str">
        <x:f>IF(K111=0,"",I111/K111)</x:f>
      </x:c>
      <x:c r="M111" s="44"/>
    </x:row>
    <x:row r="112">
      <x:c r="K112" t="n">
        <x:f>I112+J112</x:f>
        <x:v>0</x:v>
      </x:c>
      <x:c r="L112" s="19" t="str">
        <x:f>IF(K112=0,"",I112/K112)</x:f>
      </x:c>
      <x:c r="M112" s="44"/>
    </x:row>
    <x:row r="113">
      <x:c r="K113" t="n">
        <x:f>I113+J113</x:f>
        <x:v>0</x:v>
      </x:c>
      <x:c r="L113" s="19" t="str">
        <x:f>IF(K113=0,"",I113/K113)</x:f>
      </x:c>
      <x:c r="M113" s="44"/>
    </x:row>
    <x:row r="114">
      <x:c r="K114" t="n">
        <x:f>I114+J114</x:f>
        <x:v>0</x:v>
      </x:c>
      <x:c r="L114" s="19" t="str">
        <x:f>IF(K114=0,"",I114/K114)</x:f>
      </x:c>
      <x:c r="M114" s="44"/>
    </x:row>
    <x:row r="115">
      <x:c r="K115" t="n">
        <x:f>I115+J115</x:f>
        <x:v>0</x:v>
      </x:c>
      <x:c r="L115" s="19" t="str">
        <x:f>IF(K115=0,"",I115/K115)</x:f>
      </x:c>
      <x:c r="M115" s="44"/>
    </x:row>
    <x:row r="116">
      <x:c r="K116" t="n">
        <x:f>I116+J116</x:f>
        <x:v>0</x:v>
      </x:c>
      <x:c r="L116" s="19" t="str">
        <x:f>IF(K116=0,"",I116/K116)</x:f>
      </x:c>
      <x:c r="M116" s="44"/>
    </x:row>
    <x:row r="117">
      <x:c r="K117" t="n">
        <x:f>I117+J117</x:f>
        <x:v>0</x:v>
      </x:c>
      <x:c r="L117" s="19" t="str">
        <x:f>IF(K117=0,"",I117/K117)</x:f>
      </x:c>
      <x:c r="M117" s="44"/>
    </x:row>
    <x:row r="118">
      <x:c r="K118" t="n">
        <x:f>I118+J118</x:f>
        <x:v>0</x:v>
      </x:c>
      <x:c r="L118" s="19" t="str">
        <x:f>IF(K118=0,"",I118/K118)</x:f>
      </x:c>
      <x:c r="M118" s="44"/>
    </x:row>
    <x:row r="119">
      <x:c r="K119" t="n">
        <x:f>I119+J119</x:f>
        <x:v>0</x:v>
      </x:c>
      <x:c r="L119" s="19" t="str">
        <x:f>IF(K119=0,"",I119/K119)</x:f>
      </x:c>
      <x:c r="M119" s="44"/>
    </x:row>
    <x:row r="120">
      <x:c r="K120" t="n">
        <x:f>I120+J120</x:f>
        <x:v>0</x:v>
      </x:c>
      <x:c r="L120" s="19" t="str">
        <x:f>IF(K120=0,"",I120/K120)</x:f>
      </x:c>
      <x:c r="M120" s="44"/>
    </x:row>
    <x:row r="121">
      <x:c r="K121" t="n">
        <x:f>I121+J121</x:f>
        <x:v>0</x:v>
      </x:c>
      <x:c r="L121" s="19" t="str">
        <x:f>IF(K121=0,"",I121/K121)</x:f>
      </x:c>
      <x:c r="M121" s="44"/>
    </x:row>
    <x:row r="122">
      <x:c r="K122" t="n">
        <x:f>I122+J122</x:f>
        <x:v>0</x:v>
      </x:c>
      <x:c r="L122" s="19" t="str">
        <x:f>IF(K122=0,"",I122/K122)</x:f>
      </x:c>
      <x:c r="M122" s="44"/>
    </x:row>
    <x:row r="123">
      <x:c r="K123" t="n">
        <x:f>I123+J123</x:f>
        <x:v>0</x:v>
      </x:c>
      <x:c r="L123" s="19" t="str">
        <x:f>IF(K123=0,"",I123/K123)</x:f>
      </x:c>
      <x:c r="M123" s="44"/>
    </x:row>
    <x:row r="124">
      <x:c r="K124" t="n">
        <x:f>I124+J124</x:f>
        <x:v>0</x:v>
      </x:c>
      <x:c r="L124" s="19" t="str">
        <x:f>IF(K124=0,"",I124/K124)</x:f>
      </x:c>
      <x:c r="M124" s="44"/>
    </x:row>
    <x:row r="125">
      <x:c r="K125" t="n">
        <x:f>I125+J125</x:f>
        <x:v>0</x:v>
      </x:c>
      <x:c r="L125" s="19" t="str">
        <x:f>IF(K125=0,"",I125/K125)</x:f>
      </x:c>
      <x:c r="M125" s="44"/>
    </x:row>
    <x:row r="126">
      <x:c r="K126" t="n">
        <x:f>I126+J126</x:f>
        <x:v>0</x:v>
      </x:c>
      <x:c r="L126" s="19" t="str">
        <x:f>IF(K126=0,"",I126/K126)</x:f>
      </x:c>
      <x:c r="M126" s="44"/>
    </x:row>
    <x:row r="127">
      <x:c r="K127" t="n">
        <x:f>I127+J127</x:f>
        <x:v>0</x:v>
      </x:c>
      <x:c r="L127" s="19" t="str">
        <x:f>IF(K127=0,"",I127/K127)</x:f>
      </x:c>
      <x:c r="M127" s="44"/>
    </x:row>
    <x:row r="128">
      <x:c r="K128" t="n">
        <x:f>I128+J128</x:f>
        <x:v>0</x:v>
      </x:c>
      <x:c r="L128" s="19" t="str">
        <x:f>IF(K128=0,"",I128/K128)</x:f>
      </x:c>
      <x:c r="M128" s="44"/>
    </x:row>
    <x:row r="129">
      <x:c r="K129" t="n">
        <x:f>I129+J129</x:f>
        <x:v>0</x:v>
      </x:c>
      <x:c r="L129" s="19" t="str">
        <x:f>IF(K129=0,"",I129/K129)</x:f>
      </x:c>
      <x:c r="M129" s="44"/>
    </x:row>
    <x:row r="130">
      <x:c r="K130" t="n">
        <x:f>I130+J130</x:f>
        <x:v>0</x:v>
      </x:c>
      <x:c r="L130" s="19" t="str">
        <x:f>IF(K130=0,"",I130/K130)</x:f>
      </x:c>
      <x:c r="M130" s="44"/>
    </x:row>
    <x:row r="131">
      <x:c r="K131" t="n">
        <x:f>I131+J131</x:f>
        <x:v>0</x:v>
      </x:c>
      <x:c r="L131" s="19" t="str">
        <x:f>IF(K131=0,"",I131/K131)</x:f>
      </x:c>
      <x:c r="M131" s="44"/>
    </x:row>
    <x:row r="132">
      <x:c r="K132" t="n">
        <x:f>I132+J132</x:f>
        <x:v>0</x:v>
      </x:c>
      <x:c r="L132" s="19" t="str">
        <x:f>IF(K132=0,"",I132/K132)</x:f>
      </x:c>
      <x:c r="M132" s="44"/>
    </x:row>
    <x:row r="133">
      <x:c r="K133" t="n">
        <x:f>I133+J133</x:f>
        <x:v>0</x:v>
      </x:c>
      <x:c r="L133" s="19" t="str">
        <x:f>IF(K133=0,"",I133/K133)</x:f>
      </x:c>
      <x:c r="M133" s="44"/>
    </x:row>
    <x:row r="134">
      <x:c r="K134" t="n">
        <x:f>I134+J134</x:f>
        <x:v>0</x:v>
      </x:c>
      <x:c r="L134" s="19" t="str">
        <x:f>IF(K134=0,"",I134/K134)</x:f>
      </x:c>
      <x:c r="M134" s="44"/>
    </x:row>
    <x:row r="135">
      <x:c r="K135" t="n">
        <x:f>I135+J135</x:f>
        <x:v>0</x:v>
      </x:c>
      <x:c r="L135" s="19" t="str">
        <x:f>IF(K135=0,"",I135/K135)</x:f>
      </x:c>
      <x:c r="M135" s="44"/>
    </x:row>
    <x:row r="136">
      <x:c r="K136" t="n">
        <x:f>I136+J136</x:f>
        <x:v>0</x:v>
      </x:c>
      <x:c r="L136" s="19" t="str">
        <x:f>IF(K136=0,"",I136/K136)</x:f>
      </x:c>
      <x:c r="M136" s="44"/>
    </x:row>
    <x:row r="137">
      <x:c r="K137" t="n">
        <x:f>I137+J137</x:f>
        <x:v>0</x:v>
      </x:c>
      <x:c r="L137" s="19" t="str">
        <x:f>IF(K137=0,"",I137/K137)</x:f>
      </x:c>
      <x:c r="M137" s="44"/>
    </x:row>
    <x:row r="138">
      <x:c r="K138" t="n">
        <x:f>I138+J138</x:f>
        <x:v>0</x:v>
      </x:c>
      <x:c r="L138" s="19" t="str">
        <x:f>IF(K138=0,"",I138/K138)</x:f>
      </x:c>
      <x:c r="M138" s="44"/>
    </x:row>
    <x:row r="139">
      <x:c r="K139" t="n">
        <x:f>I139+J139</x:f>
        <x:v>0</x:v>
      </x:c>
      <x:c r="L139" s="19" t="str">
        <x:f>IF(K139=0,"",I139/K139)</x:f>
      </x:c>
      <x:c r="M139" s="44"/>
    </x:row>
    <x:row r="140">
      <x:c r="K140" t="n">
        <x:f>I140+J140</x:f>
        <x:v>0</x:v>
      </x:c>
      <x:c r="L140" s="19" t="str">
        <x:f>IF(K140=0,"",I140/K140)</x:f>
      </x:c>
      <x:c r="M140" s="44"/>
    </x:row>
    <x:row r="141">
      <x:c r="K141" t="n">
        <x:f>I141+J141</x:f>
        <x:v>0</x:v>
      </x:c>
      <x:c r="L141" s="19" t="str">
        <x:f>IF(K141=0,"",I141/K141)</x:f>
      </x:c>
      <x:c r="M141" s="44"/>
    </x:row>
    <x:row r="142">
      <x:c r="K142" t="n">
        <x:f>I142+J142</x:f>
        <x:v>0</x:v>
      </x:c>
      <x:c r="L142" s="19" t="str">
        <x:f>IF(K142=0,"",I142/K142)</x:f>
      </x:c>
      <x:c r="M142" s="44"/>
    </x:row>
    <x:row r="143">
      <x:c r="K143" t="n">
        <x:f>I143+J143</x:f>
        <x:v>0</x:v>
      </x:c>
      <x:c r="L143" s="19" t="str">
        <x:f>IF(K143=0,"",I143/K143)</x:f>
      </x:c>
      <x:c r="M143" s="44"/>
    </x:row>
    <x:row r="144">
      <x:c r="K144" t="n">
        <x:f>I144+J144</x:f>
        <x:v>0</x:v>
      </x:c>
      <x:c r="L144" s="19" t="str">
        <x:f>IF(K144=0,"",I144/K144)</x:f>
      </x:c>
      <x:c r="M144" s="44"/>
    </x:row>
    <x:row r="145">
      <x:c r="K145" t="n">
        <x:f>I145+J145</x:f>
        <x:v>0</x:v>
      </x:c>
      <x:c r="L145" s="19" t="str">
        <x:f>IF(K145=0,"",I145/K145)</x:f>
      </x:c>
      <x:c r="M145" s="44"/>
    </x:row>
    <x:row r="146">
      <x:c r="K146" t="n">
        <x:f>I146+J146</x:f>
        <x:v>0</x:v>
      </x:c>
      <x:c r="L146" s="19" t="str">
        <x:f>IF(K146=0,"",I146/K146)</x:f>
      </x:c>
      <x:c r="M146" s="44"/>
    </x:row>
    <x:row r="147">
      <x:c r="K147" t="n">
        <x:f>I147+J147</x:f>
        <x:v>0</x:v>
      </x:c>
      <x:c r="L147" s="19" t="str">
        <x:f>IF(K147=0,"",I147/K147)</x:f>
      </x:c>
      <x:c r="M147" s="44"/>
    </x:row>
    <x:row r="148">
      <x:c r="K148" t="n">
        <x:f>I148+J148</x:f>
        <x:v>0</x:v>
      </x:c>
      <x:c r="L148" s="19" t="str">
        <x:f>IF(K148=0,"",I148/K148)</x:f>
      </x:c>
      <x:c r="M148" s="44"/>
    </x:row>
    <x:row r="149">
      <x:c r="K149" t="n">
        <x:f>I149+J149</x:f>
        <x:v>0</x:v>
      </x:c>
      <x:c r="L149" s="19" t="str">
        <x:f>IF(K149=0,"",I149/K149)</x:f>
      </x:c>
      <x:c r="M149" s="44"/>
    </x:row>
    <x:row r="150">
      <x:c r="K150" t="n">
        <x:f>I150+J150</x:f>
        <x:v>0</x:v>
      </x:c>
      <x:c r="L150" s="19" t="str">
        <x:f>IF(K150=0,"",I150/K150)</x:f>
      </x:c>
      <x:c r="M150" s="44"/>
    </x:row>
    <x:row r="151">
      <x:c r="K151" t="n">
        <x:f>I151+J151</x:f>
        <x:v>0</x:v>
      </x:c>
      <x:c r="L151" s="19" t="str">
        <x:f>IF(K151=0,"",I151/K151)</x:f>
      </x:c>
      <x:c r="M151" s="44"/>
    </x:row>
    <x:row r="152">
      <x:c r="K152" t="n">
        <x:f>I152+J152</x:f>
        <x:v>0</x:v>
      </x:c>
      <x:c r="L152" s="19" t="str">
        <x:f>IF(K152=0,"",I152/K152)</x:f>
      </x:c>
      <x:c r="M152" s="44"/>
    </x:row>
    <x:row r="153">
      <x:c r="K153" t="n">
        <x:f>I153+J153</x:f>
        <x:v>0</x:v>
      </x:c>
      <x:c r="L153" s="19" t="str">
        <x:f>IF(K153=0,"",I153/K153)</x:f>
      </x:c>
      <x:c r="M153" s="44"/>
    </x:row>
    <x:row r="154">
      <x:c r="K154" t="n">
        <x:f>I154+J154</x:f>
        <x:v>0</x:v>
      </x:c>
      <x:c r="L154" s="19" t="str">
        <x:f>IF(K154=0,"",I154/K154)</x:f>
      </x:c>
      <x:c r="M154" s="44"/>
    </x:row>
    <x:row r="155">
      <x:c r="K155" t="n">
        <x:f>I155+J155</x:f>
        <x:v>0</x:v>
      </x:c>
      <x:c r="L155" s="19" t="str">
        <x:f>IF(K155=0,"",I155/K155)</x:f>
      </x:c>
      <x:c r="M155" s="44"/>
    </x:row>
    <x:row r="156">
      <x:c r="K156" t="n">
        <x:f>I156+J156</x:f>
        <x:v>0</x:v>
      </x:c>
      <x:c r="L156" s="19" t="str">
        <x:f>IF(K156=0,"",I156/K156)</x:f>
      </x:c>
      <x:c r="M156" s="44"/>
    </x:row>
    <x:row r="157">
      <x:c r="K157" t="n">
        <x:f>I157+J157</x:f>
        <x:v>0</x:v>
      </x:c>
      <x:c r="L157" s="19" t="str">
        <x:f>IF(K157=0,"",I157/K157)</x:f>
      </x:c>
      <x:c r="M157" s="44"/>
    </x:row>
    <x:row r="158">
      <x:c r="K158" t="n">
        <x:f>I158+J158</x:f>
        <x:v>0</x:v>
      </x:c>
      <x:c r="L158" s="19" t="str">
        <x:f>IF(K158=0,"",I158/K158)</x:f>
      </x:c>
      <x:c r="M158" s="44"/>
    </x:row>
    <x:row r="159">
      <x:c r="K159" t="n">
        <x:f>I159+J159</x:f>
        <x:v>0</x:v>
      </x:c>
      <x:c r="L159" s="19" t="str">
        <x:f>IF(K159=0,"",I159/K159)</x:f>
      </x:c>
      <x:c r="M159" s="44"/>
    </x:row>
    <x:row r="160">
      <x:c r="K160" t="n">
        <x:f>I160+J160</x:f>
        <x:v>0</x:v>
      </x:c>
      <x:c r="L160" s="19" t="str">
        <x:f>IF(K160=0,"",I160/K160)</x:f>
      </x:c>
      <x:c r="M160" s="44"/>
    </x:row>
    <x:row r="161">
      <x:c r="K161" t="n">
        <x:f>I161+J161</x:f>
        <x:v>0</x:v>
      </x:c>
      <x:c r="L161" s="19" t="str">
        <x:f>IF(K161=0,"",I161/K161)</x:f>
      </x:c>
      <x:c r="M161" s="44"/>
    </x:row>
    <x:row r="162">
      <x:c r="K162" t="n">
        <x:f>I162+J162</x:f>
        <x:v>0</x:v>
      </x:c>
      <x:c r="L162" s="19" t="str">
        <x:f>IF(K162=0,"",I162/K162)</x:f>
      </x:c>
      <x:c r="M162" s="44"/>
    </x:row>
    <x:row r="163">
      <x:c r="K163" t="n">
        <x:f>I163+J163</x:f>
        <x:v>0</x:v>
      </x:c>
      <x:c r="L163" s="19" t="str">
        <x:f>IF(K163=0,"",I163/K163)</x:f>
      </x:c>
      <x:c r="M163" s="44"/>
    </x:row>
    <x:row r="164">
      <x:c r="K164" t="n">
        <x:f>I164+J164</x:f>
        <x:v>0</x:v>
      </x:c>
      <x:c r="L164" s="19" t="str">
        <x:f>IF(K164=0,"",I164/K164)</x:f>
      </x:c>
      <x:c r="M164" s="44"/>
    </x:row>
    <x:row r="165">
      <x:c r="K165" t="n">
        <x:f>I165+J165</x:f>
        <x:v>0</x:v>
      </x:c>
      <x:c r="L165" s="19" t="str">
        <x:f>IF(K165=0,"",I165/K165)</x:f>
      </x:c>
      <x:c r="M165" s="44"/>
    </x:row>
    <x:row r="166">
      <x:c r="K166" t="n">
        <x:f>I166+J166</x:f>
        <x:v>0</x:v>
      </x:c>
      <x:c r="L166" s="19" t="str">
        <x:f>IF(K166=0,"",I166/K166)</x:f>
      </x:c>
      <x:c r="M166" s="44"/>
    </x:row>
    <x:row r="167">
      <x:c r="K167" t="n">
        <x:f>I167+J167</x:f>
        <x:v>0</x:v>
      </x:c>
      <x:c r="L167" s="19" t="str">
        <x:f>IF(K167=0,"",I167/K167)</x:f>
      </x:c>
      <x:c r="M167" s="44"/>
    </x:row>
    <x:row r="168">
      <x:c r="K168" t="n">
        <x:f>I168+J168</x:f>
        <x:v>0</x:v>
      </x:c>
      <x:c r="L168" s="19" t="str">
        <x:f>IF(K168=0,"",I168/K168)</x:f>
      </x:c>
      <x:c r="M168" s="44"/>
    </x:row>
    <x:row r="169">
      <x:c r="K169" t="n">
        <x:f>I169+J169</x:f>
        <x:v>0</x:v>
      </x:c>
      <x:c r="L169" s="19" t="str">
        <x:f>IF(K169=0,"",I169/K169)</x:f>
      </x:c>
      <x:c r="M169" s="44"/>
    </x:row>
    <x:row r="170">
      <x:c r="K170" t="n">
        <x:f>I170+J170</x:f>
        <x:v>0</x:v>
      </x:c>
      <x:c r="L170" s="19" t="str">
        <x:f>IF(K170=0,"",I170/K170)</x:f>
      </x:c>
      <x:c r="M170" s="44"/>
    </x:row>
    <x:row r="171">
      <x:c r="K171" t="n">
        <x:f>I171+J171</x:f>
        <x:v>0</x:v>
      </x:c>
      <x:c r="L171" s="19" t="str">
        <x:f>IF(K171=0,"",I171/K171)</x:f>
      </x:c>
      <x:c r="M171" s="44"/>
    </x:row>
    <x:row r="172">
      <x:c r="K172" t="n">
        <x:f>I172+J172</x:f>
        <x:v>0</x:v>
      </x:c>
      <x:c r="L172" s="19" t="str">
        <x:f>IF(K172=0,"",I172/K172)</x:f>
      </x:c>
      <x:c r="M172" s="44"/>
    </x:row>
    <x:row r="173">
      <x:c r="K173" t="n">
        <x:f>I173+J173</x:f>
        <x:v>0</x:v>
      </x:c>
      <x:c r="L173" s="19" t="str">
        <x:f>IF(K173=0,"",I173/K173)</x:f>
      </x:c>
      <x:c r="M173" s="44"/>
    </x:row>
    <x:row r="174">
      <x:c r="K174" t="n">
        <x:f>I174+J174</x:f>
        <x:v>0</x:v>
      </x:c>
      <x:c r="L174" s="19" t="str">
        <x:f>IF(K174=0,"",I174/K174)</x:f>
      </x:c>
      <x:c r="M174" s="44"/>
    </x:row>
    <x:row r="175">
      <x:c r="K175" t="n">
        <x:f>I175+J175</x:f>
        <x:v>0</x:v>
      </x:c>
      <x:c r="L175" s="19" t="str">
        <x:f>IF(K175=0,"",I175/K175)</x:f>
      </x:c>
      <x:c r="M175" s="44"/>
    </x:row>
    <x:row r="176">
      <x:c r="K176" t="n">
        <x:f>I176+J176</x:f>
        <x:v>0</x:v>
      </x:c>
      <x:c r="L176" s="19" t="str">
        <x:f>IF(K176=0,"",I176/K176)</x:f>
      </x:c>
      <x:c r="M176" s="44"/>
    </x:row>
    <x:row r="177">
      <x:c r="K177" t="n">
        <x:f>I177+J177</x:f>
        <x:v>0</x:v>
      </x:c>
      <x:c r="L177" s="19" t="str">
        <x:f>IF(K177=0,"",I177/K177)</x:f>
      </x:c>
      <x:c r="M177" s="44"/>
    </x:row>
    <x:row r="178">
      <x:c r="K178" t="n">
        <x:f>I178+J178</x:f>
        <x:v>0</x:v>
      </x:c>
      <x:c r="L178" s="19" t="str">
        <x:f>IF(K178=0,"",I178/K178)</x:f>
      </x:c>
      <x:c r="M178" s="44"/>
    </x:row>
    <x:row r="179">
      <x:c r="K179" t="n">
        <x:f>I179+J179</x:f>
        <x:v>0</x:v>
      </x:c>
      <x:c r="L179" s="19" t="str">
        <x:f>IF(K179=0,"",I179/K179)</x:f>
      </x:c>
      <x:c r="M179" s="44"/>
    </x:row>
    <x:row r="180">
      <x:c r="K180" t="n">
        <x:f>I180+J180</x:f>
        <x:v>0</x:v>
      </x:c>
      <x:c r="L180" s="19" t="str">
        <x:f>IF(K180=0,"",I180/K180)</x:f>
      </x:c>
      <x:c r="M180" s="44"/>
    </x:row>
    <x:row r="181">
      <x:c r="K181" t="n">
        <x:f>I181+J181</x:f>
        <x:v>0</x:v>
      </x:c>
      <x:c r="L181" s="19" t="str">
        <x:f>IF(K181=0,"",I181/K181)</x:f>
      </x:c>
      <x:c r="M181" s="44"/>
    </x:row>
    <x:row r="182">
      <x:c r="K182" t="n">
        <x:f>I182+J182</x:f>
        <x:v>0</x:v>
      </x:c>
      <x:c r="L182" s="19" t="str">
        <x:f>IF(K182=0,"",I182/K182)</x:f>
      </x:c>
      <x:c r="M182" s="44"/>
    </x:row>
    <x:row r="183">
      <x:c r="K183" t="n">
        <x:f>I183+J183</x:f>
        <x:v>0</x:v>
      </x:c>
      <x:c r="L183" s="19" t="str">
        <x:f>IF(K183=0,"",I183/K183)</x:f>
      </x:c>
      <x:c r="M183" s="44"/>
    </x:row>
    <x:row r="184">
      <x:c r="K184" t="n">
        <x:f>I184+J184</x:f>
        <x:v>0</x:v>
      </x:c>
      <x:c r="L184" s="19" t="str">
        <x:f>IF(K184=0,"",I184/K184)</x:f>
      </x:c>
      <x:c r="M184" s="44"/>
    </x:row>
    <x:row r="185">
      <x:c r="K185" t="n">
        <x:f>I185+J185</x:f>
        <x:v>0</x:v>
      </x:c>
      <x:c r="L185" s="19" t="str">
        <x:f>IF(K185=0,"",I185/K185)</x:f>
      </x:c>
      <x:c r="M185" s="44"/>
    </x:row>
    <x:row r="186">
      <x:c r="K186" t="n">
        <x:f>I186+J186</x:f>
        <x:v>0</x:v>
      </x:c>
      <x:c r="L186" s="19" t="str">
        <x:f>IF(K186=0,"",I186/K186)</x:f>
      </x:c>
      <x:c r="M186" s="44"/>
    </x:row>
    <x:row r="187">
      <x:c r="K187" t="n">
        <x:f>I187+J187</x:f>
        <x:v>0</x:v>
      </x:c>
      <x:c r="L187" s="19" t="str">
        <x:f>IF(K187=0,"",I187/K187)</x:f>
      </x:c>
      <x:c r="M187" s="44"/>
    </x:row>
    <x:row r="188">
      <x:c r="K188" t="n">
        <x:f>I188+J188</x:f>
        <x:v>0</x:v>
      </x:c>
      <x:c r="L188" s="19" t="str">
        <x:f>IF(K188=0,"",I188/K188)</x:f>
      </x:c>
      <x:c r="M188" s="44"/>
    </x:row>
    <x:row r="189">
      <x:c r="K189" t="n">
        <x:f>I189+J189</x:f>
        <x:v>0</x:v>
      </x:c>
      <x:c r="L189" s="19" t="str">
        <x:f>IF(K189=0,"",I189/K189)</x:f>
      </x:c>
      <x:c r="M189" s="44"/>
    </x:row>
    <x:row r="190">
      <x:c r="K190" t="n">
        <x:f>I190+J190</x:f>
        <x:v>0</x:v>
      </x:c>
      <x:c r="L190" s="19" t="str">
        <x:f>IF(K190=0,"",I190/K190)</x:f>
      </x:c>
      <x:c r="M190" s="44"/>
    </x:row>
    <x:row r="191">
      <x:c r="K191" t="n">
        <x:f>I191+J191</x:f>
        <x:v>0</x:v>
      </x:c>
      <x:c r="L191" s="19" t="str">
        <x:f>IF(K191=0,"",I191/K191)</x:f>
      </x:c>
      <x:c r="M191" s="44"/>
    </x:row>
    <x:row r="192">
      <x:c r="K192" t="n">
        <x:f>I192+J192</x:f>
        <x:v>0</x:v>
      </x:c>
      <x:c r="L192" s="19" t="str">
        <x:f>IF(K192=0,"",I192/K192)</x:f>
      </x:c>
      <x:c r="M192" s="44"/>
    </x:row>
    <x:row r="193">
      <x:c r="K193" t="n">
        <x:f>I193+J193</x:f>
        <x:v>0</x:v>
      </x:c>
      <x:c r="L193" s="19" t="str">
        <x:f>IF(K193=0,"",I193/K193)</x:f>
      </x:c>
      <x:c r="M193" s="44"/>
    </x:row>
    <x:row r="194">
      <x:c r="K194" t="n">
        <x:f>I194+J194</x:f>
        <x:v>0</x:v>
      </x:c>
      <x:c r="L194" s="19" t="str">
        <x:f>IF(K194=0,"",I194/K194)</x:f>
      </x:c>
      <x:c r="M194" s="44"/>
    </x:row>
    <x:row r="195">
      <x:c r="K195" t="n">
        <x:f>I195+J195</x:f>
        <x:v>0</x:v>
      </x:c>
      <x:c r="L195" s="19" t="str">
        <x:f>IF(K195=0,"",I195/K195)</x:f>
      </x:c>
      <x:c r="M195" s="44"/>
    </x:row>
    <x:row r="196">
      <x:c r="K196" t="n">
        <x:f>I196+J196</x:f>
        <x:v>0</x:v>
      </x:c>
      <x:c r="L196" s="19" t="str">
        <x:f>IF(K196=0,"",I196/K196)</x:f>
      </x:c>
      <x:c r="M196" s="44"/>
    </x:row>
    <x:row r="197">
      <x:c r="K197" t="n">
        <x:f>I197+J197</x:f>
        <x:v>0</x:v>
      </x:c>
      <x:c r="L197" s="19" t="str">
        <x:f>IF(K197=0,"",I197/K197)</x:f>
      </x:c>
      <x:c r="M197" s="44"/>
    </x:row>
    <x:row r="198">
      <x:c r="K198" t="n">
        <x:f>I198+J198</x:f>
        <x:v>0</x:v>
      </x:c>
      <x:c r="L198" s="19" t="str">
        <x:f>IF(K198=0,"",I198/K198)</x:f>
      </x:c>
      <x:c r="M198" s="44"/>
    </x:row>
    <x:row r="199">
      <x:c r="K199" t="n">
        <x:f>I199+J199</x:f>
        <x:v>0</x:v>
      </x:c>
      <x:c r="L199" s="19" t="str">
        <x:f>IF(K199=0,"",I199/K199)</x:f>
      </x:c>
      <x:c r="M199" s="44"/>
    </x:row>
    <x:row r="200">
      <x:c r="K200" t="n">
        <x:f>I200+J200</x:f>
        <x:v>0</x:v>
      </x:c>
      <x:c r="L200" s="19" t="str">
        <x:f>IF(K200=0,"",I200/K200)</x:f>
      </x:c>
      <x:c r="M200" s="44"/>
    </x:row>
    <x:row r="201">
      <x:c r="K201" t="n">
        <x:f>I201+J201</x:f>
        <x:v>0</x:v>
      </x:c>
      <x:c r="L201" s="19" t="str">
        <x:f>IF(K201=0,"",I201/K201)</x:f>
      </x:c>
      <x:c r="M201" s="44"/>
    </x:row>
    <x:row r="202">
      <x:c r="K202" t="n">
        <x:f>I202+J202</x:f>
        <x:v>0</x:v>
      </x:c>
      <x:c r="L202" s="19" t="str">
        <x:f>IF(K202=0,"",I202/K202)</x:f>
      </x:c>
      <x:c r="M202" s="44"/>
    </x:row>
    <x:row r="203">
      <x:c r="K203" t="n">
        <x:f>I203+J203</x:f>
        <x:v>0</x:v>
      </x:c>
      <x:c r="L203" s="19" t="str">
        <x:f>IF(K203=0,"",I203/K203)</x:f>
      </x:c>
      <x:c r="M203" s="44"/>
    </x:row>
    <x:row r="204">
      <x:c r="K204" t="n">
        <x:f>I204+J204</x:f>
        <x:v>0</x:v>
      </x:c>
      <x:c r="L204" s="19" t="str">
        <x:f>IF(K204=0,"",I204/K204)</x:f>
      </x:c>
      <x:c r="M204" s="44"/>
    </x:row>
    <x:row r="205">
      <x:c r="K205" t="n">
        <x:f>I205+J205</x:f>
        <x:v>0</x:v>
      </x:c>
      <x:c r="L205" s="19" t="str">
        <x:f>IF(K205=0,"",I205/K205)</x:f>
      </x:c>
      <x:c r="M205" s="44"/>
    </x:row>
  </x:sheetData>
  <x:mergeCells>
    <x:mergeCell ref="A2:M2"/>
  </x:mergeCells>
  <x:pageMargins left="0.7" right="0.7" top="0.75" bottom="0.75" header="0.3" footer="0.3"/>
  <x:tableParts count="1">
    <x:tablePart xmlns:r="http://schemas.openxmlformats.org/officeDocument/2006/relationships" r:id="Re3d095974a85415b"/>
  </x:tableParts>
</x:worksheet>
</file>

<file path=xl/worksheets/sheet5.xml><?xml version="1.0" encoding="utf-8"?>
<x:worksheet xmlns:x="http://schemas.openxmlformats.org/spreadsheetml/2006/main">
  <x:sheetPr>
    <x:tabColor rgb="FF6B7280"/>
  </x:sheetPr>
  <x:sheetViews>
    <x:sheetView showGridLines="0" workbookViewId="0">
      <x:pane ySplit="5" topLeftCell="A6" activePane="bottomLeft" state="frozen"/>
    </x:sheetView>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60" hidden="0" customWidth="1"/>
  </x:cols>
  <x:sheetData>
    <x:row r="1">
      <x:c r="A1" s="1"/>
      <x:c r="B1" s="1"/>
      <x:c r="C1" s="1"/>
      <x:c r="D1" s="1"/>
      <x:c r="E1" s="1"/>
      <x:c r="F1" s="1"/>
      <x:c r="G1" s="1"/>
      <x:c r="H1" s="1"/>
      <x:c r="I1" s="1"/>
      <x:c r="J1" s="1"/>
      <x:c r="K1" s="1"/>
      <x:c r="L1" s="1"/>
      <x:c r="M1" s="1"/>
      <x:c r="N1" s="1"/>
      <x:c r="O1" s="1"/>
      <x:c r="P1" s="1"/>
      <x:c r="Q1" s="1"/>
      <x:c r="R1" s="1"/>
    </x:row>
    <x:row r="2">
      <x:c r="A2" s="2" t="str">
        <x:v>Paper Trades</x:v>
      </x:c>
      <x:c r="B2" s="1"/>
      <x:c r="C2" s="1"/>
      <x:c r="D2" s="1"/>
      <x:c r="E2" s="1"/>
      <x:c r="F2" s="1"/>
      <x:c r="G2" s="1"/>
      <x:c r="H2" s="1"/>
      <x:c r="I2" s="1"/>
      <x:c r="J2" s="1"/>
      <x:c r="K2" s="1"/>
      <x:c r="L2" s="1"/>
      <x:c r="M2" s="1"/>
      <x:c r="N2" s="1"/>
      <x:c r="O2" s="1"/>
      <x:c r="P2" s="1"/>
      <x:c r="Q2" s="1"/>
      <x:c r="R2" s="1"/>
    </x:row>
    <x:row r="3">
      <x:c r="A3" s="3"/>
      <x:c r="B3" s="3"/>
      <x:c r="C3" s="3"/>
      <x:c r="D3" s="3"/>
      <x:c r="E3" s="3"/>
      <x:c r="F3" s="3"/>
      <x:c r="G3" s="3"/>
      <x:c r="H3" s="3"/>
      <x:c r="I3" s="3"/>
      <x:c r="J3" s="3"/>
      <x:c r="K3" s="3"/>
      <x:c r="L3" s="3"/>
      <x:c r="M3" s="3"/>
      <x:c r="N3" s="3"/>
      <x:c r="O3" s="3"/>
      <x:c r="P3" s="3"/>
      <x:c r="Q3" s="3"/>
      <x:c r="R3" s="3"/>
    </x:row>
    <x:row r="4">
      <x:c r="A4" s="1"/>
      <x:c r="B4" s="1"/>
      <x:c r="C4" s="1"/>
      <x:c r="D4" s="1"/>
      <x:c r="E4" s="1"/>
      <x:c r="F4" s="1"/>
      <x:c r="G4" s="1"/>
      <x:c r="H4" s="1"/>
      <x:c r="I4" s="1"/>
      <x:c r="J4" s="1"/>
      <x:c r="K4" s="1"/>
      <x:c r="L4" s="1"/>
      <x:c r="M4" s="1"/>
      <x:c r="N4" s="1"/>
      <x:c r="O4" s="1"/>
      <x:c r="P4" s="1"/>
      <x:c r="Q4" s="1"/>
      <x:c r="R4" s="1"/>
    </x:row>
    <x:row r="5">
      <x:c r="A5" s="24" t="str">
        <x:v>Trade ID</x:v>
      </x:c>
      <x:c r="B5" s="25" t="str">
        <x:v>Thesis ID</x:v>
      </x:c>
      <x:c r="C5" s="25" t="str">
        <x:v>Instrument</x:v>
      </x:c>
      <x:c r="D5" s="25" t="str">
        <x:v>Exposure Type</x:v>
      </x:c>
      <x:c r="E5" s="25" t="str">
        <x:v>Entry Window</x:v>
      </x:c>
      <x:c r="F5" s="25" t="str">
        <x:v>Paper Entry Date</x:v>
      </x:c>
      <x:c r="G5" s="25" t="str">
        <x:v>Entry Price</x:v>
      </x:c>
      <x:c r="H5" s="25" t="str">
        <x:v>Starting Amount</x:v>
      </x:c>
      <x:c r="I5" s="25" t="str">
        <x:v>Units</x:v>
      </x:c>
      <x:c r="J5" s="25" t="str">
        <x:v>Current Price</x:v>
      </x:c>
      <x:c r="K5" s="25" t="str">
        <x:v>Current Value</x:v>
      </x:c>
      <x:c r="L5" s="25" t="str">
        <x:v>Dollar P and L</x:v>
      </x:c>
      <x:c r="M5" s="25" t="str">
        <x:v>Return</x:v>
      </x:c>
      <x:c r="N5" s="25" t="str">
        <x:v>Exit Date</x:v>
      </x:c>
      <x:c r="O5" s="25" t="str">
        <x:v>Exit Price</x:v>
      </x:c>
      <x:c r="P5" s="25" t="str">
        <x:v>Realized Value</x:v>
      </x:c>
      <x:c r="Q5" s="25" t="str">
        <x:v>Realized P and L</x:v>
      </x:c>
      <x:c r="R5" s="26" t="str">
        <x:v>Outcome Notes</x:v>
      </x:c>
    </x:row>
    <x:row r="6" ht="54" customHeight="1">
      <x:c r="A6" s="27" t="str">
        <x:v>PT-2026-001</x:v>
      </x:c>
      <x:c r="B6" s="27" t="str">
        <x:v>EEI-2026-001</x:v>
      </x:c>
      <x:c r="C6" s="27" t="str">
        <x:v>BNO</x:v>
      </x:c>
      <x:c r="D6" s="27" t="str">
        <x:v>Commodity-linked fund</x:v>
      </x:c>
      <x:c r="E6" s="27" t="str">
        <x:v>WAIT</x:v>
      </x:c>
      <x:c r="F6" s="30" t="n">
        <x:v>46273</x:v>
      </x:c>
      <x:c r="G6" s="46" t="n">
        <x:v>57.21</x:v>
      </x:c>
      <x:c r="H6" s="46" t="n">
        <x:v>1000</x:v>
      </x:c>
      <x:c r="I6" s="47" t="n">
        <x:f>H6/G6</x:f>
        <x:v>17.479461632581717</x:v>
      </x:c>
      <x:c r="J6" s="46" t="n">
        <x:v>67.19</x:v>
      </x:c>
      <x:c r="K6" s="46" t="n">
        <x:f>I6*J6</x:f>
        <x:v>1174.4450270931657</x:v>
      </x:c>
      <x:c r="L6" s="46" t="n">
        <x:f>K6-H6</x:f>
        <x:v>174.44502709316566</x:v>
      </x:c>
      <x:c r="M6" s="48" t="n">
        <x:f>L6/H6</x:f>
        <x:v>0.17444502709316567</x:v>
      </x:c>
      <x:c r="N6" s="30"/>
      <x:c r="O6" s="32"/>
      <x:c r="P6" s="32" t="str">
        <x:f>IF(OR(I6="",O6=""),"",I6*O6)</x:f>
      </x:c>
      <x:c r="Q6" s="32" t="str">
        <x:f>IF(P6="","",P6-H6)</x:f>
      </x:c>
      <x:c r="R6" s="29" t="str">
        <x:v>10/16/26 close: $67.19; position value $1,174.45; +$174.45 (+17.44%). BNO gained 3.59% as Brent settled at $109.86 after escalating Middle East supply fears. Direct Brent exposure remains the strongest expression. Historical Entry Window classification: WAIT.</x:v>
      </x:c>
    </x:row>
    <x:row r="7" ht="54" customHeight="1">
      <x:c r="A7" s="27" t="str">
        <x:v>PT-2026-002</x:v>
      </x:c>
      <x:c r="B7" s="27" t="str">
        <x:v>EEI-2026-001</x:v>
      </x:c>
      <x:c r="C7" s="27" t="str">
        <x:v>USO</x:v>
      </x:c>
      <x:c r="D7" s="27" t="str">
        <x:v>Commodity-linked fund</x:v>
      </x:c>
      <x:c r="E7" s="27" t="str">
        <x:v>WAIT</x:v>
      </x:c>
      <x:c r="F7" s="30" t="n">
        <x:v>46273</x:v>
      </x:c>
      <x:c r="G7" s="46" t="n">
        <x:v>144.6</x:v>
      </x:c>
      <x:c r="H7" s="46" t="n">
        <x:v>1000</x:v>
      </x:c>
      <x:c r="I7" s="47" t="n">
        <x:f>H7/G7</x:f>
        <x:v>6.915629322268327</x:v>
      </x:c>
      <x:c r="J7" s="46" t="n">
        <x:v>161.76</x:v>
      </x:c>
      <x:c r="K7" s="46" t="n">
        <x:f>I7*J7</x:f>
        <x:v>1118.6721991701245</x:v>
      </x:c>
      <x:c r="L7" s="46" t="n">
        <x:f>K7-H7</x:f>
        <x:v>118.67219917012449</x:v>
      </x:c>
      <x:c r="M7" s="48" t="n">
        <x:f>L7/H7</x:f>
        <x:v>0.11867219917012449</x:v>
      </x:c>
      <x:c r="N7" s="30"/>
      <x:c r="O7" s="32"/>
      <x:c r="P7" s="32" t="str">
        <x:f>IF(OR(I7="",O7=""),"",I7*O7)</x:f>
      </x:c>
      <x:c r="Q7" s="32" t="str">
        <x:f>IF(P7="","",P7-H7)</x:f>
      </x:c>
      <x:c r="R7" s="29" t="str">
        <x:v>10/16/26 close: $161.76; position value $1,118.67; +$118.67 (+11.87%). USO gained 2.83% as WTI settled at $101.41 amid lower Gulf crude flows and renewed supply-risk pricing. Historical Entry Window classification: WAIT.</x:v>
      </x:c>
    </x:row>
    <x:row r="8" ht="54" customHeight="1">
      <x:c r="A8" s="27" t="str">
        <x:v>PT-2026-003</x:v>
      </x:c>
      <x:c r="B8" s="27" t="str">
        <x:v>EEI-2026-001</x:v>
      </x:c>
      <x:c r="C8" s="27" t="str">
        <x:v>XOP</x:v>
      </x:c>
      <x:c r="D8" s="27" t="str">
        <x:v>Energy equity fund</x:v>
      </x:c>
      <x:c r="E8" s="27" t="str">
        <x:v>WAIT</x:v>
      </x:c>
      <x:c r="F8" s="30" t="n">
        <x:v>46273</x:v>
      </x:c>
      <x:c r="G8" s="46" t="n">
        <x:v>193.84</x:v>
      </x:c>
      <x:c r="H8" s="46" t="n">
        <x:v>1000</x:v>
      </x:c>
      <x:c r="I8" s="47" t="n">
        <x:f>H8/G8</x:f>
        <x:v>5.158893933140734</x:v>
      </x:c>
      <x:c r="J8" s="46" t="n">
        <x:v>200.38</x:v>
      </x:c>
      <x:c r="K8" s="46" t="n">
        <x:f>I8*J8</x:f>
        <x:v>1033.7391663227404</x:v>
      </x:c>
      <x:c r="L8" s="46" t="n">
        <x:f>K8-H8</x:f>
        <x:v>33.7391663227404</x:v>
      </x:c>
      <x:c r="M8" s="48" t="n">
        <x:f>L8/H8</x:f>
        <x:v>0.033739166322740405</x:v>
      </x:c>
      <x:c r="N8" s="30"/>
      <x:c r="O8" s="32"/>
      <x:c r="P8" s="32" t="str">
        <x:f>IF(OR(I8="",O8=""),"",I8*O8)</x:f>
      </x:c>
      <x:c r="Q8" s="32" t="str">
        <x:f>IF(P8="","",P8-H8)</x:f>
      </x:c>
      <x:c r="R8" s="29" t="str">
        <x:v>10/16/26 close: $200.38; position value $1,033.74; +$33.74 (+3.37%). XOP gained 2.82% but still trails both direct crude funds, confirming the producer-equity expression is less clean. Historical Entry Window classification: WAIT.</x:v>
      </x:c>
    </x:row>
    <x:row r="9">
      <x:c r="A9" s="27"/>
      <x:c r="B9" s="27"/>
      <x:c r="C9" s="27"/>
      <x:c r="D9" s="27"/>
      <x:c r="E9" s="27"/>
      <x:c r="F9" s="30"/>
      <x:c r="G9" s="32"/>
      <x:c r="H9" s="32"/>
      <x:c r="I9" s="27" t="str">
        <x:f>IFERROR(H9/G9,"")</x:f>
      </x:c>
      <x:c r="J9" s="32"/>
      <x:c r="K9" s="32" t="str">
        <x:f>IF(OR(I9="",J9=""),"",I9*J9)</x:f>
      </x:c>
      <x:c r="L9" s="32" t="str">
        <x:f>IF(K9="","",K9-H9)</x:f>
      </x:c>
      <x:c r="M9" s="31" t="str">
        <x:f>IFERROR(L9/H9,"")</x:f>
      </x:c>
      <x:c r="N9" s="30"/>
      <x:c r="O9" s="32"/>
      <x:c r="P9" s="32" t="str">
        <x:f>IF(OR(I9="",O9=""),"",I9*O9)</x:f>
      </x:c>
      <x:c r="Q9" s="32" t="str">
        <x:f>IF(P9="","",P9-H9)</x:f>
      </x:c>
      <x:c r="R9" s="29"/>
    </x:row>
    <x:row r="10">
      <x:c r="A10" s="27"/>
      <x:c r="B10" s="27"/>
      <x:c r="C10" s="27"/>
      <x:c r="D10" s="27"/>
      <x:c r="E10" s="27"/>
      <x:c r="F10" s="30"/>
      <x:c r="G10" s="32"/>
      <x:c r="H10" s="32"/>
      <x:c r="I10" s="27" t="str">
        <x:f>IFERROR(H10/G10,"")</x:f>
      </x:c>
      <x:c r="J10" s="32"/>
      <x:c r="K10" s="32" t="str">
        <x:f>IF(OR(I10="",J10=""),"",I10*J10)</x:f>
      </x:c>
      <x:c r="L10" s="32" t="str">
        <x:f>IF(K10="","",K10-H10)</x:f>
      </x:c>
      <x:c r="M10" s="31" t="str">
        <x:f>IFERROR(L10/H10,"")</x:f>
      </x:c>
      <x:c r="N10" s="30"/>
      <x:c r="O10" s="32"/>
      <x:c r="P10" s="32" t="str">
        <x:f>IF(OR(I10="",O10=""),"",I10*O10)</x:f>
      </x:c>
      <x:c r="Q10" s="32" t="str">
        <x:f>IF(P10="","",P10-H10)</x:f>
      </x:c>
      <x:c r="R10" s="29"/>
    </x:row>
    <x:row r="11">
      <x:c r="A11" s="27"/>
      <x:c r="B11" s="27"/>
      <x:c r="C11" s="27"/>
      <x:c r="D11" s="27"/>
      <x:c r="E11" s="27"/>
      <x:c r="F11" s="30"/>
      <x:c r="G11" s="32"/>
      <x:c r="H11" s="32"/>
      <x:c r="I11" s="27" t="str">
        <x:f>IFERROR(H11/G11,"")</x:f>
      </x:c>
      <x:c r="J11" s="32"/>
      <x:c r="K11" s="32" t="str">
        <x:f>IF(OR(I11="",J11=""),"",I11*J11)</x:f>
      </x:c>
      <x:c r="L11" s="32" t="str">
        <x:f>IF(K11="","",K11-H11)</x:f>
      </x:c>
      <x:c r="M11" s="31" t="str">
        <x:f>IFERROR(L11/H11,"")</x:f>
      </x:c>
      <x:c r="N11" s="30"/>
      <x:c r="O11" s="32"/>
      <x:c r="P11" s="32" t="str">
        <x:f>IF(OR(I11="",O11=""),"",I11*O11)</x:f>
      </x:c>
      <x:c r="Q11" s="32" t="str">
        <x:f>IF(P11="","",P11-H11)</x:f>
      </x:c>
      <x:c r="R11" s="29"/>
    </x:row>
    <x:row r="12">
      <x:c r="A12" s="27"/>
      <x:c r="B12" s="27"/>
      <x:c r="C12" s="27"/>
      <x:c r="D12" s="27"/>
      <x:c r="E12" s="27"/>
      <x:c r="F12" s="30"/>
      <x:c r="G12" s="32"/>
      <x:c r="H12" s="32"/>
      <x:c r="I12" s="27" t="str">
        <x:f>IFERROR(H12/G12,"")</x:f>
      </x:c>
      <x:c r="J12" s="32"/>
      <x:c r="K12" s="32" t="str">
        <x:f>IF(OR(I12="",J12=""),"",I12*J12)</x:f>
      </x:c>
      <x:c r="L12" s="32" t="str">
        <x:f>IF(K12="","",K12-H12)</x:f>
      </x:c>
      <x:c r="M12" s="31" t="str">
        <x:f>IFERROR(L12/H12,"")</x:f>
      </x:c>
      <x:c r="N12" s="30"/>
      <x:c r="O12" s="32"/>
      <x:c r="P12" s="32" t="str">
        <x:f>IF(OR(I12="",O12=""),"",I12*O12)</x:f>
      </x:c>
      <x:c r="Q12" s="32" t="str">
        <x:f>IF(P12="","",P12-H12)</x:f>
      </x:c>
      <x:c r="R12" s="29"/>
    </x:row>
    <x:row r="13">
      <x:c r="A13" s="27"/>
      <x:c r="B13" s="27"/>
      <x:c r="C13" s="27"/>
      <x:c r="D13" s="27"/>
      <x:c r="E13" s="27"/>
      <x:c r="F13" s="30"/>
      <x:c r="G13" s="32"/>
      <x:c r="H13" s="32"/>
      <x:c r="I13" s="27" t="str">
        <x:f>IFERROR(H13/G13,"")</x:f>
      </x:c>
      <x:c r="J13" s="32"/>
      <x:c r="K13" s="32" t="str">
        <x:f>IF(OR(I13="",J13=""),"",I13*J13)</x:f>
      </x:c>
      <x:c r="L13" s="32" t="str">
        <x:f>IF(K13="","",K13-H13)</x:f>
      </x:c>
      <x:c r="M13" s="31" t="str">
        <x:f>IFERROR(L13/H13,"")</x:f>
      </x:c>
      <x:c r="N13" s="30"/>
      <x:c r="O13" s="32"/>
      <x:c r="P13" s="32" t="str">
        <x:f>IF(OR(I13="",O13=""),"",I13*O13)</x:f>
      </x:c>
      <x:c r="Q13" s="32" t="str">
        <x:f>IF(P13="","",P13-H13)</x:f>
      </x:c>
      <x:c r="R13" s="29"/>
    </x:row>
    <x:row r="14">
      <x:c r="A14" s="27"/>
      <x:c r="B14" s="27"/>
      <x:c r="C14" s="27"/>
      <x:c r="D14" s="27"/>
      <x:c r="E14" s="27"/>
      <x:c r="F14" s="30"/>
      <x:c r="G14" s="32"/>
      <x:c r="H14" s="32"/>
      <x:c r="I14" s="27" t="str">
        <x:f>IFERROR(H14/G14,"")</x:f>
      </x:c>
      <x:c r="J14" s="32"/>
      <x:c r="K14" s="32" t="str">
        <x:f>IF(OR(I14="",J14=""),"",I14*J14)</x:f>
      </x:c>
      <x:c r="L14" s="32" t="str">
        <x:f>IF(K14="","",K14-H14)</x:f>
      </x:c>
      <x:c r="M14" s="31" t="str">
        <x:f>IFERROR(L14/H14,"")</x:f>
      </x:c>
      <x:c r="N14" s="30"/>
      <x:c r="O14" s="32"/>
      <x:c r="P14" s="32" t="str">
        <x:f>IF(OR(I14="",O14=""),"",I14*O14)</x:f>
      </x:c>
      <x:c r="Q14" s="32" t="str">
        <x:f>IF(P14="","",P14-H14)</x:f>
      </x:c>
      <x:c r="R14" s="29"/>
    </x:row>
    <x:row r="15">
      <x:c r="A15" s="27"/>
      <x:c r="B15" s="27"/>
      <x:c r="C15" s="27"/>
      <x:c r="D15" s="27"/>
      <x:c r="E15" s="27"/>
      <x:c r="F15" s="30"/>
      <x:c r="G15" s="32"/>
      <x:c r="H15" s="32"/>
      <x:c r="I15" s="27" t="str">
        <x:f>IFERROR(H15/G15,"")</x:f>
      </x:c>
      <x:c r="J15" s="32"/>
      <x:c r="K15" s="32" t="str">
        <x:f>IF(OR(I15="",J15=""),"",I15*J15)</x:f>
      </x:c>
      <x:c r="L15" s="32" t="str">
        <x:f>IF(K15="","",K15-H15)</x:f>
      </x:c>
      <x:c r="M15" s="31" t="str">
        <x:f>IFERROR(L15/H15,"")</x:f>
      </x:c>
      <x:c r="N15" s="30"/>
      <x:c r="O15" s="32"/>
      <x:c r="P15" s="32" t="str">
        <x:f>IF(OR(I15="",O15=""),"",I15*O15)</x:f>
      </x:c>
      <x:c r="Q15" s="32" t="str">
        <x:f>IF(P15="","",P15-H15)</x:f>
      </x:c>
      <x:c r="R15" s="29"/>
    </x:row>
    <x:row r="16">
      <x:c r="A16" s="27"/>
      <x:c r="B16" s="27"/>
      <x:c r="C16" s="27"/>
      <x:c r="D16" s="27"/>
      <x:c r="E16" s="27"/>
      <x:c r="F16" s="30"/>
      <x:c r="G16" s="32"/>
      <x:c r="H16" s="32"/>
      <x:c r="I16" s="27" t="str">
        <x:f>IFERROR(H16/G16,"")</x:f>
      </x:c>
      <x:c r="J16" s="32"/>
      <x:c r="K16" s="32" t="str">
        <x:f>IF(OR(I16="",J16=""),"",I16*J16)</x:f>
      </x:c>
      <x:c r="L16" s="32" t="str">
        <x:f>IF(K16="","",K16-H16)</x:f>
      </x:c>
      <x:c r="M16" s="31" t="str">
        <x:f>IFERROR(L16/H16,"")</x:f>
      </x:c>
      <x:c r="N16" s="30"/>
      <x:c r="O16" s="32"/>
      <x:c r="P16" s="32" t="str">
        <x:f>IF(OR(I16="",O16=""),"",I16*O16)</x:f>
      </x:c>
      <x:c r="Q16" s="32" t="str">
        <x:f>IF(P16="","",P16-H16)</x:f>
      </x:c>
      <x:c r="R16" s="29"/>
    </x:row>
    <x:row r="17">
      <x:c r="A17" s="27"/>
      <x:c r="B17" s="27"/>
      <x:c r="C17" s="27"/>
      <x:c r="D17" s="27"/>
      <x:c r="E17" s="27"/>
      <x:c r="F17" s="30"/>
      <x:c r="G17" s="32"/>
      <x:c r="H17" s="32"/>
      <x:c r="I17" s="27" t="str">
        <x:f>IFERROR(H17/G17,"")</x:f>
      </x:c>
      <x:c r="J17" s="32"/>
      <x:c r="K17" s="32" t="str">
        <x:f>IF(OR(I17="",J17=""),"",I17*J17)</x:f>
      </x:c>
      <x:c r="L17" s="32" t="str">
        <x:f>IF(K17="","",K17-H17)</x:f>
      </x:c>
      <x:c r="M17" s="31" t="str">
        <x:f>IFERROR(L17/H17,"")</x:f>
      </x:c>
      <x:c r="N17" s="30"/>
      <x:c r="O17" s="32"/>
      <x:c r="P17" s="32" t="str">
        <x:f>IF(OR(I17="",O17=""),"",I17*O17)</x:f>
      </x:c>
      <x:c r="Q17" s="32" t="str">
        <x:f>IF(P17="","",P17-H17)</x:f>
      </x:c>
      <x:c r="R17" s="29"/>
    </x:row>
    <x:row r="18">
      <x:c r="A18" s="27"/>
      <x:c r="B18" s="27"/>
      <x:c r="C18" s="27"/>
      <x:c r="D18" s="27"/>
      <x:c r="E18" s="27"/>
      <x:c r="F18" s="30"/>
      <x:c r="G18" s="32"/>
      <x:c r="H18" s="32"/>
      <x:c r="I18" s="27" t="str">
        <x:f>IFERROR(H18/G18,"")</x:f>
      </x:c>
      <x:c r="J18" s="32"/>
      <x:c r="K18" s="32" t="str">
        <x:f>IF(OR(I18="",J18=""),"",I18*J18)</x:f>
      </x:c>
      <x:c r="L18" s="32" t="str">
        <x:f>IF(K18="","",K18-H18)</x:f>
      </x:c>
      <x:c r="M18" s="31" t="str">
        <x:f>IFERROR(L18/H18,"")</x:f>
      </x:c>
      <x:c r="N18" s="30"/>
      <x:c r="O18" s="32"/>
      <x:c r="P18" s="32" t="str">
        <x:f>IF(OR(I18="",O18=""),"",I18*O18)</x:f>
      </x:c>
      <x:c r="Q18" s="32" t="str">
        <x:f>IF(P18="","",P18-H18)</x:f>
      </x:c>
      <x:c r="R18" s="29"/>
    </x:row>
    <x:row r="19">
      <x:c r="A19" s="27"/>
      <x:c r="B19" s="27"/>
      <x:c r="C19" s="27"/>
      <x:c r="D19" s="27"/>
      <x:c r="E19" s="27"/>
      <x:c r="F19" s="30"/>
      <x:c r="G19" s="32"/>
      <x:c r="H19" s="32"/>
      <x:c r="I19" s="27" t="str">
        <x:f>IFERROR(H19/G19,"")</x:f>
      </x:c>
      <x:c r="J19" s="32"/>
      <x:c r="K19" s="32" t="str">
        <x:f>IF(OR(I19="",J19=""),"",I19*J19)</x:f>
      </x:c>
      <x:c r="L19" s="32" t="str">
        <x:f>IF(K19="","",K19-H19)</x:f>
      </x:c>
      <x:c r="M19" s="31" t="str">
        <x:f>IFERROR(L19/H19,"")</x:f>
      </x:c>
      <x:c r="N19" s="30"/>
      <x:c r="O19" s="32"/>
      <x:c r="P19" s="32" t="str">
        <x:f>IF(OR(I19="",O19=""),"",I19*O19)</x:f>
      </x:c>
      <x:c r="Q19" s="32" t="str">
        <x:f>IF(P19="","",P19-H19)</x:f>
      </x:c>
      <x:c r="R19" s="29"/>
    </x:row>
    <x:row r="20">
      <x:c r="A20" s="27"/>
      <x:c r="B20" s="27"/>
      <x:c r="C20" s="27"/>
      <x:c r="D20" s="27"/>
      <x:c r="E20" s="27"/>
      <x:c r="F20" s="30"/>
      <x:c r="G20" s="32"/>
      <x:c r="H20" s="32"/>
      <x:c r="I20" s="27" t="str">
        <x:f>IFERROR(H20/G20,"")</x:f>
      </x:c>
      <x:c r="J20" s="32"/>
      <x:c r="K20" s="32" t="str">
        <x:f>IF(OR(I20="",J20=""),"",I20*J20)</x:f>
      </x:c>
      <x:c r="L20" s="32" t="str">
        <x:f>IF(K20="","",K20-H20)</x:f>
      </x:c>
      <x:c r="M20" s="31" t="str">
        <x:f>IFERROR(L20/H20,"")</x:f>
      </x:c>
      <x:c r="N20" s="30"/>
      <x:c r="O20" s="32"/>
      <x:c r="P20" s="32" t="str">
        <x:f>IF(OR(I20="",O20=""),"",I20*O20)</x:f>
      </x:c>
      <x:c r="Q20" s="32" t="str">
        <x:f>IF(P20="","",P20-H20)</x:f>
      </x:c>
      <x:c r="R20" s="29"/>
    </x:row>
    <x:row r="21">
      <x:c r="A21" s="27"/>
      <x:c r="B21" s="27"/>
      <x:c r="C21" s="27"/>
      <x:c r="D21" s="27"/>
      <x:c r="E21" s="27"/>
      <x:c r="F21" s="30"/>
      <x:c r="G21" s="32"/>
      <x:c r="H21" s="32"/>
      <x:c r="I21" s="27" t="str">
        <x:f>IFERROR(H21/G21,"")</x:f>
      </x:c>
      <x:c r="J21" s="32"/>
      <x:c r="K21" s="32" t="str">
        <x:f>IF(OR(I21="",J21=""),"",I21*J21)</x:f>
      </x:c>
      <x:c r="L21" s="32" t="str">
        <x:f>IF(K21="","",K21-H21)</x:f>
      </x:c>
      <x:c r="M21" s="31" t="str">
        <x:f>IFERROR(L21/H21,"")</x:f>
      </x:c>
      <x:c r="N21" s="30"/>
      <x:c r="O21" s="32"/>
      <x:c r="P21" s="32" t="str">
        <x:f>IF(OR(I21="",O21=""),"",I21*O21)</x:f>
      </x:c>
      <x:c r="Q21" s="32" t="str">
        <x:f>IF(P21="","",P21-H21)</x:f>
      </x:c>
      <x:c r="R21" s="29"/>
    </x:row>
    <x:row r="22">
      <x:c r="A22" s="27"/>
      <x:c r="B22" s="27"/>
      <x:c r="C22" s="27"/>
      <x:c r="D22" s="27"/>
      <x:c r="E22" s="27"/>
      <x:c r="F22" s="30"/>
      <x:c r="G22" s="32"/>
      <x:c r="H22" s="32"/>
      <x:c r="I22" s="27" t="str">
        <x:f>IFERROR(H22/G22,"")</x:f>
      </x:c>
      <x:c r="J22" s="32"/>
      <x:c r="K22" s="32" t="str">
        <x:f>IF(OR(I22="",J22=""),"",I22*J22)</x:f>
      </x:c>
      <x:c r="L22" s="32" t="str">
        <x:f>IF(K22="","",K22-H22)</x:f>
      </x:c>
      <x:c r="M22" s="31" t="str">
        <x:f>IFERROR(L22/H22,"")</x:f>
      </x:c>
      <x:c r="N22" s="30"/>
      <x:c r="O22" s="32"/>
      <x:c r="P22" s="32" t="str">
        <x:f>IF(OR(I22="",O22=""),"",I22*O22)</x:f>
      </x:c>
      <x:c r="Q22" s="32" t="str">
        <x:f>IF(P22="","",P22-H22)</x:f>
      </x:c>
      <x:c r="R22" s="29"/>
    </x:row>
    <x:row r="23">
      <x:c r="A23" s="27"/>
      <x:c r="B23" s="27"/>
      <x:c r="C23" s="27"/>
      <x:c r="D23" s="27"/>
      <x:c r="E23" s="27"/>
      <x:c r="F23" s="30"/>
      <x:c r="G23" s="32"/>
      <x:c r="H23" s="32"/>
      <x:c r="I23" s="27" t="str">
        <x:f>IFERROR(H23/G23,"")</x:f>
      </x:c>
      <x:c r="J23" s="32"/>
      <x:c r="K23" s="32" t="str">
        <x:f>IF(OR(I23="",J23=""),"",I23*J23)</x:f>
      </x:c>
      <x:c r="L23" s="32" t="str">
        <x:f>IF(K23="","",K23-H23)</x:f>
      </x:c>
      <x:c r="M23" s="31" t="str">
        <x:f>IFERROR(L23/H23,"")</x:f>
      </x:c>
      <x:c r="N23" s="30"/>
      <x:c r="O23" s="32"/>
      <x:c r="P23" s="32" t="str">
        <x:f>IF(OR(I23="",O23=""),"",I23*O23)</x:f>
      </x:c>
      <x:c r="Q23" s="32" t="str">
        <x:f>IF(P23="","",P23-H23)</x:f>
      </x:c>
      <x:c r="R23" s="29"/>
    </x:row>
    <x:row r="24">
      <x:c r="A24" s="27"/>
      <x:c r="B24" s="27"/>
      <x:c r="C24" s="27"/>
      <x:c r="D24" s="27"/>
      <x:c r="E24" s="27"/>
      <x:c r="F24" s="30"/>
      <x:c r="G24" s="32"/>
      <x:c r="H24" s="32"/>
      <x:c r="I24" s="27" t="str">
        <x:f>IFERROR(H24/G24,"")</x:f>
      </x:c>
      <x:c r="J24" s="32"/>
      <x:c r="K24" s="32" t="str">
        <x:f>IF(OR(I24="",J24=""),"",I24*J24)</x:f>
      </x:c>
      <x:c r="L24" s="32" t="str">
        <x:f>IF(K24="","",K24-H24)</x:f>
      </x:c>
      <x:c r="M24" s="31" t="str">
        <x:f>IFERROR(L24/H24,"")</x:f>
      </x:c>
      <x:c r="N24" s="30"/>
      <x:c r="O24" s="32"/>
      <x:c r="P24" s="32" t="str">
        <x:f>IF(OR(I24="",O24=""),"",I24*O24)</x:f>
      </x:c>
      <x:c r="Q24" s="32" t="str">
        <x:f>IF(P24="","",P24-H24)</x:f>
      </x:c>
      <x:c r="R24" s="29"/>
    </x:row>
    <x:row r="25">
      <x:c r="A25" s="27"/>
      <x:c r="B25" s="27"/>
      <x:c r="C25" s="27"/>
      <x:c r="D25" s="27"/>
      <x:c r="E25" s="27"/>
      <x:c r="F25" s="30"/>
      <x:c r="G25" s="32"/>
      <x:c r="H25" s="32"/>
      <x:c r="I25" s="27" t="str">
        <x:f>IFERROR(H25/G25,"")</x:f>
      </x:c>
      <x:c r="J25" s="32"/>
      <x:c r="K25" s="32" t="str">
        <x:f>IF(OR(I25="",J25=""),"",I25*J25)</x:f>
      </x:c>
      <x:c r="L25" s="32" t="str">
        <x:f>IF(K25="","",K25-H25)</x:f>
      </x:c>
      <x:c r="M25" s="31" t="str">
        <x:f>IFERROR(L25/H25,"")</x:f>
      </x:c>
      <x:c r="N25" s="30"/>
      <x:c r="O25" s="32"/>
      <x:c r="P25" s="32" t="str">
        <x:f>IF(OR(I25="",O25=""),"",I25*O25)</x:f>
      </x:c>
      <x:c r="Q25" s="32" t="str">
        <x:f>IF(P25="","",P25-H25)</x:f>
      </x:c>
      <x:c r="R25" s="29"/>
    </x:row>
    <x:row r="26">
      <x:c r="A26" s="27"/>
      <x:c r="B26" s="27"/>
      <x:c r="C26" s="27"/>
      <x:c r="D26" s="27"/>
      <x:c r="E26" s="27"/>
      <x:c r="F26" s="30"/>
      <x:c r="G26" s="32"/>
      <x:c r="H26" s="32"/>
      <x:c r="I26" s="27" t="str">
        <x:f>IFERROR(H26/G26,"")</x:f>
      </x:c>
      <x:c r="J26" s="32"/>
      <x:c r="K26" s="32" t="str">
        <x:f>IF(OR(I26="",J26=""),"",I26*J26)</x:f>
      </x:c>
      <x:c r="L26" s="32" t="str">
        <x:f>IF(K26="","",K26-H26)</x:f>
      </x:c>
      <x:c r="M26" s="31" t="str">
        <x:f>IFERROR(L26/H26,"")</x:f>
      </x:c>
      <x:c r="N26" s="30"/>
      <x:c r="O26" s="32"/>
      <x:c r="P26" s="32" t="str">
        <x:f>IF(OR(I26="",O26=""),"",I26*O26)</x:f>
      </x:c>
      <x:c r="Q26" s="32" t="str">
        <x:f>IF(P26="","",P26-H26)</x:f>
      </x:c>
      <x:c r="R26" s="29"/>
    </x:row>
    <x:row r="27">
      <x:c r="A27" s="27"/>
      <x:c r="B27" s="27"/>
      <x:c r="C27" s="27"/>
      <x:c r="D27" s="27"/>
      <x:c r="E27" s="27"/>
      <x:c r="F27" s="30"/>
      <x:c r="G27" s="32"/>
      <x:c r="H27" s="32"/>
      <x:c r="I27" s="27" t="str">
        <x:f>IFERROR(H27/G27,"")</x:f>
      </x:c>
      <x:c r="J27" s="32"/>
      <x:c r="K27" s="32" t="str">
        <x:f>IF(OR(I27="",J27=""),"",I27*J27)</x:f>
      </x:c>
      <x:c r="L27" s="32" t="str">
        <x:f>IF(K27="","",K27-H27)</x:f>
      </x:c>
      <x:c r="M27" s="31" t="str">
        <x:f>IFERROR(L27/H27,"")</x:f>
      </x:c>
      <x:c r="N27" s="30"/>
      <x:c r="O27" s="32"/>
      <x:c r="P27" s="32" t="str">
        <x:f>IF(OR(I27="",O27=""),"",I27*O27)</x:f>
      </x:c>
      <x:c r="Q27" s="32" t="str">
        <x:f>IF(P27="","",P27-H27)</x:f>
      </x:c>
      <x:c r="R27" s="29"/>
    </x:row>
    <x:row r="28">
      <x:c r="A28" s="27"/>
      <x:c r="B28" s="27"/>
      <x:c r="C28" s="27"/>
      <x:c r="D28" s="27"/>
      <x:c r="E28" s="27"/>
      <x:c r="F28" s="30"/>
      <x:c r="G28" s="32"/>
      <x:c r="H28" s="32"/>
      <x:c r="I28" s="27" t="str">
        <x:f>IFERROR(H28/G28,"")</x:f>
      </x:c>
      <x:c r="J28" s="32"/>
      <x:c r="K28" s="32" t="str">
        <x:f>IF(OR(I28="",J28=""),"",I28*J28)</x:f>
      </x:c>
      <x:c r="L28" s="32" t="str">
        <x:f>IF(K28="","",K28-H28)</x:f>
      </x:c>
      <x:c r="M28" s="31" t="str">
        <x:f>IFERROR(L28/H28,"")</x:f>
      </x:c>
      <x:c r="N28" s="30"/>
      <x:c r="O28" s="32"/>
      <x:c r="P28" s="32" t="str">
        <x:f>IF(OR(I28="",O28=""),"",I28*O28)</x:f>
      </x:c>
      <x:c r="Q28" s="32" t="str">
        <x:f>IF(P28="","",P28-H28)</x:f>
      </x:c>
      <x:c r="R28" s="29"/>
    </x:row>
    <x:row r="29">
      <x:c r="A29" s="27"/>
      <x:c r="B29" s="27"/>
      <x:c r="C29" s="27"/>
      <x:c r="D29" s="27"/>
      <x:c r="E29" s="27"/>
      <x:c r="F29" s="30"/>
      <x:c r="G29" s="32"/>
      <x:c r="H29" s="32"/>
      <x:c r="I29" s="27" t="str">
        <x:f>IFERROR(H29/G29,"")</x:f>
      </x:c>
      <x:c r="J29" s="32"/>
      <x:c r="K29" s="32" t="str">
        <x:f>IF(OR(I29="",J29=""),"",I29*J29)</x:f>
      </x:c>
      <x:c r="L29" s="32" t="str">
        <x:f>IF(K29="","",K29-H29)</x:f>
      </x:c>
      <x:c r="M29" s="31" t="str">
        <x:f>IFERROR(L29/H29,"")</x:f>
      </x:c>
      <x:c r="N29" s="30"/>
      <x:c r="O29" s="32"/>
      <x:c r="P29" s="32" t="str">
        <x:f>IF(OR(I29="",O29=""),"",I29*O29)</x:f>
      </x:c>
      <x:c r="Q29" s="32" t="str">
        <x:f>IF(P29="","",P29-H29)</x:f>
      </x:c>
      <x:c r="R29" s="29"/>
    </x:row>
    <x:row r="30">
      <x:c r="A30" s="27"/>
      <x:c r="B30" s="27"/>
      <x:c r="C30" s="27"/>
      <x:c r="D30" s="27"/>
      <x:c r="E30" s="27"/>
      <x:c r="F30" s="30"/>
      <x:c r="G30" s="32"/>
      <x:c r="H30" s="32"/>
      <x:c r="I30" s="27" t="str">
        <x:f>IFERROR(H30/G30,"")</x:f>
      </x:c>
      <x:c r="J30" s="32"/>
      <x:c r="K30" s="32" t="str">
        <x:f>IF(OR(I30="",J30=""),"",I30*J30)</x:f>
      </x:c>
      <x:c r="L30" s="32" t="str">
        <x:f>IF(K30="","",K30-H30)</x:f>
      </x:c>
      <x:c r="M30" s="31" t="str">
        <x:f>IFERROR(L30/H30,"")</x:f>
      </x:c>
      <x:c r="N30" s="30"/>
      <x:c r="O30" s="32"/>
      <x:c r="P30" s="32" t="str">
        <x:f>IF(OR(I30="",O30=""),"",I30*O30)</x:f>
      </x:c>
      <x:c r="Q30" s="32" t="str">
        <x:f>IF(P30="","",P30-H30)</x:f>
      </x:c>
      <x:c r="R30" s="29"/>
    </x:row>
    <x:row r="31">
      <x:c r="A31" s="27"/>
      <x:c r="B31" s="27"/>
      <x:c r="C31" s="27"/>
      <x:c r="D31" s="27"/>
      <x:c r="E31" s="27"/>
      <x:c r="F31" s="30"/>
      <x:c r="G31" s="32"/>
      <x:c r="H31" s="32"/>
      <x:c r="I31" s="27" t="str">
        <x:f>IFERROR(H31/G31,"")</x:f>
      </x:c>
      <x:c r="J31" s="32"/>
      <x:c r="K31" s="32" t="str">
        <x:f>IF(OR(I31="",J31=""),"",I31*J31)</x:f>
      </x:c>
      <x:c r="L31" s="32" t="str">
        <x:f>IF(K31="","",K31-H31)</x:f>
      </x:c>
      <x:c r="M31" s="31" t="str">
        <x:f>IFERROR(L31/H31,"")</x:f>
      </x:c>
      <x:c r="N31" s="30"/>
      <x:c r="O31" s="32"/>
      <x:c r="P31" s="32" t="str">
        <x:f>IF(OR(I31="",O31=""),"",I31*O31)</x:f>
      </x:c>
      <x:c r="Q31" s="32" t="str">
        <x:f>IF(P31="","",P31-H31)</x:f>
      </x:c>
      <x:c r="R31" s="29"/>
    </x:row>
    <x:row r="32">
      <x:c r="A32" s="27"/>
      <x:c r="B32" s="27"/>
      <x:c r="C32" s="27"/>
      <x:c r="D32" s="27"/>
      <x:c r="E32" s="27"/>
      <x:c r="F32" s="30"/>
      <x:c r="G32" s="32"/>
      <x:c r="H32" s="32"/>
      <x:c r="I32" s="27" t="str">
        <x:f>IFERROR(H32/G32,"")</x:f>
      </x:c>
      <x:c r="J32" s="32"/>
      <x:c r="K32" s="32" t="str">
        <x:f>IF(OR(I32="",J32=""),"",I32*J32)</x:f>
      </x:c>
      <x:c r="L32" s="32" t="str">
        <x:f>IF(K32="","",K32-H32)</x:f>
      </x:c>
      <x:c r="M32" s="31" t="str">
        <x:f>IFERROR(L32/H32,"")</x:f>
      </x:c>
      <x:c r="N32" s="30"/>
      <x:c r="O32" s="32"/>
      <x:c r="P32" s="32" t="str">
        <x:f>IF(OR(I32="",O32=""),"",I32*O32)</x:f>
      </x:c>
      <x:c r="Q32" s="32" t="str">
        <x:f>IF(P32="","",P32-H32)</x:f>
      </x:c>
      <x:c r="R32" s="29"/>
    </x:row>
    <x:row r="33">
      <x:c r="A33" s="27"/>
      <x:c r="B33" s="27"/>
      <x:c r="C33" s="27"/>
      <x:c r="D33" s="27"/>
      <x:c r="E33" s="27"/>
      <x:c r="F33" s="30"/>
      <x:c r="G33" s="32"/>
      <x:c r="H33" s="32"/>
      <x:c r="I33" s="27" t="str">
        <x:f>IFERROR(H33/G33,"")</x:f>
      </x:c>
      <x:c r="J33" s="32"/>
      <x:c r="K33" s="32" t="str">
        <x:f>IF(OR(I33="",J33=""),"",I33*J33)</x:f>
      </x:c>
      <x:c r="L33" s="32" t="str">
        <x:f>IF(K33="","",K33-H33)</x:f>
      </x:c>
      <x:c r="M33" s="31" t="str">
        <x:f>IFERROR(L33/H33,"")</x:f>
      </x:c>
      <x:c r="N33" s="30"/>
      <x:c r="O33" s="32"/>
      <x:c r="P33" s="32" t="str">
        <x:f>IF(OR(I33="",O33=""),"",I33*O33)</x:f>
      </x:c>
      <x:c r="Q33" s="32" t="str">
        <x:f>IF(P33="","",P33-H33)</x:f>
      </x:c>
      <x:c r="R33" s="29"/>
    </x:row>
    <x:row r="34">
      <x:c r="A34" s="27"/>
      <x:c r="B34" s="27"/>
      <x:c r="C34" s="27"/>
      <x:c r="D34" s="27"/>
      <x:c r="E34" s="27"/>
      <x:c r="F34" s="30"/>
      <x:c r="G34" s="32"/>
      <x:c r="H34" s="32"/>
      <x:c r="I34" s="27" t="str">
        <x:f>IFERROR(H34/G34,"")</x:f>
      </x:c>
      <x:c r="J34" s="32"/>
      <x:c r="K34" s="32" t="str">
        <x:f>IF(OR(I34="",J34=""),"",I34*J34)</x:f>
      </x:c>
      <x:c r="L34" s="32" t="str">
        <x:f>IF(K34="","",K34-H34)</x:f>
      </x:c>
      <x:c r="M34" s="31" t="str">
        <x:f>IFERROR(L34/H34,"")</x:f>
      </x:c>
      <x:c r="N34" s="30"/>
      <x:c r="O34" s="32"/>
      <x:c r="P34" s="32" t="str">
        <x:f>IF(OR(I34="",O34=""),"",I34*O34)</x:f>
      </x:c>
      <x:c r="Q34" s="32" t="str">
        <x:f>IF(P34="","",P34-H34)</x:f>
      </x:c>
      <x:c r="R34" s="29"/>
    </x:row>
    <x:row r="35">
      <x:c r="A35" s="27"/>
      <x:c r="B35" s="27"/>
      <x:c r="C35" s="27"/>
      <x:c r="D35" s="27"/>
      <x:c r="E35" s="27"/>
      <x:c r="F35" s="30"/>
      <x:c r="G35" s="32"/>
      <x:c r="H35" s="32"/>
      <x:c r="I35" s="27" t="str">
        <x:f>IFERROR(H35/G35,"")</x:f>
      </x:c>
      <x:c r="J35" s="32"/>
      <x:c r="K35" s="32" t="str">
        <x:f>IF(OR(I35="",J35=""),"",I35*J35)</x:f>
      </x:c>
      <x:c r="L35" s="32" t="str">
        <x:f>IF(K35="","",K35-H35)</x:f>
      </x:c>
      <x:c r="M35" s="31" t="str">
        <x:f>IFERROR(L35/H35,"")</x:f>
      </x:c>
      <x:c r="N35" s="30"/>
      <x:c r="O35" s="32"/>
      <x:c r="P35" s="32" t="str">
        <x:f>IF(OR(I35="",O35=""),"",I35*O35)</x:f>
      </x:c>
      <x:c r="Q35" s="32" t="str">
        <x:f>IF(P35="","",P35-H35)</x:f>
      </x:c>
      <x:c r="R35" s="29"/>
    </x:row>
    <x:row r="36">
      <x:c r="A36" s="27"/>
      <x:c r="B36" s="27"/>
      <x:c r="C36" s="27"/>
      <x:c r="D36" s="27"/>
      <x:c r="E36" s="27"/>
      <x:c r="F36" s="30"/>
      <x:c r="G36" s="32"/>
      <x:c r="H36" s="32"/>
      <x:c r="I36" s="27" t="str">
        <x:f>IFERROR(H36/G36,"")</x:f>
      </x:c>
      <x:c r="J36" s="32"/>
      <x:c r="K36" s="32" t="str">
        <x:f>IF(OR(I36="",J36=""),"",I36*J36)</x:f>
      </x:c>
      <x:c r="L36" s="32" t="str">
        <x:f>IF(K36="","",K36-H36)</x:f>
      </x:c>
      <x:c r="M36" s="31" t="str">
        <x:f>IFERROR(L36/H36,"")</x:f>
      </x:c>
      <x:c r="N36" s="30"/>
      <x:c r="O36" s="32"/>
      <x:c r="P36" s="32" t="str">
        <x:f>IF(OR(I36="",O36=""),"",I36*O36)</x:f>
      </x:c>
      <x:c r="Q36" s="32" t="str">
        <x:f>IF(P36="","",P36-H36)</x:f>
      </x:c>
      <x:c r="R36" s="29"/>
    </x:row>
    <x:row r="37">
      <x:c r="A37" s="27"/>
      <x:c r="B37" s="27"/>
      <x:c r="C37" s="27"/>
      <x:c r="D37" s="27"/>
      <x:c r="E37" s="27"/>
      <x:c r="F37" s="30"/>
      <x:c r="G37" s="32"/>
      <x:c r="H37" s="32"/>
      <x:c r="I37" s="27" t="str">
        <x:f>IFERROR(H37/G37,"")</x:f>
      </x:c>
      <x:c r="J37" s="32"/>
      <x:c r="K37" s="32" t="str">
        <x:f>IF(OR(I37="",J37=""),"",I37*J37)</x:f>
      </x:c>
      <x:c r="L37" s="32" t="str">
        <x:f>IF(K37="","",K37-H37)</x:f>
      </x:c>
      <x:c r="M37" s="31" t="str">
        <x:f>IFERROR(L37/H37,"")</x:f>
      </x:c>
      <x:c r="N37" s="30"/>
      <x:c r="O37" s="32"/>
      <x:c r="P37" s="32" t="str">
        <x:f>IF(OR(I37="",O37=""),"",I37*O37)</x:f>
      </x:c>
      <x:c r="Q37" s="32" t="str">
        <x:f>IF(P37="","",P37-H37)</x:f>
      </x:c>
      <x:c r="R37" s="29"/>
    </x:row>
    <x:row r="38">
      <x:c r="A38" s="27"/>
      <x:c r="B38" s="27"/>
      <x:c r="C38" s="27"/>
      <x:c r="D38" s="27"/>
      <x:c r="E38" s="27"/>
      <x:c r="F38" s="30"/>
      <x:c r="G38" s="32"/>
      <x:c r="H38" s="32"/>
      <x:c r="I38" s="27" t="str">
        <x:f>IFERROR(H38/G38,"")</x:f>
      </x:c>
      <x:c r="J38" s="32"/>
      <x:c r="K38" s="32" t="str">
        <x:f>IF(OR(I38="",J38=""),"",I38*J38)</x:f>
      </x:c>
      <x:c r="L38" s="32" t="str">
        <x:f>IF(K38="","",K38-H38)</x:f>
      </x:c>
      <x:c r="M38" s="31" t="str">
        <x:f>IFERROR(L38/H38,"")</x:f>
      </x:c>
      <x:c r="N38" s="30"/>
      <x:c r="O38" s="32"/>
      <x:c r="P38" s="32" t="str">
        <x:f>IF(OR(I38="",O38=""),"",I38*O38)</x:f>
      </x:c>
      <x:c r="Q38" s="32" t="str">
        <x:f>IF(P38="","",P38-H38)</x:f>
      </x:c>
      <x:c r="R38" s="29"/>
    </x:row>
    <x:row r="39">
      <x:c r="A39" s="27"/>
      <x:c r="B39" s="27"/>
      <x:c r="C39" s="27"/>
      <x:c r="D39" s="27"/>
      <x:c r="E39" s="27"/>
      <x:c r="F39" s="30"/>
      <x:c r="G39" s="32"/>
      <x:c r="H39" s="32"/>
      <x:c r="I39" s="27" t="str">
        <x:f>IFERROR(H39/G39,"")</x:f>
      </x:c>
      <x:c r="J39" s="32"/>
      <x:c r="K39" s="32" t="str">
        <x:f>IF(OR(I39="",J39=""),"",I39*J39)</x:f>
      </x:c>
      <x:c r="L39" s="32" t="str">
        <x:f>IF(K39="","",K39-H39)</x:f>
      </x:c>
      <x:c r="M39" s="31" t="str">
        <x:f>IFERROR(L39/H39,"")</x:f>
      </x:c>
      <x:c r="N39" s="30"/>
      <x:c r="O39" s="32"/>
      <x:c r="P39" s="32" t="str">
        <x:f>IF(OR(I39="",O39=""),"",I39*O39)</x:f>
      </x:c>
      <x:c r="Q39" s="32" t="str">
        <x:f>IF(P39="","",P39-H39)</x:f>
      </x:c>
      <x:c r="R39" s="29"/>
    </x:row>
    <x:row r="40">
      <x:c r="A40" s="27"/>
      <x:c r="B40" s="27"/>
      <x:c r="C40" s="27"/>
      <x:c r="D40" s="27"/>
      <x:c r="E40" s="27"/>
      <x:c r="F40" s="30"/>
      <x:c r="G40" s="32"/>
      <x:c r="H40" s="32"/>
      <x:c r="I40" s="27" t="str">
        <x:f>IFERROR(H40/G40,"")</x:f>
      </x:c>
      <x:c r="J40" s="32"/>
      <x:c r="K40" s="32" t="str">
        <x:f>IF(OR(I40="",J40=""),"",I40*J40)</x:f>
      </x:c>
      <x:c r="L40" s="32" t="str">
        <x:f>IF(K40="","",K40-H40)</x:f>
      </x:c>
      <x:c r="M40" s="31" t="str">
        <x:f>IFERROR(L40/H40,"")</x:f>
      </x:c>
      <x:c r="N40" s="30"/>
      <x:c r="O40" s="32"/>
      <x:c r="P40" s="32" t="str">
        <x:f>IF(OR(I40="",O40=""),"",I40*O40)</x:f>
      </x:c>
      <x:c r="Q40" s="32" t="str">
        <x:f>IF(P40="","",P40-H40)</x:f>
      </x:c>
      <x:c r="R40" s="29"/>
    </x:row>
    <x:row r="41">
      <x:c r="A41" s="27"/>
      <x:c r="B41" s="27"/>
      <x:c r="C41" s="27"/>
      <x:c r="D41" s="27"/>
      <x:c r="E41" s="27"/>
      <x:c r="F41" s="30"/>
      <x:c r="G41" s="32"/>
      <x:c r="H41" s="32"/>
      <x:c r="I41" s="27" t="str">
        <x:f>IFERROR(H41/G41,"")</x:f>
      </x:c>
      <x:c r="J41" s="32"/>
      <x:c r="K41" s="32" t="str">
        <x:f>IF(OR(I41="",J41=""),"",I41*J41)</x:f>
      </x:c>
      <x:c r="L41" s="32" t="str">
        <x:f>IF(K41="","",K41-H41)</x:f>
      </x:c>
      <x:c r="M41" s="31" t="str">
        <x:f>IFERROR(L41/H41,"")</x:f>
      </x:c>
      <x:c r="N41" s="30"/>
      <x:c r="O41" s="32"/>
      <x:c r="P41" s="32" t="str">
        <x:f>IF(OR(I41="",O41=""),"",I41*O41)</x:f>
      </x:c>
      <x:c r="Q41" s="32" t="str">
        <x:f>IF(P41="","",P41-H41)</x:f>
      </x:c>
      <x:c r="R41" s="29"/>
    </x:row>
    <x:row r="42">
      <x:c r="A42" s="27"/>
      <x:c r="B42" s="27"/>
      <x:c r="C42" s="27"/>
      <x:c r="D42" s="27"/>
      <x:c r="E42" s="27"/>
      <x:c r="F42" s="30"/>
      <x:c r="G42" s="32"/>
      <x:c r="H42" s="32"/>
      <x:c r="I42" s="27" t="str">
        <x:f>IFERROR(H42/G42,"")</x:f>
      </x:c>
      <x:c r="J42" s="32"/>
      <x:c r="K42" s="32" t="str">
        <x:f>IF(OR(I42="",J42=""),"",I42*J42)</x:f>
      </x:c>
      <x:c r="L42" s="32" t="str">
        <x:f>IF(K42="","",K42-H42)</x:f>
      </x:c>
      <x:c r="M42" s="31" t="str">
        <x:f>IFERROR(L42/H42,"")</x:f>
      </x:c>
      <x:c r="N42" s="30"/>
      <x:c r="O42" s="32"/>
      <x:c r="P42" s="32" t="str">
        <x:f>IF(OR(I42="",O42=""),"",I42*O42)</x:f>
      </x:c>
      <x:c r="Q42" s="32" t="str">
        <x:f>IF(P42="","",P42-H42)</x:f>
      </x:c>
      <x:c r="R42" s="29"/>
    </x:row>
    <x:row r="43">
      <x:c r="A43" s="27"/>
      <x:c r="B43" s="27"/>
      <x:c r="C43" s="27"/>
      <x:c r="D43" s="27"/>
      <x:c r="E43" s="27"/>
      <x:c r="F43" s="30"/>
      <x:c r="G43" s="32"/>
      <x:c r="H43" s="32"/>
      <x:c r="I43" s="27" t="str">
        <x:f>IFERROR(H43/G43,"")</x:f>
      </x:c>
      <x:c r="J43" s="32"/>
      <x:c r="K43" s="32" t="str">
        <x:f>IF(OR(I43="",J43=""),"",I43*J43)</x:f>
      </x:c>
      <x:c r="L43" s="32" t="str">
        <x:f>IF(K43="","",K43-H43)</x:f>
      </x:c>
      <x:c r="M43" s="31" t="str">
        <x:f>IFERROR(L43/H43,"")</x:f>
      </x:c>
      <x:c r="N43" s="30"/>
      <x:c r="O43" s="32"/>
      <x:c r="P43" s="32" t="str">
        <x:f>IF(OR(I43="",O43=""),"",I43*O43)</x:f>
      </x:c>
      <x:c r="Q43" s="32" t="str">
        <x:f>IF(P43="","",P43-H43)</x:f>
      </x:c>
      <x:c r="R43" s="29"/>
    </x:row>
    <x:row r="44">
      <x:c r="A44" s="27"/>
      <x:c r="B44" s="27"/>
      <x:c r="C44" s="27"/>
      <x:c r="D44" s="27"/>
      <x:c r="E44" s="27"/>
      <x:c r="F44" s="30"/>
      <x:c r="G44" s="32"/>
      <x:c r="H44" s="32"/>
      <x:c r="I44" s="27" t="str">
        <x:f>IFERROR(H44/G44,"")</x:f>
      </x:c>
      <x:c r="J44" s="32"/>
      <x:c r="K44" s="32" t="str">
        <x:f>IF(OR(I44="",J44=""),"",I44*J44)</x:f>
      </x:c>
      <x:c r="L44" s="32" t="str">
        <x:f>IF(K44="","",K44-H44)</x:f>
      </x:c>
      <x:c r="M44" s="31" t="str">
        <x:f>IFERROR(L44/H44,"")</x:f>
      </x:c>
      <x:c r="N44" s="30"/>
      <x:c r="O44" s="32"/>
      <x:c r="P44" s="32" t="str">
        <x:f>IF(OR(I44="",O44=""),"",I44*O44)</x:f>
      </x:c>
      <x:c r="Q44" s="32" t="str">
        <x:f>IF(P44="","",P44-H44)</x:f>
      </x:c>
      <x:c r="R44" s="29"/>
    </x:row>
    <x:row r="45">
      <x:c r="A45" s="27"/>
      <x:c r="B45" s="27"/>
      <x:c r="C45" s="27"/>
      <x:c r="D45" s="27"/>
      <x:c r="E45" s="27"/>
      <x:c r="F45" s="30"/>
      <x:c r="G45" s="32"/>
      <x:c r="H45" s="32"/>
      <x:c r="I45" s="27" t="str">
        <x:f>IFERROR(H45/G45,"")</x:f>
      </x:c>
      <x:c r="J45" s="32"/>
      <x:c r="K45" s="32" t="str">
        <x:f>IF(OR(I45="",J45=""),"",I45*J45)</x:f>
      </x:c>
      <x:c r="L45" s="32" t="str">
        <x:f>IF(K45="","",K45-H45)</x:f>
      </x:c>
      <x:c r="M45" s="31" t="str">
        <x:f>IFERROR(L45/H45,"")</x:f>
      </x:c>
      <x:c r="N45" s="30"/>
      <x:c r="O45" s="32"/>
      <x:c r="P45" s="32" t="str">
        <x:f>IF(OR(I45="",O45=""),"",I45*O45)</x:f>
      </x:c>
      <x:c r="Q45" s="32" t="str">
        <x:f>IF(P45="","",P45-H45)</x:f>
      </x:c>
      <x:c r="R45" s="29"/>
    </x:row>
    <x:row r="46">
      <x:c r="A46" s="27"/>
      <x:c r="B46" s="27"/>
      <x:c r="C46" s="27"/>
      <x:c r="D46" s="27"/>
      <x:c r="E46" s="27"/>
      <x:c r="F46" s="30"/>
      <x:c r="G46" s="32"/>
      <x:c r="H46" s="32"/>
      <x:c r="I46" s="27" t="str">
        <x:f>IFERROR(H46/G46,"")</x:f>
      </x:c>
      <x:c r="J46" s="32"/>
      <x:c r="K46" s="32" t="str">
        <x:f>IF(OR(I46="",J46=""),"",I46*J46)</x:f>
      </x:c>
      <x:c r="L46" s="32" t="str">
        <x:f>IF(K46="","",K46-H46)</x:f>
      </x:c>
      <x:c r="M46" s="31" t="str">
        <x:f>IFERROR(L46/H46,"")</x:f>
      </x:c>
      <x:c r="N46" s="30"/>
      <x:c r="O46" s="32"/>
      <x:c r="P46" s="32" t="str">
        <x:f>IF(OR(I46="",O46=""),"",I46*O46)</x:f>
      </x:c>
      <x:c r="Q46" s="32" t="str">
        <x:f>IF(P46="","",P46-H46)</x:f>
      </x:c>
      <x:c r="R46" s="29"/>
    </x:row>
    <x:row r="47">
      <x:c r="A47" s="27"/>
      <x:c r="B47" s="27"/>
      <x:c r="C47" s="27"/>
      <x:c r="D47" s="27"/>
      <x:c r="E47" s="27"/>
      <x:c r="F47" s="30"/>
      <x:c r="G47" s="32"/>
      <x:c r="H47" s="32"/>
      <x:c r="I47" s="27" t="str">
        <x:f>IFERROR(H47/G47,"")</x:f>
      </x:c>
      <x:c r="J47" s="32"/>
      <x:c r="K47" s="32" t="str">
        <x:f>IF(OR(I47="",J47=""),"",I47*J47)</x:f>
      </x:c>
      <x:c r="L47" s="32" t="str">
        <x:f>IF(K47="","",K47-H47)</x:f>
      </x:c>
      <x:c r="M47" s="31" t="str">
        <x:f>IFERROR(L47/H47,"")</x:f>
      </x:c>
      <x:c r="N47" s="30"/>
      <x:c r="O47" s="32"/>
      <x:c r="P47" s="32" t="str">
        <x:f>IF(OR(I47="",O47=""),"",I47*O47)</x:f>
      </x:c>
      <x:c r="Q47" s="32" t="str">
        <x:f>IF(P47="","",P47-H47)</x:f>
      </x:c>
      <x:c r="R47" s="29"/>
    </x:row>
    <x:row r="48">
      <x:c r="A48" s="27"/>
      <x:c r="B48" s="27"/>
      <x:c r="C48" s="27"/>
      <x:c r="D48" s="27"/>
      <x:c r="E48" s="27"/>
      <x:c r="F48" s="30"/>
      <x:c r="G48" s="32"/>
      <x:c r="H48" s="32"/>
      <x:c r="I48" s="27" t="str">
        <x:f>IFERROR(H48/G48,"")</x:f>
      </x:c>
      <x:c r="J48" s="32"/>
      <x:c r="K48" s="32" t="str">
        <x:f>IF(OR(I48="",J48=""),"",I48*J48)</x:f>
      </x:c>
      <x:c r="L48" s="32" t="str">
        <x:f>IF(K48="","",K48-H48)</x:f>
      </x:c>
      <x:c r="M48" s="31" t="str">
        <x:f>IFERROR(L48/H48,"")</x:f>
      </x:c>
      <x:c r="N48" s="30"/>
      <x:c r="O48" s="32"/>
      <x:c r="P48" s="32" t="str">
        <x:f>IF(OR(I48="",O48=""),"",I48*O48)</x:f>
      </x:c>
      <x:c r="Q48" s="32" t="str">
        <x:f>IF(P48="","",P48-H48)</x:f>
      </x:c>
      <x:c r="R48" s="29"/>
    </x:row>
    <x:row r="49">
      <x:c r="A49" s="27"/>
      <x:c r="B49" s="27"/>
      <x:c r="C49" s="27"/>
      <x:c r="D49" s="27"/>
      <x:c r="E49" s="27"/>
      <x:c r="F49" s="30"/>
      <x:c r="G49" s="32"/>
      <x:c r="H49" s="32"/>
      <x:c r="I49" s="27" t="str">
        <x:f>IFERROR(H49/G49,"")</x:f>
      </x:c>
      <x:c r="J49" s="32"/>
      <x:c r="K49" s="32" t="str">
        <x:f>IF(OR(I49="",J49=""),"",I49*J49)</x:f>
      </x:c>
      <x:c r="L49" s="32" t="str">
        <x:f>IF(K49="","",K49-H49)</x:f>
      </x:c>
      <x:c r="M49" s="31" t="str">
        <x:f>IFERROR(L49/H49,"")</x:f>
      </x:c>
      <x:c r="N49" s="30"/>
      <x:c r="O49" s="32"/>
      <x:c r="P49" s="32" t="str">
        <x:f>IF(OR(I49="",O49=""),"",I49*O49)</x:f>
      </x:c>
      <x:c r="Q49" s="32" t="str">
        <x:f>IF(P49="","",P49-H49)</x:f>
      </x:c>
      <x:c r="R49" s="29"/>
    </x:row>
    <x:row r="50">
      <x:c r="A50" s="27"/>
      <x:c r="B50" s="27"/>
      <x:c r="C50" s="27"/>
      <x:c r="D50" s="27"/>
      <x:c r="E50" s="27"/>
      <x:c r="F50" s="30"/>
      <x:c r="G50" s="32"/>
      <x:c r="H50" s="32"/>
      <x:c r="I50" s="27" t="str">
        <x:f>IFERROR(H50/G50,"")</x:f>
      </x:c>
      <x:c r="J50" s="32"/>
      <x:c r="K50" s="32" t="str">
        <x:f>IF(OR(I50="",J50=""),"",I50*J50)</x:f>
      </x:c>
      <x:c r="L50" s="32" t="str">
        <x:f>IF(K50="","",K50-H50)</x:f>
      </x:c>
      <x:c r="M50" s="31" t="str">
        <x:f>IFERROR(L50/H50,"")</x:f>
      </x:c>
      <x:c r="N50" s="30"/>
      <x:c r="O50" s="32"/>
      <x:c r="P50" s="32" t="str">
        <x:f>IF(OR(I50="",O50=""),"",I50*O50)</x:f>
      </x:c>
      <x:c r="Q50" s="32" t="str">
        <x:f>IF(P50="","",P50-H50)</x:f>
      </x:c>
      <x:c r="R50" s="29"/>
    </x:row>
    <x:row r="51">
      <x:c r="F51" s="18"/>
      <x:c r="G51" s="23"/>
      <x:c r="H51" s="23"/>
      <x:c r="I51" t="str">
        <x:f>IFERROR(H51/G51,"")</x:f>
      </x:c>
      <x:c r="J51" s="23"/>
      <x:c r="K51" s="23" t="str">
        <x:f>IF(OR(I51="",J51=""),"",I51*J51)</x:f>
      </x:c>
      <x:c r="L51" s="23" t="str">
        <x:f>IF(K51="","",K51-H51)</x:f>
      </x:c>
      <x:c r="M51" s="19" t="str">
        <x:f>IFERROR(L51/H51,"")</x:f>
      </x:c>
      <x:c r="N51" s="18"/>
      <x:c r="O51" s="23"/>
      <x:c r="P51" s="23" t="str">
        <x:f>IF(OR(I51="",O51=""),"",I51*O51)</x:f>
      </x:c>
      <x:c r="Q51" s="23" t="str">
        <x:f>IF(P51="","",P51-H51)</x:f>
      </x:c>
      <x:c r="R51" s="44"/>
    </x:row>
    <x:row r="52">
      <x:c r="F52" s="18"/>
      <x:c r="G52" s="23"/>
      <x:c r="H52" s="23"/>
      <x:c r="I52" t="str">
        <x:f>IFERROR(H52/G52,"")</x:f>
      </x:c>
      <x:c r="J52" s="23"/>
      <x:c r="K52" s="23" t="str">
        <x:f>IF(OR(I52="",J52=""),"",I52*J52)</x:f>
      </x:c>
      <x:c r="L52" s="23" t="str">
        <x:f>IF(K52="","",K52-H52)</x:f>
      </x:c>
      <x:c r="M52" s="19" t="str">
        <x:f>IFERROR(L52/H52,"")</x:f>
      </x:c>
      <x:c r="N52" s="18"/>
      <x:c r="O52" s="23"/>
      <x:c r="P52" s="23" t="str">
        <x:f>IF(OR(I52="",O52=""),"",I52*O52)</x:f>
      </x:c>
      <x:c r="Q52" s="23" t="str">
        <x:f>IF(P52="","",P52-H52)</x:f>
      </x:c>
      <x:c r="R52" s="44"/>
    </x:row>
    <x:row r="53">
      <x:c r="F53" s="18"/>
      <x:c r="G53" s="23"/>
      <x:c r="H53" s="23"/>
      <x:c r="I53" t="str">
        <x:f>IFERROR(H53/G53,"")</x:f>
      </x:c>
      <x:c r="J53" s="23"/>
      <x:c r="K53" s="23" t="str">
        <x:f>IF(OR(I53="",J53=""),"",I53*J53)</x:f>
      </x:c>
      <x:c r="L53" s="23" t="str">
        <x:f>IF(K53="","",K53-H53)</x:f>
      </x:c>
      <x:c r="M53" s="19" t="str">
        <x:f>IFERROR(L53/H53,"")</x:f>
      </x:c>
      <x:c r="N53" s="18"/>
      <x:c r="O53" s="23"/>
      <x:c r="P53" s="23" t="str">
        <x:f>IF(OR(I53="",O53=""),"",I53*O53)</x:f>
      </x:c>
      <x:c r="Q53" s="23" t="str">
        <x:f>IF(P53="","",P53-H53)</x:f>
      </x:c>
      <x:c r="R53" s="44"/>
    </x:row>
    <x:row r="54">
      <x:c r="F54" s="18"/>
      <x:c r="G54" s="23"/>
      <x:c r="H54" s="23"/>
      <x:c r="I54" t="str">
        <x:f>IFERROR(H54/G54,"")</x:f>
      </x:c>
      <x:c r="J54" s="23"/>
      <x:c r="K54" s="23" t="str">
        <x:f>IF(OR(I54="",J54=""),"",I54*J54)</x:f>
      </x:c>
      <x:c r="L54" s="23" t="str">
        <x:f>IF(K54="","",K54-H54)</x:f>
      </x:c>
      <x:c r="M54" s="19" t="str">
        <x:f>IFERROR(L54/H54,"")</x:f>
      </x:c>
      <x:c r="N54" s="18"/>
      <x:c r="O54" s="23"/>
      <x:c r="P54" s="23" t="str">
        <x:f>IF(OR(I54="",O54=""),"",I54*O54)</x:f>
      </x:c>
      <x:c r="Q54" s="23" t="str">
        <x:f>IF(P54="","",P54-H54)</x:f>
      </x:c>
      <x:c r="R54" s="44"/>
    </x:row>
    <x:row r="55">
      <x:c r="F55" s="18"/>
      <x:c r="G55" s="23"/>
      <x:c r="H55" s="23"/>
      <x:c r="I55" t="str">
        <x:f>IFERROR(H55/G55,"")</x:f>
      </x:c>
      <x:c r="J55" s="23"/>
      <x:c r="K55" s="23" t="str">
        <x:f>IF(OR(I55="",J55=""),"",I55*J55)</x:f>
      </x:c>
      <x:c r="L55" s="23" t="str">
        <x:f>IF(K55="","",K55-H55)</x:f>
      </x:c>
      <x:c r="M55" s="19" t="str">
        <x:f>IFERROR(L55/H55,"")</x:f>
      </x:c>
      <x:c r="N55" s="18"/>
      <x:c r="O55" s="23"/>
      <x:c r="P55" s="23" t="str">
        <x:f>IF(OR(I55="",O55=""),"",I55*O55)</x:f>
      </x:c>
      <x:c r="Q55" s="23" t="str">
        <x:f>IF(P55="","",P55-H55)</x:f>
      </x:c>
      <x:c r="R55" s="44"/>
    </x:row>
    <x:row r="56">
      <x:c r="F56" s="18"/>
      <x:c r="G56" s="23"/>
      <x:c r="H56" s="23"/>
      <x:c r="I56" t="str">
        <x:f>IFERROR(H56/G56,"")</x:f>
      </x:c>
      <x:c r="J56" s="23"/>
      <x:c r="K56" s="23" t="str">
        <x:f>IF(OR(I56="",J56=""),"",I56*J56)</x:f>
      </x:c>
      <x:c r="L56" s="23" t="str">
        <x:f>IF(K56="","",K56-H56)</x:f>
      </x:c>
      <x:c r="M56" s="19" t="str">
        <x:f>IFERROR(L56/H56,"")</x:f>
      </x:c>
      <x:c r="N56" s="18"/>
      <x:c r="O56" s="23"/>
      <x:c r="P56" s="23" t="str">
        <x:f>IF(OR(I56="",O56=""),"",I56*O56)</x:f>
      </x:c>
      <x:c r="Q56" s="23" t="str">
        <x:f>IF(P56="","",P56-H56)</x:f>
      </x:c>
      <x:c r="R56" s="44"/>
    </x:row>
    <x:row r="57">
      <x:c r="F57" s="18"/>
      <x:c r="G57" s="23"/>
      <x:c r="H57" s="23"/>
      <x:c r="I57" t="str">
        <x:f>IFERROR(H57/G57,"")</x:f>
      </x:c>
      <x:c r="J57" s="23"/>
      <x:c r="K57" s="23" t="str">
        <x:f>IF(OR(I57="",J57=""),"",I57*J57)</x:f>
      </x:c>
      <x:c r="L57" s="23" t="str">
        <x:f>IF(K57="","",K57-H57)</x:f>
      </x:c>
      <x:c r="M57" s="19" t="str">
        <x:f>IFERROR(L57/H57,"")</x:f>
      </x:c>
      <x:c r="N57" s="18"/>
      <x:c r="O57" s="23"/>
      <x:c r="P57" s="23" t="str">
        <x:f>IF(OR(I57="",O57=""),"",I57*O57)</x:f>
      </x:c>
      <x:c r="Q57" s="23" t="str">
        <x:f>IF(P57="","",P57-H57)</x:f>
      </x:c>
      <x:c r="R57" s="44"/>
    </x:row>
    <x:row r="58">
      <x:c r="F58" s="18"/>
      <x:c r="G58" s="23"/>
      <x:c r="H58" s="23"/>
      <x:c r="I58" t="str">
        <x:f>IFERROR(H58/G58,"")</x:f>
      </x:c>
      <x:c r="J58" s="23"/>
      <x:c r="K58" s="23" t="str">
        <x:f>IF(OR(I58="",J58=""),"",I58*J58)</x:f>
      </x:c>
      <x:c r="L58" s="23" t="str">
        <x:f>IF(K58="","",K58-H58)</x:f>
      </x:c>
      <x:c r="M58" s="19" t="str">
        <x:f>IFERROR(L58/H58,"")</x:f>
      </x:c>
      <x:c r="N58" s="18"/>
      <x:c r="O58" s="23"/>
      <x:c r="P58" s="23" t="str">
        <x:f>IF(OR(I58="",O58=""),"",I58*O58)</x:f>
      </x:c>
      <x:c r="Q58" s="23" t="str">
        <x:f>IF(P58="","",P58-H58)</x:f>
      </x:c>
      <x:c r="R58" s="44"/>
    </x:row>
    <x:row r="59">
      <x:c r="F59" s="18"/>
      <x:c r="G59" s="23"/>
      <x:c r="H59" s="23"/>
      <x:c r="I59" t="str">
        <x:f>IFERROR(H59/G59,"")</x:f>
      </x:c>
      <x:c r="J59" s="23"/>
      <x:c r="K59" s="23" t="str">
        <x:f>IF(OR(I59="",J59=""),"",I59*J59)</x:f>
      </x:c>
      <x:c r="L59" s="23" t="str">
        <x:f>IF(K59="","",K59-H59)</x:f>
      </x:c>
      <x:c r="M59" s="19" t="str">
        <x:f>IFERROR(L59/H59,"")</x:f>
      </x:c>
      <x:c r="N59" s="18"/>
      <x:c r="O59" s="23"/>
      <x:c r="P59" s="23" t="str">
        <x:f>IF(OR(I59="",O59=""),"",I59*O59)</x:f>
      </x:c>
      <x:c r="Q59" s="23" t="str">
        <x:f>IF(P59="","",P59-H59)</x:f>
      </x:c>
      <x:c r="R59" s="44"/>
    </x:row>
    <x:row r="60">
      <x:c r="F60" s="18"/>
      <x:c r="G60" s="23"/>
      <x:c r="H60" s="23"/>
      <x:c r="I60" t="str">
        <x:f>IFERROR(H60/G60,"")</x:f>
      </x:c>
      <x:c r="J60" s="23"/>
      <x:c r="K60" s="23" t="str">
        <x:f>IF(OR(I60="",J60=""),"",I60*J60)</x:f>
      </x:c>
      <x:c r="L60" s="23" t="str">
        <x:f>IF(K60="","",K60-H60)</x:f>
      </x:c>
      <x:c r="M60" s="19" t="str">
        <x:f>IFERROR(L60/H60,"")</x:f>
      </x:c>
      <x:c r="N60" s="18"/>
      <x:c r="O60" s="23"/>
      <x:c r="P60" s="23" t="str">
        <x:f>IF(OR(I60="",O60=""),"",I60*O60)</x:f>
      </x:c>
      <x:c r="Q60" s="23" t="str">
        <x:f>IF(P60="","",P60-H60)</x:f>
      </x:c>
      <x:c r="R60" s="44"/>
    </x:row>
    <x:row r="61">
      <x:c r="F61" s="18"/>
      <x:c r="G61" s="23"/>
      <x:c r="H61" s="23"/>
      <x:c r="I61" t="str">
        <x:f>IFERROR(H61/G61,"")</x:f>
      </x:c>
      <x:c r="J61" s="23"/>
      <x:c r="K61" s="23" t="str">
        <x:f>IF(OR(I61="",J61=""),"",I61*J61)</x:f>
      </x:c>
      <x:c r="L61" s="23" t="str">
        <x:f>IF(K61="","",K61-H61)</x:f>
      </x:c>
      <x:c r="M61" s="19" t="str">
        <x:f>IFERROR(L61/H61,"")</x:f>
      </x:c>
      <x:c r="N61" s="18"/>
      <x:c r="O61" s="23"/>
      <x:c r="P61" s="23" t="str">
        <x:f>IF(OR(I61="",O61=""),"",I61*O61)</x:f>
      </x:c>
      <x:c r="Q61" s="23" t="str">
        <x:f>IF(P61="","",P61-H61)</x:f>
      </x:c>
      <x:c r="R61" s="44"/>
    </x:row>
    <x:row r="62">
      <x:c r="F62" s="18"/>
      <x:c r="G62" s="23"/>
      <x:c r="H62" s="23"/>
      <x:c r="I62" t="str">
        <x:f>IFERROR(H62/G62,"")</x:f>
      </x:c>
      <x:c r="J62" s="23"/>
      <x:c r="K62" s="23" t="str">
        <x:f>IF(OR(I62="",J62=""),"",I62*J62)</x:f>
      </x:c>
      <x:c r="L62" s="23" t="str">
        <x:f>IF(K62="","",K62-H62)</x:f>
      </x:c>
      <x:c r="M62" s="19" t="str">
        <x:f>IFERROR(L62/H62,"")</x:f>
      </x:c>
      <x:c r="N62" s="18"/>
      <x:c r="O62" s="23"/>
      <x:c r="P62" s="23" t="str">
        <x:f>IF(OR(I62="",O62=""),"",I62*O62)</x:f>
      </x:c>
      <x:c r="Q62" s="23" t="str">
        <x:f>IF(P62="","",P62-H62)</x:f>
      </x:c>
      <x:c r="R62" s="44"/>
    </x:row>
    <x:row r="63">
      <x:c r="F63" s="18"/>
      <x:c r="G63" s="23"/>
      <x:c r="H63" s="23"/>
      <x:c r="I63" t="str">
        <x:f>IFERROR(H63/G63,"")</x:f>
      </x:c>
      <x:c r="J63" s="23"/>
      <x:c r="K63" s="23" t="str">
        <x:f>IF(OR(I63="",J63=""),"",I63*J63)</x:f>
      </x:c>
      <x:c r="L63" s="23" t="str">
        <x:f>IF(K63="","",K63-H63)</x:f>
      </x:c>
      <x:c r="M63" s="19" t="str">
        <x:f>IFERROR(L63/H63,"")</x:f>
      </x:c>
      <x:c r="N63" s="18"/>
      <x:c r="O63" s="23"/>
      <x:c r="P63" s="23" t="str">
        <x:f>IF(OR(I63="",O63=""),"",I63*O63)</x:f>
      </x:c>
      <x:c r="Q63" s="23" t="str">
        <x:f>IF(P63="","",P63-H63)</x:f>
      </x:c>
      <x:c r="R63" s="44"/>
    </x:row>
    <x:row r="64">
      <x:c r="F64" s="18"/>
      <x:c r="G64" s="23"/>
      <x:c r="H64" s="23"/>
      <x:c r="I64" t="str">
        <x:f>IFERROR(H64/G64,"")</x:f>
      </x:c>
      <x:c r="J64" s="23"/>
      <x:c r="K64" s="23" t="str">
        <x:f>IF(OR(I64="",J64=""),"",I64*J64)</x:f>
      </x:c>
      <x:c r="L64" s="23" t="str">
        <x:f>IF(K64="","",K64-H64)</x:f>
      </x:c>
      <x:c r="M64" s="19" t="str">
        <x:f>IFERROR(L64/H64,"")</x:f>
      </x:c>
      <x:c r="N64" s="18"/>
      <x:c r="O64" s="23"/>
      <x:c r="P64" s="23" t="str">
        <x:f>IF(OR(I64="",O64=""),"",I64*O64)</x:f>
      </x:c>
      <x:c r="Q64" s="23" t="str">
        <x:f>IF(P64="","",P64-H64)</x:f>
      </x:c>
      <x:c r="R64" s="44"/>
    </x:row>
    <x:row r="65">
      <x:c r="F65" s="18"/>
      <x:c r="G65" s="23"/>
      <x:c r="H65" s="23"/>
      <x:c r="I65" t="str">
        <x:f>IFERROR(H65/G65,"")</x:f>
      </x:c>
      <x:c r="J65" s="23"/>
      <x:c r="K65" s="23" t="str">
        <x:f>IF(OR(I65="",J65=""),"",I65*J65)</x:f>
      </x:c>
      <x:c r="L65" s="23" t="str">
        <x:f>IF(K65="","",K65-H65)</x:f>
      </x:c>
      <x:c r="M65" s="19" t="str">
        <x:f>IFERROR(L65/H65,"")</x:f>
      </x:c>
      <x:c r="N65" s="18"/>
      <x:c r="O65" s="23"/>
      <x:c r="P65" s="23" t="str">
        <x:f>IF(OR(I65="",O65=""),"",I65*O65)</x:f>
      </x:c>
      <x:c r="Q65" s="23" t="str">
        <x:f>IF(P65="","",P65-H65)</x:f>
      </x:c>
      <x:c r="R65" s="44"/>
    </x:row>
    <x:row r="66">
      <x:c r="F66" s="18"/>
      <x:c r="G66" s="23"/>
      <x:c r="H66" s="23"/>
      <x:c r="I66" t="str">
        <x:f>IFERROR(H66/G66,"")</x:f>
      </x:c>
      <x:c r="J66" s="23"/>
      <x:c r="K66" s="23" t="str">
        <x:f>IF(OR(I66="",J66=""),"",I66*J66)</x:f>
      </x:c>
      <x:c r="L66" s="23" t="str">
        <x:f>IF(K66="","",K66-H66)</x:f>
      </x:c>
      <x:c r="M66" s="19" t="str">
        <x:f>IFERROR(L66/H66,"")</x:f>
      </x:c>
      <x:c r="N66" s="18"/>
      <x:c r="O66" s="23"/>
      <x:c r="P66" s="23" t="str">
        <x:f>IF(OR(I66="",O66=""),"",I66*O66)</x:f>
      </x:c>
      <x:c r="Q66" s="23" t="str">
        <x:f>IF(P66="","",P66-H66)</x:f>
      </x:c>
      <x:c r="R66" s="44"/>
    </x:row>
    <x:row r="67">
      <x:c r="F67" s="18"/>
      <x:c r="G67" s="23"/>
      <x:c r="H67" s="23"/>
      <x:c r="I67" t="str">
        <x:f>IFERROR(H67/G67,"")</x:f>
      </x:c>
      <x:c r="J67" s="23"/>
      <x:c r="K67" s="23" t="str">
        <x:f>IF(OR(I67="",J67=""),"",I67*J67)</x:f>
      </x:c>
      <x:c r="L67" s="23" t="str">
        <x:f>IF(K67="","",K67-H67)</x:f>
      </x:c>
      <x:c r="M67" s="19" t="str">
        <x:f>IFERROR(L67/H67,"")</x:f>
      </x:c>
      <x:c r="N67" s="18"/>
      <x:c r="O67" s="23"/>
      <x:c r="P67" s="23" t="str">
        <x:f>IF(OR(I67="",O67=""),"",I67*O67)</x:f>
      </x:c>
      <x:c r="Q67" s="23" t="str">
        <x:f>IF(P67="","",P67-H67)</x:f>
      </x:c>
      <x:c r="R67" s="44"/>
    </x:row>
    <x:row r="68">
      <x:c r="F68" s="18"/>
      <x:c r="G68" s="23"/>
      <x:c r="H68" s="23"/>
      <x:c r="I68" t="str">
        <x:f>IFERROR(H68/G68,"")</x:f>
      </x:c>
      <x:c r="J68" s="23"/>
      <x:c r="K68" s="23" t="str">
        <x:f>IF(OR(I68="",J68=""),"",I68*J68)</x:f>
      </x:c>
      <x:c r="L68" s="23" t="str">
        <x:f>IF(K68="","",K68-H68)</x:f>
      </x:c>
      <x:c r="M68" s="19" t="str">
        <x:f>IFERROR(L68/H68,"")</x:f>
      </x:c>
      <x:c r="N68" s="18"/>
      <x:c r="O68" s="23"/>
      <x:c r="P68" s="23" t="str">
        <x:f>IF(OR(I68="",O68=""),"",I68*O68)</x:f>
      </x:c>
      <x:c r="Q68" s="23" t="str">
        <x:f>IF(P68="","",P68-H68)</x:f>
      </x:c>
      <x:c r="R68" s="44"/>
    </x:row>
    <x:row r="69">
      <x:c r="F69" s="18"/>
      <x:c r="G69" s="23"/>
      <x:c r="H69" s="23"/>
      <x:c r="I69" t="str">
        <x:f>IFERROR(H69/G69,"")</x:f>
      </x:c>
      <x:c r="J69" s="23"/>
      <x:c r="K69" s="23" t="str">
        <x:f>IF(OR(I69="",J69=""),"",I69*J69)</x:f>
      </x:c>
      <x:c r="L69" s="23" t="str">
        <x:f>IF(K69="","",K69-H69)</x:f>
      </x:c>
      <x:c r="M69" s="19" t="str">
        <x:f>IFERROR(L69/H69,"")</x:f>
      </x:c>
      <x:c r="N69" s="18"/>
      <x:c r="O69" s="23"/>
      <x:c r="P69" s="23" t="str">
        <x:f>IF(OR(I69="",O69=""),"",I69*O69)</x:f>
      </x:c>
      <x:c r="Q69" s="23" t="str">
        <x:f>IF(P69="","",P69-H69)</x:f>
      </x:c>
      <x:c r="R69" s="44"/>
    </x:row>
    <x:row r="70">
      <x:c r="F70" s="18"/>
      <x:c r="G70" s="23"/>
      <x:c r="H70" s="23"/>
      <x:c r="I70" t="str">
        <x:f>IFERROR(H70/G70,"")</x:f>
      </x:c>
      <x:c r="J70" s="23"/>
      <x:c r="K70" s="23" t="str">
        <x:f>IF(OR(I70="",J70=""),"",I70*J70)</x:f>
      </x:c>
      <x:c r="L70" s="23" t="str">
        <x:f>IF(K70="","",K70-H70)</x:f>
      </x:c>
      <x:c r="M70" s="19" t="str">
        <x:f>IFERROR(L70/H70,"")</x:f>
      </x:c>
      <x:c r="N70" s="18"/>
      <x:c r="O70" s="23"/>
      <x:c r="P70" s="23" t="str">
        <x:f>IF(OR(I70="",O70=""),"",I70*O70)</x:f>
      </x:c>
      <x:c r="Q70" s="23" t="str">
        <x:f>IF(P70="","",P70-H70)</x:f>
      </x:c>
      <x:c r="R70" s="44"/>
    </x:row>
    <x:row r="71">
      <x:c r="F71" s="18"/>
      <x:c r="G71" s="23"/>
      <x:c r="H71" s="23"/>
      <x:c r="I71" t="str">
        <x:f>IFERROR(H71/G71,"")</x:f>
      </x:c>
      <x:c r="J71" s="23"/>
      <x:c r="K71" s="23" t="str">
        <x:f>IF(OR(I71="",J71=""),"",I71*J71)</x:f>
      </x:c>
      <x:c r="L71" s="23" t="str">
        <x:f>IF(K71="","",K71-H71)</x:f>
      </x:c>
      <x:c r="M71" s="19" t="str">
        <x:f>IFERROR(L71/H71,"")</x:f>
      </x:c>
      <x:c r="N71" s="18"/>
      <x:c r="O71" s="23"/>
      <x:c r="P71" s="23" t="str">
        <x:f>IF(OR(I71="",O71=""),"",I71*O71)</x:f>
      </x:c>
      <x:c r="Q71" s="23" t="str">
        <x:f>IF(P71="","",P71-H71)</x:f>
      </x:c>
      <x:c r="R71" s="44"/>
    </x:row>
    <x:row r="72">
      <x:c r="F72" s="18"/>
      <x:c r="G72" s="23"/>
      <x:c r="H72" s="23"/>
      <x:c r="I72" t="str">
        <x:f>IFERROR(H72/G72,"")</x:f>
      </x:c>
      <x:c r="J72" s="23"/>
      <x:c r="K72" s="23" t="str">
        <x:f>IF(OR(I72="",J72=""),"",I72*J72)</x:f>
      </x:c>
      <x:c r="L72" s="23" t="str">
        <x:f>IF(K72="","",K72-H72)</x:f>
      </x:c>
      <x:c r="M72" s="19" t="str">
        <x:f>IFERROR(L72/H72,"")</x:f>
      </x:c>
      <x:c r="N72" s="18"/>
      <x:c r="O72" s="23"/>
      <x:c r="P72" s="23" t="str">
        <x:f>IF(OR(I72="",O72=""),"",I72*O72)</x:f>
      </x:c>
      <x:c r="Q72" s="23" t="str">
        <x:f>IF(P72="","",P72-H72)</x:f>
      </x:c>
      <x:c r="R72" s="44"/>
    </x:row>
    <x:row r="73">
      <x:c r="F73" s="18"/>
      <x:c r="G73" s="23"/>
      <x:c r="H73" s="23"/>
      <x:c r="I73" t="str">
        <x:f>IFERROR(H73/G73,"")</x:f>
      </x:c>
      <x:c r="J73" s="23"/>
      <x:c r="K73" s="23" t="str">
        <x:f>IF(OR(I73="",J73=""),"",I73*J73)</x:f>
      </x:c>
      <x:c r="L73" s="23" t="str">
        <x:f>IF(K73="","",K73-H73)</x:f>
      </x:c>
      <x:c r="M73" s="19" t="str">
        <x:f>IFERROR(L73/H73,"")</x:f>
      </x:c>
      <x:c r="N73" s="18"/>
      <x:c r="O73" s="23"/>
      <x:c r="P73" s="23" t="str">
        <x:f>IF(OR(I73="",O73=""),"",I73*O73)</x:f>
      </x:c>
      <x:c r="Q73" s="23" t="str">
        <x:f>IF(P73="","",P73-H73)</x:f>
      </x:c>
      <x:c r="R73" s="44"/>
    </x:row>
    <x:row r="74">
      <x:c r="F74" s="18"/>
      <x:c r="G74" s="23"/>
      <x:c r="H74" s="23"/>
      <x:c r="I74" t="str">
        <x:f>IFERROR(H74/G74,"")</x:f>
      </x:c>
      <x:c r="J74" s="23"/>
      <x:c r="K74" s="23" t="str">
        <x:f>IF(OR(I74="",J74=""),"",I74*J74)</x:f>
      </x:c>
      <x:c r="L74" s="23" t="str">
        <x:f>IF(K74="","",K74-H74)</x:f>
      </x:c>
      <x:c r="M74" s="19" t="str">
        <x:f>IFERROR(L74/H74,"")</x:f>
      </x:c>
      <x:c r="N74" s="18"/>
      <x:c r="O74" s="23"/>
      <x:c r="P74" s="23" t="str">
        <x:f>IF(OR(I74="",O74=""),"",I74*O74)</x:f>
      </x:c>
      <x:c r="Q74" s="23" t="str">
        <x:f>IF(P74="","",P74-H74)</x:f>
      </x:c>
      <x:c r="R74" s="44"/>
    </x:row>
    <x:row r="75">
      <x:c r="F75" s="18"/>
      <x:c r="G75" s="23"/>
      <x:c r="H75" s="23"/>
      <x:c r="I75" t="str">
        <x:f>IFERROR(H75/G75,"")</x:f>
      </x:c>
      <x:c r="J75" s="23"/>
      <x:c r="K75" s="23" t="str">
        <x:f>IF(OR(I75="",J75=""),"",I75*J75)</x:f>
      </x:c>
      <x:c r="L75" s="23" t="str">
        <x:f>IF(K75="","",K75-H75)</x:f>
      </x:c>
      <x:c r="M75" s="19" t="str">
        <x:f>IFERROR(L75/H75,"")</x:f>
      </x:c>
      <x:c r="N75" s="18"/>
      <x:c r="O75" s="23"/>
      <x:c r="P75" s="23" t="str">
        <x:f>IF(OR(I75="",O75=""),"",I75*O75)</x:f>
      </x:c>
      <x:c r="Q75" s="23" t="str">
        <x:f>IF(P75="","",P75-H75)</x:f>
      </x:c>
      <x:c r="R75" s="44"/>
    </x:row>
    <x:row r="76">
      <x:c r="F76" s="18"/>
      <x:c r="G76" s="23"/>
      <x:c r="H76" s="23"/>
      <x:c r="I76" t="str">
        <x:f>IFERROR(H76/G76,"")</x:f>
      </x:c>
      <x:c r="J76" s="23"/>
      <x:c r="K76" s="23" t="str">
        <x:f>IF(OR(I76="",J76=""),"",I76*J76)</x:f>
      </x:c>
      <x:c r="L76" s="23" t="str">
        <x:f>IF(K76="","",K76-H76)</x:f>
      </x:c>
      <x:c r="M76" s="19" t="str">
        <x:f>IFERROR(L76/H76,"")</x:f>
      </x:c>
      <x:c r="N76" s="18"/>
      <x:c r="O76" s="23"/>
      <x:c r="P76" s="23" t="str">
        <x:f>IF(OR(I76="",O76=""),"",I76*O76)</x:f>
      </x:c>
      <x:c r="Q76" s="23" t="str">
        <x:f>IF(P76="","",P76-H76)</x:f>
      </x:c>
      <x:c r="R76" s="44"/>
    </x:row>
    <x:row r="77">
      <x:c r="F77" s="18"/>
      <x:c r="G77" s="23"/>
      <x:c r="H77" s="23"/>
      <x:c r="I77" t="str">
        <x:f>IFERROR(H77/G77,"")</x:f>
      </x:c>
      <x:c r="J77" s="23"/>
      <x:c r="K77" s="23" t="str">
        <x:f>IF(OR(I77="",J77=""),"",I77*J77)</x:f>
      </x:c>
      <x:c r="L77" s="23" t="str">
        <x:f>IF(K77="","",K77-H77)</x:f>
      </x:c>
      <x:c r="M77" s="19" t="str">
        <x:f>IFERROR(L77/H77,"")</x:f>
      </x:c>
      <x:c r="N77" s="18"/>
      <x:c r="O77" s="23"/>
      <x:c r="P77" s="23" t="str">
        <x:f>IF(OR(I77="",O77=""),"",I77*O77)</x:f>
      </x:c>
      <x:c r="Q77" s="23" t="str">
        <x:f>IF(P77="","",P77-H77)</x:f>
      </x:c>
      <x:c r="R77" s="44"/>
    </x:row>
    <x:row r="78">
      <x:c r="F78" s="18"/>
      <x:c r="G78" s="23"/>
      <x:c r="H78" s="23"/>
      <x:c r="I78" t="str">
        <x:f>IFERROR(H78/G78,"")</x:f>
      </x:c>
      <x:c r="J78" s="23"/>
      <x:c r="K78" s="23" t="str">
        <x:f>IF(OR(I78="",J78=""),"",I78*J78)</x:f>
      </x:c>
      <x:c r="L78" s="23" t="str">
        <x:f>IF(K78="","",K78-H78)</x:f>
      </x:c>
      <x:c r="M78" s="19" t="str">
        <x:f>IFERROR(L78/H78,"")</x:f>
      </x:c>
      <x:c r="N78" s="18"/>
      <x:c r="O78" s="23"/>
      <x:c r="P78" s="23" t="str">
        <x:f>IF(OR(I78="",O78=""),"",I78*O78)</x:f>
      </x:c>
      <x:c r="Q78" s="23" t="str">
        <x:f>IF(P78="","",P78-H78)</x:f>
      </x:c>
      <x:c r="R78" s="44"/>
    </x:row>
    <x:row r="79">
      <x:c r="F79" s="18"/>
      <x:c r="G79" s="23"/>
      <x:c r="H79" s="23"/>
      <x:c r="I79" t="str">
        <x:f>IFERROR(H79/G79,"")</x:f>
      </x:c>
      <x:c r="J79" s="23"/>
      <x:c r="K79" s="23" t="str">
        <x:f>IF(OR(I79="",J79=""),"",I79*J79)</x:f>
      </x:c>
      <x:c r="L79" s="23" t="str">
        <x:f>IF(K79="","",K79-H79)</x:f>
      </x:c>
      <x:c r="M79" s="19" t="str">
        <x:f>IFERROR(L79/H79,"")</x:f>
      </x:c>
      <x:c r="N79" s="18"/>
      <x:c r="O79" s="23"/>
      <x:c r="P79" s="23" t="str">
        <x:f>IF(OR(I79="",O79=""),"",I79*O79)</x:f>
      </x:c>
      <x:c r="Q79" s="23" t="str">
        <x:f>IF(P79="","",P79-H79)</x:f>
      </x:c>
      <x:c r="R79" s="44"/>
    </x:row>
    <x:row r="80">
      <x:c r="F80" s="18"/>
      <x:c r="G80" s="23"/>
      <x:c r="H80" s="23"/>
      <x:c r="I80" t="str">
        <x:f>IFERROR(H80/G80,"")</x:f>
      </x:c>
      <x:c r="J80" s="23"/>
      <x:c r="K80" s="23" t="str">
        <x:f>IF(OR(I80="",J80=""),"",I80*J80)</x:f>
      </x:c>
      <x:c r="L80" s="23" t="str">
        <x:f>IF(K80="","",K80-H80)</x:f>
      </x:c>
      <x:c r="M80" s="19" t="str">
        <x:f>IFERROR(L80/H80,"")</x:f>
      </x:c>
      <x:c r="N80" s="18"/>
      <x:c r="O80" s="23"/>
      <x:c r="P80" s="23" t="str">
        <x:f>IF(OR(I80="",O80=""),"",I80*O80)</x:f>
      </x:c>
      <x:c r="Q80" s="23" t="str">
        <x:f>IF(P80="","",P80-H80)</x:f>
      </x:c>
      <x:c r="R80" s="44"/>
    </x:row>
    <x:row r="81">
      <x:c r="F81" s="18"/>
      <x:c r="G81" s="23"/>
      <x:c r="H81" s="23"/>
      <x:c r="I81" t="str">
        <x:f>IFERROR(H81/G81,"")</x:f>
      </x:c>
      <x:c r="J81" s="23"/>
      <x:c r="K81" s="23" t="str">
        <x:f>IF(OR(I81="",J81=""),"",I81*J81)</x:f>
      </x:c>
      <x:c r="L81" s="23" t="str">
        <x:f>IF(K81="","",K81-H81)</x:f>
      </x:c>
      <x:c r="M81" s="19" t="str">
        <x:f>IFERROR(L81/H81,"")</x:f>
      </x:c>
      <x:c r="N81" s="18"/>
      <x:c r="O81" s="23"/>
      <x:c r="P81" s="23" t="str">
        <x:f>IF(OR(I81="",O81=""),"",I81*O81)</x:f>
      </x:c>
      <x:c r="Q81" s="23" t="str">
        <x:f>IF(P81="","",P81-H81)</x:f>
      </x:c>
      <x:c r="R81" s="44"/>
    </x:row>
    <x:row r="82">
      <x:c r="F82" s="18"/>
      <x:c r="G82" s="23"/>
      <x:c r="H82" s="23"/>
      <x:c r="I82" t="str">
        <x:f>IFERROR(H82/G82,"")</x:f>
      </x:c>
      <x:c r="J82" s="23"/>
      <x:c r="K82" s="23" t="str">
        <x:f>IF(OR(I82="",J82=""),"",I82*J82)</x:f>
      </x:c>
      <x:c r="L82" s="23" t="str">
        <x:f>IF(K82="","",K82-H82)</x:f>
      </x:c>
      <x:c r="M82" s="19" t="str">
        <x:f>IFERROR(L82/H82,"")</x:f>
      </x:c>
      <x:c r="N82" s="18"/>
      <x:c r="O82" s="23"/>
      <x:c r="P82" s="23" t="str">
        <x:f>IF(OR(I82="",O82=""),"",I82*O82)</x:f>
      </x:c>
      <x:c r="Q82" s="23" t="str">
        <x:f>IF(P82="","",P82-H82)</x:f>
      </x:c>
      <x:c r="R82" s="44"/>
    </x:row>
    <x:row r="83">
      <x:c r="F83" s="18"/>
      <x:c r="G83" s="23"/>
      <x:c r="H83" s="23"/>
      <x:c r="I83" t="str">
        <x:f>IFERROR(H83/G83,"")</x:f>
      </x:c>
      <x:c r="J83" s="23"/>
      <x:c r="K83" s="23" t="str">
        <x:f>IF(OR(I83="",J83=""),"",I83*J83)</x:f>
      </x:c>
      <x:c r="L83" s="23" t="str">
        <x:f>IF(K83="","",K83-H83)</x:f>
      </x:c>
      <x:c r="M83" s="19" t="str">
        <x:f>IFERROR(L83/H83,"")</x:f>
      </x:c>
      <x:c r="N83" s="18"/>
      <x:c r="O83" s="23"/>
      <x:c r="P83" s="23" t="str">
        <x:f>IF(OR(I83="",O83=""),"",I83*O83)</x:f>
      </x:c>
      <x:c r="Q83" s="23" t="str">
        <x:f>IF(P83="","",P83-H83)</x:f>
      </x:c>
      <x:c r="R83" s="44"/>
    </x:row>
    <x:row r="84">
      <x:c r="F84" s="18"/>
      <x:c r="G84" s="23"/>
      <x:c r="H84" s="23"/>
      <x:c r="I84" t="str">
        <x:f>IFERROR(H84/G84,"")</x:f>
      </x:c>
      <x:c r="J84" s="23"/>
      <x:c r="K84" s="23" t="str">
        <x:f>IF(OR(I84="",J84=""),"",I84*J84)</x:f>
      </x:c>
      <x:c r="L84" s="23" t="str">
        <x:f>IF(K84="","",K84-H84)</x:f>
      </x:c>
      <x:c r="M84" s="19" t="str">
        <x:f>IFERROR(L84/H84,"")</x:f>
      </x:c>
      <x:c r="N84" s="18"/>
      <x:c r="O84" s="23"/>
      <x:c r="P84" s="23" t="str">
        <x:f>IF(OR(I84="",O84=""),"",I84*O84)</x:f>
      </x:c>
      <x:c r="Q84" s="23" t="str">
        <x:f>IF(P84="","",P84-H84)</x:f>
      </x:c>
      <x:c r="R84" s="44"/>
    </x:row>
    <x:row r="85">
      <x:c r="F85" s="18"/>
      <x:c r="G85" s="23"/>
      <x:c r="H85" s="23"/>
      <x:c r="I85" t="str">
        <x:f>IFERROR(H85/G85,"")</x:f>
      </x:c>
      <x:c r="J85" s="23"/>
      <x:c r="K85" s="23" t="str">
        <x:f>IF(OR(I85="",J85=""),"",I85*J85)</x:f>
      </x:c>
      <x:c r="L85" s="23" t="str">
        <x:f>IF(K85="","",K85-H85)</x:f>
      </x:c>
      <x:c r="M85" s="19" t="str">
        <x:f>IFERROR(L85/H85,"")</x:f>
      </x:c>
      <x:c r="N85" s="18"/>
      <x:c r="O85" s="23"/>
      <x:c r="P85" s="23" t="str">
        <x:f>IF(OR(I85="",O85=""),"",I85*O85)</x:f>
      </x:c>
      <x:c r="Q85" s="23" t="str">
        <x:f>IF(P85="","",P85-H85)</x:f>
      </x:c>
      <x:c r="R85" s="44"/>
    </x:row>
    <x:row r="86">
      <x:c r="F86" s="18"/>
      <x:c r="G86" s="23"/>
      <x:c r="H86" s="23"/>
      <x:c r="I86" t="str">
        <x:f>IFERROR(H86/G86,"")</x:f>
      </x:c>
      <x:c r="J86" s="23"/>
      <x:c r="K86" s="23" t="str">
        <x:f>IF(OR(I86="",J86=""),"",I86*J86)</x:f>
      </x:c>
      <x:c r="L86" s="23" t="str">
        <x:f>IF(K86="","",K86-H86)</x:f>
      </x:c>
      <x:c r="M86" s="19" t="str">
        <x:f>IFERROR(L86/H86,"")</x:f>
      </x:c>
      <x:c r="N86" s="18"/>
      <x:c r="O86" s="23"/>
      <x:c r="P86" s="23" t="str">
        <x:f>IF(OR(I86="",O86=""),"",I86*O86)</x:f>
      </x:c>
      <x:c r="Q86" s="23" t="str">
        <x:f>IF(P86="","",P86-H86)</x:f>
      </x:c>
      <x:c r="R86" s="44"/>
    </x:row>
    <x:row r="87">
      <x:c r="F87" s="18"/>
      <x:c r="G87" s="23"/>
      <x:c r="H87" s="23"/>
      <x:c r="I87" t="str">
        <x:f>IFERROR(H87/G87,"")</x:f>
      </x:c>
      <x:c r="J87" s="23"/>
      <x:c r="K87" s="23" t="str">
        <x:f>IF(OR(I87="",J87=""),"",I87*J87)</x:f>
      </x:c>
      <x:c r="L87" s="23" t="str">
        <x:f>IF(K87="","",K87-H87)</x:f>
      </x:c>
      <x:c r="M87" s="19" t="str">
        <x:f>IFERROR(L87/H87,"")</x:f>
      </x:c>
      <x:c r="N87" s="18"/>
      <x:c r="O87" s="23"/>
      <x:c r="P87" s="23" t="str">
        <x:f>IF(OR(I87="",O87=""),"",I87*O87)</x:f>
      </x:c>
      <x:c r="Q87" s="23" t="str">
        <x:f>IF(P87="","",P87-H87)</x:f>
      </x:c>
      <x:c r="R87" s="44"/>
    </x:row>
    <x:row r="88">
      <x:c r="F88" s="18"/>
      <x:c r="G88" s="23"/>
      <x:c r="H88" s="23"/>
      <x:c r="I88" t="str">
        <x:f>IFERROR(H88/G88,"")</x:f>
      </x:c>
      <x:c r="J88" s="23"/>
      <x:c r="K88" s="23" t="str">
        <x:f>IF(OR(I88="",J88=""),"",I88*J88)</x:f>
      </x:c>
      <x:c r="L88" s="23" t="str">
        <x:f>IF(K88="","",K88-H88)</x:f>
      </x:c>
      <x:c r="M88" s="19" t="str">
        <x:f>IFERROR(L88/H88,"")</x:f>
      </x:c>
      <x:c r="N88" s="18"/>
      <x:c r="O88" s="23"/>
      <x:c r="P88" s="23" t="str">
        <x:f>IF(OR(I88="",O88=""),"",I88*O88)</x:f>
      </x:c>
      <x:c r="Q88" s="23" t="str">
        <x:f>IF(P88="","",P88-H88)</x:f>
      </x:c>
      <x:c r="R88" s="44"/>
    </x:row>
    <x:row r="89">
      <x:c r="F89" s="18"/>
      <x:c r="G89" s="23"/>
      <x:c r="H89" s="23"/>
      <x:c r="I89" t="str">
        <x:f>IFERROR(H89/G89,"")</x:f>
      </x:c>
      <x:c r="J89" s="23"/>
      <x:c r="K89" s="23" t="str">
        <x:f>IF(OR(I89="",J89=""),"",I89*J89)</x:f>
      </x:c>
      <x:c r="L89" s="23" t="str">
        <x:f>IF(K89="","",K89-H89)</x:f>
      </x:c>
      <x:c r="M89" s="19" t="str">
        <x:f>IFERROR(L89/H89,"")</x:f>
      </x:c>
      <x:c r="N89" s="18"/>
      <x:c r="O89" s="23"/>
      <x:c r="P89" s="23" t="str">
        <x:f>IF(OR(I89="",O89=""),"",I89*O89)</x:f>
      </x:c>
      <x:c r="Q89" s="23" t="str">
        <x:f>IF(P89="","",P89-H89)</x:f>
      </x:c>
      <x:c r="R89" s="44"/>
    </x:row>
    <x:row r="90">
      <x:c r="F90" s="18"/>
      <x:c r="G90" s="23"/>
      <x:c r="H90" s="23"/>
      <x:c r="I90" t="str">
        <x:f>IFERROR(H90/G90,"")</x:f>
      </x:c>
      <x:c r="J90" s="23"/>
      <x:c r="K90" s="23" t="str">
        <x:f>IF(OR(I90="",J90=""),"",I90*J90)</x:f>
      </x:c>
      <x:c r="L90" s="23" t="str">
        <x:f>IF(K90="","",K90-H90)</x:f>
      </x:c>
      <x:c r="M90" s="19" t="str">
        <x:f>IFERROR(L90/H90,"")</x:f>
      </x:c>
      <x:c r="N90" s="18"/>
      <x:c r="O90" s="23"/>
      <x:c r="P90" s="23" t="str">
        <x:f>IF(OR(I90="",O90=""),"",I90*O90)</x:f>
      </x:c>
      <x:c r="Q90" s="23" t="str">
        <x:f>IF(P90="","",P90-H90)</x:f>
      </x:c>
      <x:c r="R90" s="44"/>
    </x:row>
    <x:row r="91">
      <x:c r="F91" s="18"/>
      <x:c r="G91" s="23"/>
      <x:c r="H91" s="23"/>
      <x:c r="I91" t="str">
        <x:f>IFERROR(H91/G91,"")</x:f>
      </x:c>
      <x:c r="J91" s="23"/>
      <x:c r="K91" s="23" t="str">
        <x:f>IF(OR(I91="",J91=""),"",I91*J91)</x:f>
      </x:c>
      <x:c r="L91" s="23" t="str">
        <x:f>IF(K91="","",K91-H91)</x:f>
      </x:c>
      <x:c r="M91" s="19" t="str">
        <x:f>IFERROR(L91/H91,"")</x:f>
      </x:c>
      <x:c r="N91" s="18"/>
      <x:c r="O91" s="23"/>
      <x:c r="P91" s="23" t="str">
        <x:f>IF(OR(I91="",O91=""),"",I91*O91)</x:f>
      </x:c>
      <x:c r="Q91" s="23" t="str">
        <x:f>IF(P91="","",P91-H91)</x:f>
      </x:c>
      <x:c r="R91" s="44"/>
    </x:row>
    <x:row r="92">
      <x:c r="F92" s="18"/>
      <x:c r="G92" s="23"/>
      <x:c r="H92" s="23"/>
      <x:c r="I92" t="str">
        <x:f>IFERROR(H92/G92,"")</x:f>
      </x:c>
      <x:c r="J92" s="23"/>
      <x:c r="K92" s="23" t="str">
        <x:f>IF(OR(I92="",J92=""),"",I92*J92)</x:f>
      </x:c>
      <x:c r="L92" s="23" t="str">
        <x:f>IF(K92="","",K92-H92)</x:f>
      </x:c>
      <x:c r="M92" s="19" t="str">
        <x:f>IFERROR(L92/H92,"")</x:f>
      </x:c>
      <x:c r="N92" s="18"/>
      <x:c r="O92" s="23"/>
      <x:c r="P92" s="23" t="str">
        <x:f>IF(OR(I92="",O92=""),"",I92*O92)</x:f>
      </x:c>
      <x:c r="Q92" s="23" t="str">
        <x:f>IF(P92="","",P92-H92)</x:f>
      </x:c>
      <x:c r="R92" s="44"/>
    </x:row>
    <x:row r="93">
      <x:c r="F93" s="18"/>
      <x:c r="G93" s="23"/>
      <x:c r="H93" s="23"/>
      <x:c r="I93" t="str">
        <x:f>IFERROR(H93/G93,"")</x:f>
      </x:c>
      <x:c r="J93" s="23"/>
      <x:c r="K93" s="23" t="str">
        <x:f>IF(OR(I93="",J93=""),"",I93*J93)</x:f>
      </x:c>
      <x:c r="L93" s="23" t="str">
        <x:f>IF(K93="","",K93-H93)</x:f>
      </x:c>
      <x:c r="M93" s="19" t="str">
        <x:f>IFERROR(L93/H93,"")</x:f>
      </x:c>
      <x:c r="N93" s="18"/>
      <x:c r="O93" s="23"/>
      <x:c r="P93" s="23" t="str">
        <x:f>IF(OR(I93="",O93=""),"",I93*O93)</x:f>
      </x:c>
      <x:c r="Q93" s="23" t="str">
        <x:f>IF(P93="","",P93-H93)</x:f>
      </x:c>
      <x:c r="R93" s="44"/>
    </x:row>
    <x:row r="94">
      <x:c r="F94" s="18"/>
      <x:c r="G94" s="23"/>
      <x:c r="H94" s="23"/>
      <x:c r="I94" t="str">
        <x:f>IFERROR(H94/G94,"")</x:f>
      </x:c>
      <x:c r="J94" s="23"/>
      <x:c r="K94" s="23" t="str">
        <x:f>IF(OR(I94="",J94=""),"",I94*J94)</x:f>
      </x:c>
      <x:c r="L94" s="23" t="str">
        <x:f>IF(K94="","",K94-H94)</x:f>
      </x:c>
      <x:c r="M94" s="19" t="str">
        <x:f>IFERROR(L94/H94,"")</x:f>
      </x:c>
      <x:c r="N94" s="18"/>
      <x:c r="O94" s="23"/>
      <x:c r="P94" s="23" t="str">
        <x:f>IF(OR(I94="",O94=""),"",I94*O94)</x:f>
      </x:c>
      <x:c r="Q94" s="23" t="str">
        <x:f>IF(P94="","",P94-H94)</x:f>
      </x:c>
      <x:c r="R94" s="44"/>
    </x:row>
    <x:row r="95">
      <x:c r="F95" s="18"/>
      <x:c r="G95" s="23"/>
      <x:c r="H95" s="23"/>
      <x:c r="I95" t="str">
        <x:f>IFERROR(H95/G95,"")</x:f>
      </x:c>
      <x:c r="J95" s="23"/>
      <x:c r="K95" s="23" t="str">
        <x:f>IF(OR(I95="",J95=""),"",I95*J95)</x:f>
      </x:c>
      <x:c r="L95" s="23" t="str">
        <x:f>IF(K95="","",K95-H95)</x:f>
      </x:c>
      <x:c r="M95" s="19" t="str">
        <x:f>IFERROR(L95/H95,"")</x:f>
      </x:c>
      <x:c r="N95" s="18"/>
      <x:c r="O95" s="23"/>
      <x:c r="P95" s="23" t="str">
        <x:f>IF(OR(I95="",O95=""),"",I95*O95)</x:f>
      </x:c>
      <x:c r="Q95" s="23" t="str">
        <x:f>IF(P95="","",P95-H95)</x:f>
      </x:c>
      <x:c r="R95" s="44"/>
    </x:row>
    <x:row r="96">
      <x:c r="F96" s="18"/>
      <x:c r="G96" s="23"/>
      <x:c r="H96" s="23"/>
      <x:c r="I96" t="str">
        <x:f>IFERROR(H96/G96,"")</x:f>
      </x:c>
      <x:c r="J96" s="23"/>
      <x:c r="K96" s="23" t="str">
        <x:f>IF(OR(I96="",J96=""),"",I96*J96)</x:f>
      </x:c>
      <x:c r="L96" s="23" t="str">
        <x:f>IF(K96="","",K96-H96)</x:f>
      </x:c>
      <x:c r="M96" s="19" t="str">
        <x:f>IFERROR(L96/H96,"")</x:f>
      </x:c>
      <x:c r="N96" s="18"/>
      <x:c r="O96" s="23"/>
      <x:c r="P96" s="23" t="str">
        <x:f>IF(OR(I96="",O96=""),"",I96*O96)</x:f>
      </x:c>
      <x:c r="Q96" s="23" t="str">
        <x:f>IF(P96="","",P96-H96)</x:f>
      </x:c>
      <x:c r="R96" s="44"/>
    </x:row>
    <x:row r="97">
      <x:c r="F97" s="18"/>
      <x:c r="G97" s="23"/>
      <x:c r="H97" s="23"/>
      <x:c r="I97" t="str">
        <x:f>IFERROR(H97/G97,"")</x:f>
      </x:c>
      <x:c r="J97" s="23"/>
      <x:c r="K97" s="23" t="str">
        <x:f>IF(OR(I97="",J97=""),"",I97*J97)</x:f>
      </x:c>
      <x:c r="L97" s="23" t="str">
        <x:f>IF(K97="","",K97-H97)</x:f>
      </x:c>
      <x:c r="M97" s="19" t="str">
        <x:f>IFERROR(L97/H97,"")</x:f>
      </x:c>
      <x:c r="N97" s="18"/>
      <x:c r="O97" s="23"/>
      <x:c r="P97" s="23" t="str">
        <x:f>IF(OR(I97="",O97=""),"",I97*O97)</x:f>
      </x:c>
      <x:c r="Q97" s="23" t="str">
        <x:f>IF(P97="","",P97-H97)</x:f>
      </x:c>
      <x:c r="R97" s="44"/>
    </x:row>
    <x:row r="98">
      <x:c r="F98" s="18"/>
      <x:c r="G98" s="23"/>
      <x:c r="H98" s="23"/>
      <x:c r="I98" t="str">
        <x:f>IFERROR(H98/G98,"")</x:f>
      </x:c>
      <x:c r="J98" s="23"/>
      <x:c r="K98" s="23" t="str">
        <x:f>IF(OR(I98="",J98=""),"",I98*J98)</x:f>
      </x:c>
      <x:c r="L98" s="23" t="str">
        <x:f>IF(K98="","",K98-H98)</x:f>
      </x:c>
      <x:c r="M98" s="19" t="str">
        <x:f>IFERROR(L98/H98,"")</x:f>
      </x:c>
      <x:c r="N98" s="18"/>
      <x:c r="O98" s="23"/>
      <x:c r="P98" s="23" t="str">
        <x:f>IF(OR(I98="",O98=""),"",I98*O98)</x:f>
      </x:c>
      <x:c r="Q98" s="23" t="str">
        <x:f>IF(P98="","",P98-H98)</x:f>
      </x:c>
      <x:c r="R98" s="44"/>
    </x:row>
    <x:row r="99">
      <x:c r="F99" s="18"/>
      <x:c r="G99" s="23"/>
      <x:c r="H99" s="23"/>
      <x:c r="I99" t="str">
        <x:f>IFERROR(H99/G99,"")</x:f>
      </x:c>
      <x:c r="J99" s="23"/>
      <x:c r="K99" s="23" t="str">
        <x:f>IF(OR(I99="",J99=""),"",I99*J99)</x:f>
      </x:c>
      <x:c r="L99" s="23" t="str">
        <x:f>IF(K99="","",K99-H99)</x:f>
      </x:c>
      <x:c r="M99" s="19" t="str">
        <x:f>IFERROR(L99/H99,"")</x:f>
      </x:c>
      <x:c r="N99" s="18"/>
      <x:c r="O99" s="23"/>
      <x:c r="P99" s="23" t="str">
        <x:f>IF(OR(I99="",O99=""),"",I99*O99)</x:f>
      </x:c>
      <x:c r="Q99" s="23" t="str">
        <x:f>IF(P99="","",P99-H99)</x:f>
      </x:c>
      <x:c r="R99" s="44"/>
    </x:row>
    <x:row r="100">
      <x:c r="F100" s="18"/>
      <x:c r="G100" s="23"/>
      <x:c r="H100" s="23"/>
      <x:c r="I100" t="str">
        <x:f>IFERROR(H100/G100,"")</x:f>
      </x:c>
      <x:c r="J100" s="23"/>
      <x:c r="K100" s="23" t="str">
        <x:f>IF(OR(I100="",J100=""),"",I100*J100)</x:f>
      </x:c>
      <x:c r="L100" s="23" t="str">
        <x:f>IF(K100="","",K100-H100)</x:f>
      </x:c>
      <x:c r="M100" s="19" t="str">
        <x:f>IFERROR(L100/H100,"")</x:f>
      </x:c>
      <x:c r="N100" s="18"/>
      <x:c r="O100" s="23"/>
      <x:c r="P100" s="23" t="str">
        <x:f>IF(OR(I100="",O100=""),"",I100*O100)</x:f>
      </x:c>
      <x:c r="Q100" s="23" t="str">
        <x:f>IF(P100="","",P100-H100)</x:f>
      </x:c>
      <x:c r="R100" s="44"/>
    </x:row>
    <x:row r="101">
      <x:c r="F101" s="18"/>
      <x:c r="G101" s="23"/>
      <x:c r="H101" s="23"/>
      <x:c r="I101" t="str">
        <x:f>IFERROR(H101/G101,"")</x:f>
      </x:c>
      <x:c r="J101" s="23"/>
      <x:c r="K101" s="23" t="str">
        <x:f>IF(OR(I101="",J101=""),"",I101*J101)</x:f>
      </x:c>
      <x:c r="L101" s="23" t="str">
        <x:f>IF(K101="","",K101-H101)</x:f>
      </x:c>
      <x:c r="M101" s="19" t="str">
        <x:f>IFERROR(L101/H101,"")</x:f>
      </x:c>
      <x:c r="N101" s="18"/>
      <x:c r="O101" s="23"/>
      <x:c r="P101" s="23" t="str">
        <x:f>IF(OR(I101="",O101=""),"",I101*O101)</x:f>
      </x:c>
      <x:c r="Q101" s="23" t="str">
        <x:f>IF(P101="","",P101-H101)</x:f>
      </x:c>
      <x:c r="R101" s="44"/>
    </x:row>
    <x:row r="102">
      <x:c r="F102" s="18"/>
      <x:c r="G102" s="23"/>
      <x:c r="H102" s="23"/>
      <x:c r="I102" t="str">
        <x:f>IFERROR(H102/G102,"")</x:f>
      </x:c>
      <x:c r="J102" s="23"/>
      <x:c r="K102" s="23" t="str">
        <x:f>IF(OR(I102="",J102=""),"",I102*J102)</x:f>
      </x:c>
      <x:c r="L102" s="23" t="str">
        <x:f>IF(K102="","",K102-H102)</x:f>
      </x:c>
      <x:c r="M102" s="19" t="str">
        <x:f>IFERROR(L102/H102,"")</x:f>
      </x:c>
      <x:c r="N102" s="18"/>
      <x:c r="O102" s="23"/>
      <x:c r="P102" s="23" t="str">
        <x:f>IF(OR(I102="",O102=""),"",I102*O102)</x:f>
      </x:c>
      <x:c r="Q102" s="23" t="str">
        <x:f>IF(P102="","",P102-H102)</x:f>
      </x:c>
      <x:c r="R102" s="44"/>
    </x:row>
    <x:row r="103">
      <x:c r="F103" s="18"/>
      <x:c r="G103" s="23"/>
      <x:c r="H103" s="23"/>
      <x:c r="I103" t="str">
        <x:f>IFERROR(H103/G103,"")</x:f>
      </x:c>
      <x:c r="J103" s="23"/>
      <x:c r="K103" s="23" t="str">
        <x:f>IF(OR(I103="",J103=""),"",I103*J103)</x:f>
      </x:c>
      <x:c r="L103" s="23" t="str">
        <x:f>IF(K103="","",K103-H103)</x:f>
      </x:c>
      <x:c r="M103" s="19" t="str">
        <x:f>IFERROR(L103/H103,"")</x:f>
      </x:c>
      <x:c r="N103" s="18"/>
      <x:c r="O103" s="23"/>
      <x:c r="P103" s="23" t="str">
        <x:f>IF(OR(I103="",O103=""),"",I103*O103)</x:f>
      </x:c>
      <x:c r="Q103" s="23" t="str">
        <x:f>IF(P103="","",P103-H103)</x:f>
      </x:c>
      <x:c r="R103" s="44"/>
    </x:row>
    <x:row r="104">
      <x:c r="F104" s="18"/>
      <x:c r="G104" s="23"/>
      <x:c r="H104" s="23"/>
      <x:c r="I104" t="str">
        <x:f>IFERROR(H104/G104,"")</x:f>
      </x:c>
      <x:c r="J104" s="23"/>
      <x:c r="K104" s="23" t="str">
        <x:f>IF(OR(I104="",J104=""),"",I104*J104)</x:f>
      </x:c>
      <x:c r="L104" s="23" t="str">
        <x:f>IF(K104="","",K104-H104)</x:f>
      </x:c>
      <x:c r="M104" s="19" t="str">
        <x:f>IFERROR(L104/H104,"")</x:f>
      </x:c>
      <x:c r="N104" s="18"/>
      <x:c r="O104" s="23"/>
      <x:c r="P104" s="23" t="str">
        <x:f>IF(OR(I104="",O104=""),"",I104*O104)</x:f>
      </x:c>
      <x:c r="Q104" s="23" t="str">
        <x:f>IF(P104="","",P104-H104)</x:f>
      </x:c>
      <x:c r="R104" s="44"/>
    </x:row>
    <x:row r="105">
      <x:c r="F105" s="18"/>
      <x:c r="G105" s="23"/>
      <x:c r="H105" s="23"/>
      <x:c r="I105" t="str">
        <x:f>IFERROR(H105/G105,"")</x:f>
      </x:c>
      <x:c r="J105" s="23"/>
      <x:c r="K105" s="23" t="str">
        <x:f>IF(OR(I105="",J105=""),"",I105*J105)</x:f>
      </x:c>
      <x:c r="L105" s="23" t="str">
        <x:f>IF(K105="","",K105-H105)</x:f>
      </x:c>
      <x:c r="M105" s="19" t="str">
        <x:f>IFERROR(L105/H105,"")</x:f>
      </x:c>
      <x:c r="N105" s="18"/>
      <x:c r="O105" s="23"/>
      <x:c r="P105" s="23" t="str">
        <x:f>IF(OR(I105="",O105=""),"",I105*O105)</x:f>
      </x:c>
      <x:c r="Q105" s="23" t="str">
        <x:f>IF(P105="","",P105-H105)</x:f>
      </x:c>
      <x:c r="R105" s="44"/>
    </x:row>
    <x:row r="106">
      <x:c r="F106" s="18"/>
      <x:c r="G106" s="23"/>
      <x:c r="H106" s="23"/>
      <x:c r="I106" t="str">
        <x:f>IFERROR(H106/G106,"")</x:f>
      </x:c>
      <x:c r="J106" s="23"/>
      <x:c r="K106" s="23" t="str">
        <x:f>IF(OR(I106="",J106=""),"",I106*J106)</x:f>
      </x:c>
      <x:c r="L106" s="23" t="str">
        <x:f>IF(K106="","",K106-H106)</x:f>
      </x:c>
      <x:c r="M106" s="19" t="str">
        <x:f>IFERROR(L106/H106,"")</x:f>
      </x:c>
      <x:c r="N106" s="18"/>
      <x:c r="O106" s="23"/>
      <x:c r="P106" s="23" t="str">
        <x:f>IF(OR(I106="",O106=""),"",I106*O106)</x:f>
      </x:c>
      <x:c r="Q106" s="23" t="str">
        <x:f>IF(P106="","",P106-H106)</x:f>
      </x:c>
      <x:c r="R106" s="44"/>
    </x:row>
    <x:row r="107">
      <x:c r="F107" s="18"/>
      <x:c r="G107" s="23"/>
      <x:c r="H107" s="23"/>
      <x:c r="I107" t="str">
        <x:f>IFERROR(H107/G107,"")</x:f>
      </x:c>
      <x:c r="J107" s="23"/>
      <x:c r="K107" s="23" t="str">
        <x:f>IF(OR(I107="",J107=""),"",I107*J107)</x:f>
      </x:c>
      <x:c r="L107" s="23" t="str">
        <x:f>IF(K107="","",K107-H107)</x:f>
      </x:c>
      <x:c r="M107" s="19" t="str">
        <x:f>IFERROR(L107/H107,"")</x:f>
      </x:c>
      <x:c r="N107" s="18"/>
      <x:c r="O107" s="23"/>
      <x:c r="P107" s="23" t="str">
        <x:f>IF(OR(I107="",O107=""),"",I107*O107)</x:f>
      </x:c>
      <x:c r="Q107" s="23" t="str">
        <x:f>IF(P107="","",P107-H107)</x:f>
      </x:c>
      <x:c r="R107" s="44"/>
    </x:row>
    <x:row r="108">
      <x:c r="F108" s="18"/>
      <x:c r="G108" s="23"/>
      <x:c r="H108" s="23"/>
      <x:c r="I108" t="str">
        <x:f>IFERROR(H108/G108,"")</x:f>
      </x:c>
      <x:c r="J108" s="23"/>
      <x:c r="K108" s="23" t="str">
        <x:f>IF(OR(I108="",J108=""),"",I108*J108)</x:f>
      </x:c>
      <x:c r="L108" s="23" t="str">
        <x:f>IF(K108="","",K108-H108)</x:f>
      </x:c>
      <x:c r="M108" s="19" t="str">
        <x:f>IFERROR(L108/H108,"")</x:f>
      </x:c>
      <x:c r="N108" s="18"/>
      <x:c r="O108" s="23"/>
      <x:c r="P108" s="23" t="str">
        <x:f>IF(OR(I108="",O108=""),"",I108*O108)</x:f>
      </x:c>
      <x:c r="Q108" s="23" t="str">
        <x:f>IF(P108="","",P108-H108)</x:f>
      </x:c>
      <x:c r="R108" s="44"/>
    </x:row>
    <x:row r="109">
      <x:c r="F109" s="18"/>
      <x:c r="G109" s="23"/>
      <x:c r="H109" s="23"/>
      <x:c r="I109" t="str">
        <x:f>IFERROR(H109/G109,"")</x:f>
      </x:c>
      <x:c r="J109" s="23"/>
      <x:c r="K109" s="23" t="str">
        <x:f>IF(OR(I109="",J109=""),"",I109*J109)</x:f>
      </x:c>
      <x:c r="L109" s="23" t="str">
        <x:f>IF(K109="","",K109-H109)</x:f>
      </x:c>
      <x:c r="M109" s="19" t="str">
        <x:f>IFERROR(L109/H109,"")</x:f>
      </x:c>
      <x:c r="N109" s="18"/>
      <x:c r="O109" s="23"/>
      <x:c r="P109" s="23" t="str">
        <x:f>IF(OR(I109="",O109=""),"",I109*O109)</x:f>
      </x:c>
      <x:c r="Q109" s="23" t="str">
        <x:f>IF(P109="","",P109-H109)</x:f>
      </x:c>
      <x:c r="R109" s="44"/>
    </x:row>
    <x:row r="110">
      <x:c r="F110" s="18"/>
      <x:c r="G110" s="23"/>
      <x:c r="H110" s="23"/>
      <x:c r="I110" t="str">
        <x:f>IFERROR(H110/G110,"")</x:f>
      </x:c>
      <x:c r="J110" s="23"/>
      <x:c r="K110" s="23" t="str">
        <x:f>IF(OR(I110="",J110=""),"",I110*J110)</x:f>
      </x:c>
      <x:c r="L110" s="23" t="str">
        <x:f>IF(K110="","",K110-H110)</x:f>
      </x:c>
      <x:c r="M110" s="19" t="str">
        <x:f>IFERROR(L110/H110,"")</x:f>
      </x:c>
      <x:c r="N110" s="18"/>
      <x:c r="O110" s="23"/>
      <x:c r="P110" s="23" t="str">
        <x:f>IF(OR(I110="",O110=""),"",I110*O110)</x:f>
      </x:c>
      <x:c r="Q110" s="23" t="str">
        <x:f>IF(P110="","",P110-H110)</x:f>
      </x:c>
      <x:c r="R110" s="44"/>
    </x:row>
    <x:row r="111">
      <x:c r="F111" s="18"/>
      <x:c r="G111" s="23"/>
      <x:c r="H111" s="23"/>
      <x:c r="I111" t="str">
        <x:f>IFERROR(H111/G111,"")</x:f>
      </x:c>
      <x:c r="J111" s="23"/>
      <x:c r="K111" s="23" t="str">
        <x:f>IF(OR(I111="",J111=""),"",I111*J111)</x:f>
      </x:c>
      <x:c r="L111" s="23" t="str">
        <x:f>IF(K111="","",K111-H111)</x:f>
      </x:c>
      <x:c r="M111" s="19" t="str">
        <x:f>IFERROR(L111/H111,"")</x:f>
      </x:c>
      <x:c r="N111" s="18"/>
      <x:c r="O111" s="23"/>
      <x:c r="P111" s="23" t="str">
        <x:f>IF(OR(I111="",O111=""),"",I111*O111)</x:f>
      </x:c>
      <x:c r="Q111" s="23" t="str">
        <x:f>IF(P111="","",P111-H111)</x:f>
      </x:c>
      <x:c r="R111" s="44"/>
    </x:row>
    <x:row r="112">
      <x:c r="F112" s="18"/>
      <x:c r="G112" s="23"/>
      <x:c r="H112" s="23"/>
      <x:c r="I112" t="str">
        <x:f>IFERROR(H112/G112,"")</x:f>
      </x:c>
      <x:c r="J112" s="23"/>
      <x:c r="K112" s="23" t="str">
        <x:f>IF(OR(I112="",J112=""),"",I112*J112)</x:f>
      </x:c>
      <x:c r="L112" s="23" t="str">
        <x:f>IF(K112="","",K112-H112)</x:f>
      </x:c>
      <x:c r="M112" s="19" t="str">
        <x:f>IFERROR(L112/H112,"")</x:f>
      </x:c>
      <x:c r="N112" s="18"/>
      <x:c r="O112" s="23"/>
      <x:c r="P112" s="23" t="str">
        <x:f>IF(OR(I112="",O112=""),"",I112*O112)</x:f>
      </x:c>
      <x:c r="Q112" s="23" t="str">
        <x:f>IF(P112="","",P112-H112)</x:f>
      </x:c>
      <x:c r="R112" s="44"/>
    </x:row>
    <x:row r="113">
      <x:c r="F113" s="18"/>
      <x:c r="G113" s="23"/>
      <x:c r="H113" s="23"/>
      <x:c r="I113" t="str">
        <x:f>IFERROR(H113/G113,"")</x:f>
      </x:c>
      <x:c r="J113" s="23"/>
      <x:c r="K113" s="23" t="str">
        <x:f>IF(OR(I113="",J113=""),"",I113*J113)</x:f>
      </x:c>
      <x:c r="L113" s="23" t="str">
        <x:f>IF(K113="","",K113-H113)</x:f>
      </x:c>
      <x:c r="M113" s="19" t="str">
        <x:f>IFERROR(L113/H113,"")</x:f>
      </x:c>
      <x:c r="N113" s="18"/>
      <x:c r="O113" s="23"/>
      <x:c r="P113" s="23" t="str">
        <x:f>IF(OR(I113="",O113=""),"",I113*O113)</x:f>
      </x:c>
      <x:c r="Q113" s="23" t="str">
        <x:f>IF(P113="","",P113-H113)</x:f>
      </x:c>
      <x:c r="R113" s="44"/>
    </x:row>
    <x:row r="114">
      <x:c r="F114" s="18"/>
      <x:c r="G114" s="23"/>
      <x:c r="H114" s="23"/>
      <x:c r="I114" t="str">
        <x:f>IFERROR(H114/G114,"")</x:f>
      </x:c>
      <x:c r="J114" s="23"/>
      <x:c r="K114" s="23" t="str">
        <x:f>IF(OR(I114="",J114=""),"",I114*J114)</x:f>
      </x:c>
      <x:c r="L114" s="23" t="str">
        <x:f>IF(K114="","",K114-H114)</x:f>
      </x:c>
      <x:c r="M114" s="19" t="str">
        <x:f>IFERROR(L114/H114,"")</x:f>
      </x:c>
      <x:c r="N114" s="18"/>
      <x:c r="O114" s="23"/>
      <x:c r="P114" s="23" t="str">
        <x:f>IF(OR(I114="",O114=""),"",I114*O114)</x:f>
      </x:c>
      <x:c r="Q114" s="23" t="str">
        <x:f>IF(P114="","",P114-H114)</x:f>
      </x:c>
      <x:c r="R114" s="44"/>
    </x:row>
    <x:row r="115">
      <x:c r="F115" s="18"/>
      <x:c r="G115" s="23"/>
      <x:c r="H115" s="23"/>
      <x:c r="I115" t="str">
        <x:f>IFERROR(H115/G115,"")</x:f>
      </x:c>
      <x:c r="J115" s="23"/>
      <x:c r="K115" s="23" t="str">
        <x:f>IF(OR(I115="",J115=""),"",I115*J115)</x:f>
      </x:c>
      <x:c r="L115" s="23" t="str">
        <x:f>IF(K115="","",K115-H115)</x:f>
      </x:c>
      <x:c r="M115" s="19" t="str">
        <x:f>IFERROR(L115/H115,"")</x:f>
      </x:c>
      <x:c r="N115" s="18"/>
      <x:c r="O115" s="23"/>
      <x:c r="P115" s="23" t="str">
        <x:f>IF(OR(I115="",O115=""),"",I115*O115)</x:f>
      </x:c>
      <x:c r="Q115" s="23" t="str">
        <x:f>IF(P115="","",P115-H115)</x:f>
      </x:c>
      <x:c r="R115" s="44"/>
    </x:row>
    <x:row r="116">
      <x:c r="F116" s="18"/>
      <x:c r="G116" s="23"/>
      <x:c r="H116" s="23"/>
      <x:c r="I116" t="str">
        <x:f>IFERROR(H116/G116,"")</x:f>
      </x:c>
      <x:c r="J116" s="23"/>
      <x:c r="K116" s="23" t="str">
        <x:f>IF(OR(I116="",J116=""),"",I116*J116)</x:f>
      </x:c>
      <x:c r="L116" s="23" t="str">
        <x:f>IF(K116="","",K116-H116)</x:f>
      </x:c>
      <x:c r="M116" s="19" t="str">
        <x:f>IFERROR(L116/H116,"")</x:f>
      </x:c>
      <x:c r="N116" s="18"/>
      <x:c r="O116" s="23"/>
      <x:c r="P116" s="23" t="str">
        <x:f>IF(OR(I116="",O116=""),"",I116*O116)</x:f>
      </x:c>
      <x:c r="Q116" s="23" t="str">
        <x:f>IF(P116="","",P116-H116)</x:f>
      </x:c>
      <x:c r="R116" s="44"/>
    </x:row>
    <x:row r="117">
      <x:c r="F117" s="18"/>
      <x:c r="G117" s="23"/>
      <x:c r="H117" s="23"/>
      <x:c r="I117" t="str">
        <x:f>IFERROR(H117/G117,"")</x:f>
      </x:c>
      <x:c r="J117" s="23"/>
      <x:c r="K117" s="23" t="str">
        <x:f>IF(OR(I117="",J117=""),"",I117*J117)</x:f>
      </x:c>
      <x:c r="L117" s="23" t="str">
        <x:f>IF(K117="","",K117-H117)</x:f>
      </x:c>
      <x:c r="M117" s="19" t="str">
        <x:f>IFERROR(L117/H117,"")</x:f>
      </x:c>
      <x:c r="N117" s="18"/>
      <x:c r="O117" s="23"/>
      <x:c r="P117" s="23" t="str">
        <x:f>IF(OR(I117="",O117=""),"",I117*O117)</x:f>
      </x:c>
      <x:c r="Q117" s="23" t="str">
        <x:f>IF(P117="","",P117-H117)</x:f>
      </x:c>
      <x:c r="R117" s="44"/>
    </x:row>
    <x:row r="118">
      <x:c r="F118" s="18"/>
      <x:c r="G118" s="23"/>
      <x:c r="H118" s="23"/>
      <x:c r="I118" t="str">
        <x:f>IFERROR(H118/G118,"")</x:f>
      </x:c>
      <x:c r="J118" s="23"/>
      <x:c r="K118" s="23" t="str">
        <x:f>IF(OR(I118="",J118=""),"",I118*J118)</x:f>
      </x:c>
      <x:c r="L118" s="23" t="str">
        <x:f>IF(K118="","",K118-H118)</x:f>
      </x:c>
      <x:c r="M118" s="19" t="str">
        <x:f>IFERROR(L118/H118,"")</x:f>
      </x:c>
      <x:c r="N118" s="18"/>
      <x:c r="O118" s="23"/>
      <x:c r="P118" s="23" t="str">
        <x:f>IF(OR(I118="",O118=""),"",I118*O118)</x:f>
      </x:c>
      <x:c r="Q118" s="23" t="str">
        <x:f>IF(P118="","",P118-H118)</x:f>
      </x:c>
      <x:c r="R118" s="44"/>
    </x:row>
    <x:row r="119">
      <x:c r="F119" s="18"/>
      <x:c r="G119" s="23"/>
      <x:c r="H119" s="23"/>
      <x:c r="I119" t="str">
        <x:f>IFERROR(H119/G119,"")</x:f>
      </x:c>
      <x:c r="J119" s="23"/>
      <x:c r="K119" s="23" t="str">
        <x:f>IF(OR(I119="",J119=""),"",I119*J119)</x:f>
      </x:c>
      <x:c r="L119" s="23" t="str">
        <x:f>IF(K119="","",K119-H119)</x:f>
      </x:c>
      <x:c r="M119" s="19" t="str">
        <x:f>IFERROR(L119/H119,"")</x:f>
      </x:c>
      <x:c r="N119" s="18"/>
      <x:c r="O119" s="23"/>
      <x:c r="P119" s="23" t="str">
        <x:f>IF(OR(I119="",O119=""),"",I119*O119)</x:f>
      </x:c>
      <x:c r="Q119" s="23" t="str">
        <x:f>IF(P119="","",P119-H119)</x:f>
      </x:c>
      <x:c r="R119" s="44"/>
    </x:row>
    <x:row r="120">
      <x:c r="F120" s="18"/>
      <x:c r="G120" s="23"/>
      <x:c r="H120" s="23"/>
      <x:c r="I120" t="str">
        <x:f>IFERROR(H120/G120,"")</x:f>
      </x:c>
      <x:c r="J120" s="23"/>
      <x:c r="K120" s="23" t="str">
        <x:f>IF(OR(I120="",J120=""),"",I120*J120)</x:f>
      </x:c>
      <x:c r="L120" s="23" t="str">
        <x:f>IF(K120="","",K120-H120)</x:f>
      </x:c>
      <x:c r="M120" s="19" t="str">
        <x:f>IFERROR(L120/H120,"")</x:f>
      </x:c>
      <x:c r="N120" s="18"/>
      <x:c r="O120" s="23"/>
      <x:c r="P120" s="23" t="str">
        <x:f>IF(OR(I120="",O120=""),"",I120*O120)</x:f>
      </x:c>
      <x:c r="Q120" s="23" t="str">
        <x:f>IF(P120="","",P120-H120)</x:f>
      </x:c>
      <x:c r="R120" s="44"/>
    </x:row>
    <x:row r="121">
      <x:c r="F121" s="18"/>
      <x:c r="G121" s="23"/>
      <x:c r="H121" s="23"/>
      <x:c r="I121" t="str">
        <x:f>IFERROR(H121/G121,"")</x:f>
      </x:c>
      <x:c r="J121" s="23"/>
      <x:c r="K121" s="23" t="str">
        <x:f>IF(OR(I121="",J121=""),"",I121*J121)</x:f>
      </x:c>
      <x:c r="L121" s="23" t="str">
        <x:f>IF(K121="","",K121-H121)</x:f>
      </x:c>
      <x:c r="M121" s="19" t="str">
        <x:f>IFERROR(L121/H121,"")</x:f>
      </x:c>
      <x:c r="N121" s="18"/>
      <x:c r="O121" s="23"/>
      <x:c r="P121" s="23" t="str">
        <x:f>IF(OR(I121="",O121=""),"",I121*O121)</x:f>
      </x:c>
      <x:c r="Q121" s="23" t="str">
        <x:f>IF(P121="","",P121-H121)</x:f>
      </x:c>
      <x:c r="R121" s="44"/>
    </x:row>
    <x:row r="122">
      <x:c r="F122" s="18"/>
      <x:c r="G122" s="23"/>
      <x:c r="H122" s="23"/>
      <x:c r="I122" t="str">
        <x:f>IFERROR(H122/G122,"")</x:f>
      </x:c>
      <x:c r="J122" s="23"/>
      <x:c r="K122" s="23" t="str">
        <x:f>IF(OR(I122="",J122=""),"",I122*J122)</x:f>
      </x:c>
      <x:c r="L122" s="23" t="str">
        <x:f>IF(K122="","",K122-H122)</x:f>
      </x:c>
      <x:c r="M122" s="19" t="str">
        <x:f>IFERROR(L122/H122,"")</x:f>
      </x:c>
      <x:c r="N122" s="18"/>
      <x:c r="O122" s="23"/>
      <x:c r="P122" s="23" t="str">
        <x:f>IF(OR(I122="",O122=""),"",I122*O122)</x:f>
      </x:c>
      <x:c r="Q122" s="23" t="str">
        <x:f>IF(P122="","",P122-H122)</x:f>
      </x:c>
      <x:c r="R122" s="44"/>
    </x:row>
    <x:row r="123">
      <x:c r="F123" s="18"/>
      <x:c r="G123" s="23"/>
      <x:c r="H123" s="23"/>
      <x:c r="I123" t="str">
        <x:f>IFERROR(H123/G123,"")</x:f>
      </x:c>
      <x:c r="J123" s="23"/>
      <x:c r="K123" s="23" t="str">
        <x:f>IF(OR(I123="",J123=""),"",I123*J123)</x:f>
      </x:c>
      <x:c r="L123" s="23" t="str">
        <x:f>IF(K123="","",K123-H123)</x:f>
      </x:c>
      <x:c r="M123" s="19" t="str">
        <x:f>IFERROR(L123/H123,"")</x:f>
      </x:c>
      <x:c r="N123" s="18"/>
      <x:c r="O123" s="23"/>
      <x:c r="P123" s="23" t="str">
        <x:f>IF(OR(I123="",O123=""),"",I123*O123)</x:f>
      </x:c>
      <x:c r="Q123" s="23" t="str">
        <x:f>IF(P123="","",P123-H123)</x:f>
      </x:c>
      <x:c r="R123" s="44"/>
    </x:row>
    <x:row r="124">
      <x:c r="F124" s="18"/>
      <x:c r="G124" s="23"/>
      <x:c r="H124" s="23"/>
      <x:c r="I124" t="str">
        <x:f>IFERROR(H124/G124,"")</x:f>
      </x:c>
      <x:c r="J124" s="23"/>
      <x:c r="K124" s="23" t="str">
        <x:f>IF(OR(I124="",J124=""),"",I124*J124)</x:f>
      </x:c>
      <x:c r="L124" s="23" t="str">
        <x:f>IF(K124="","",K124-H124)</x:f>
      </x:c>
      <x:c r="M124" s="19" t="str">
        <x:f>IFERROR(L124/H124,"")</x:f>
      </x:c>
      <x:c r="N124" s="18"/>
      <x:c r="O124" s="23"/>
      <x:c r="P124" s="23" t="str">
        <x:f>IF(OR(I124="",O124=""),"",I124*O124)</x:f>
      </x:c>
      <x:c r="Q124" s="23" t="str">
        <x:f>IF(P124="","",P124-H124)</x:f>
      </x:c>
      <x:c r="R124" s="44"/>
    </x:row>
    <x:row r="125">
      <x:c r="F125" s="18"/>
      <x:c r="G125" s="23"/>
      <x:c r="H125" s="23"/>
      <x:c r="I125" t="str">
        <x:f>IFERROR(H125/G125,"")</x:f>
      </x:c>
      <x:c r="J125" s="23"/>
      <x:c r="K125" s="23" t="str">
        <x:f>IF(OR(I125="",J125=""),"",I125*J125)</x:f>
      </x:c>
      <x:c r="L125" s="23" t="str">
        <x:f>IF(K125="","",K125-H125)</x:f>
      </x:c>
      <x:c r="M125" s="19" t="str">
        <x:f>IFERROR(L125/H125,"")</x:f>
      </x:c>
      <x:c r="N125" s="18"/>
      <x:c r="O125" s="23"/>
      <x:c r="P125" s="23" t="str">
        <x:f>IF(OR(I125="",O125=""),"",I125*O125)</x:f>
      </x:c>
      <x:c r="Q125" s="23" t="str">
        <x:f>IF(P125="","",P125-H125)</x:f>
      </x:c>
      <x:c r="R125" s="44"/>
    </x:row>
    <x:row r="126">
      <x:c r="F126" s="18"/>
      <x:c r="G126" s="23"/>
      <x:c r="H126" s="23"/>
      <x:c r="I126" t="str">
        <x:f>IFERROR(H126/G126,"")</x:f>
      </x:c>
      <x:c r="J126" s="23"/>
      <x:c r="K126" s="23" t="str">
        <x:f>IF(OR(I126="",J126=""),"",I126*J126)</x:f>
      </x:c>
      <x:c r="L126" s="23" t="str">
        <x:f>IF(K126="","",K126-H126)</x:f>
      </x:c>
      <x:c r="M126" s="19" t="str">
        <x:f>IFERROR(L126/H126,"")</x:f>
      </x:c>
      <x:c r="N126" s="18"/>
      <x:c r="O126" s="23"/>
      <x:c r="P126" s="23" t="str">
        <x:f>IF(OR(I126="",O126=""),"",I126*O126)</x:f>
      </x:c>
      <x:c r="Q126" s="23" t="str">
        <x:f>IF(P126="","",P126-H126)</x:f>
      </x:c>
      <x:c r="R126" s="44"/>
    </x:row>
    <x:row r="127">
      <x:c r="F127" s="18"/>
      <x:c r="G127" s="23"/>
      <x:c r="H127" s="23"/>
      <x:c r="I127" t="str">
        <x:f>IFERROR(H127/G127,"")</x:f>
      </x:c>
      <x:c r="J127" s="23"/>
      <x:c r="K127" s="23" t="str">
        <x:f>IF(OR(I127="",J127=""),"",I127*J127)</x:f>
      </x:c>
      <x:c r="L127" s="23" t="str">
        <x:f>IF(K127="","",K127-H127)</x:f>
      </x:c>
      <x:c r="M127" s="19" t="str">
        <x:f>IFERROR(L127/H127,"")</x:f>
      </x:c>
      <x:c r="N127" s="18"/>
      <x:c r="O127" s="23"/>
      <x:c r="P127" s="23" t="str">
        <x:f>IF(OR(I127="",O127=""),"",I127*O127)</x:f>
      </x:c>
      <x:c r="Q127" s="23" t="str">
        <x:f>IF(P127="","",P127-H127)</x:f>
      </x:c>
      <x:c r="R127" s="44"/>
    </x:row>
    <x:row r="128">
      <x:c r="F128" s="18"/>
      <x:c r="G128" s="23"/>
      <x:c r="H128" s="23"/>
      <x:c r="I128" t="str">
        <x:f>IFERROR(H128/G128,"")</x:f>
      </x:c>
      <x:c r="J128" s="23"/>
      <x:c r="K128" s="23" t="str">
        <x:f>IF(OR(I128="",J128=""),"",I128*J128)</x:f>
      </x:c>
      <x:c r="L128" s="23" t="str">
        <x:f>IF(K128="","",K128-H128)</x:f>
      </x:c>
      <x:c r="M128" s="19" t="str">
        <x:f>IFERROR(L128/H128,"")</x:f>
      </x:c>
      <x:c r="N128" s="18"/>
      <x:c r="O128" s="23"/>
      <x:c r="P128" s="23" t="str">
        <x:f>IF(OR(I128="",O128=""),"",I128*O128)</x:f>
      </x:c>
      <x:c r="Q128" s="23" t="str">
        <x:f>IF(P128="","",P128-H128)</x:f>
      </x:c>
      <x:c r="R128" s="44"/>
    </x:row>
    <x:row r="129">
      <x:c r="F129" s="18"/>
      <x:c r="G129" s="23"/>
      <x:c r="H129" s="23"/>
      <x:c r="I129" t="str">
        <x:f>IFERROR(H129/G129,"")</x:f>
      </x:c>
      <x:c r="J129" s="23"/>
      <x:c r="K129" s="23" t="str">
        <x:f>IF(OR(I129="",J129=""),"",I129*J129)</x:f>
      </x:c>
      <x:c r="L129" s="23" t="str">
        <x:f>IF(K129="","",K129-H129)</x:f>
      </x:c>
      <x:c r="M129" s="19" t="str">
        <x:f>IFERROR(L129/H129,"")</x:f>
      </x:c>
      <x:c r="N129" s="18"/>
      <x:c r="O129" s="23"/>
      <x:c r="P129" s="23" t="str">
        <x:f>IF(OR(I129="",O129=""),"",I129*O129)</x:f>
      </x:c>
      <x:c r="Q129" s="23" t="str">
        <x:f>IF(P129="","",P129-H129)</x:f>
      </x:c>
      <x:c r="R129" s="44"/>
    </x:row>
    <x:row r="130">
      <x:c r="F130" s="18"/>
      <x:c r="G130" s="23"/>
      <x:c r="H130" s="23"/>
      <x:c r="I130" t="str">
        <x:f>IFERROR(H130/G130,"")</x:f>
      </x:c>
      <x:c r="J130" s="23"/>
      <x:c r="K130" s="23" t="str">
        <x:f>IF(OR(I130="",J130=""),"",I130*J130)</x:f>
      </x:c>
      <x:c r="L130" s="23" t="str">
        <x:f>IF(K130="","",K130-H130)</x:f>
      </x:c>
      <x:c r="M130" s="19" t="str">
        <x:f>IFERROR(L130/H130,"")</x:f>
      </x:c>
      <x:c r="N130" s="18"/>
      <x:c r="O130" s="23"/>
      <x:c r="P130" s="23" t="str">
        <x:f>IF(OR(I130="",O130=""),"",I130*O130)</x:f>
      </x:c>
      <x:c r="Q130" s="23" t="str">
        <x:f>IF(P130="","",P130-H130)</x:f>
      </x:c>
      <x:c r="R130" s="44"/>
    </x:row>
    <x:row r="131">
      <x:c r="F131" s="18"/>
      <x:c r="G131" s="23"/>
      <x:c r="H131" s="23"/>
      <x:c r="I131" t="str">
        <x:f>IFERROR(H131/G131,"")</x:f>
      </x:c>
      <x:c r="J131" s="23"/>
      <x:c r="K131" s="23" t="str">
        <x:f>IF(OR(I131="",J131=""),"",I131*J131)</x:f>
      </x:c>
      <x:c r="L131" s="23" t="str">
        <x:f>IF(K131="","",K131-H131)</x:f>
      </x:c>
      <x:c r="M131" s="19" t="str">
        <x:f>IFERROR(L131/H131,"")</x:f>
      </x:c>
      <x:c r="N131" s="18"/>
      <x:c r="O131" s="23"/>
      <x:c r="P131" s="23" t="str">
        <x:f>IF(OR(I131="",O131=""),"",I131*O131)</x:f>
      </x:c>
      <x:c r="Q131" s="23" t="str">
        <x:f>IF(P131="","",P131-H131)</x:f>
      </x:c>
      <x:c r="R131" s="44"/>
    </x:row>
    <x:row r="132">
      <x:c r="F132" s="18"/>
      <x:c r="G132" s="23"/>
      <x:c r="H132" s="23"/>
      <x:c r="I132" t="str">
        <x:f>IFERROR(H132/G132,"")</x:f>
      </x:c>
      <x:c r="J132" s="23"/>
      <x:c r="K132" s="23" t="str">
        <x:f>IF(OR(I132="",J132=""),"",I132*J132)</x:f>
      </x:c>
      <x:c r="L132" s="23" t="str">
        <x:f>IF(K132="","",K132-H132)</x:f>
      </x:c>
      <x:c r="M132" s="19" t="str">
        <x:f>IFERROR(L132/H132,"")</x:f>
      </x:c>
      <x:c r="N132" s="18"/>
      <x:c r="O132" s="23"/>
      <x:c r="P132" s="23" t="str">
        <x:f>IF(OR(I132="",O132=""),"",I132*O132)</x:f>
      </x:c>
      <x:c r="Q132" s="23" t="str">
        <x:f>IF(P132="","",P132-H132)</x:f>
      </x:c>
      <x:c r="R132" s="44"/>
    </x:row>
    <x:row r="133">
      <x:c r="F133" s="18"/>
      <x:c r="G133" s="23"/>
      <x:c r="H133" s="23"/>
      <x:c r="I133" t="str">
        <x:f>IFERROR(H133/G133,"")</x:f>
      </x:c>
      <x:c r="J133" s="23"/>
      <x:c r="K133" s="23" t="str">
        <x:f>IF(OR(I133="",J133=""),"",I133*J133)</x:f>
      </x:c>
      <x:c r="L133" s="23" t="str">
        <x:f>IF(K133="","",K133-H133)</x:f>
      </x:c>
      <x:c r="M133" s="19" t="str">
        <x:f>IFERROR(L133/H133,"")</x:f>
      </x:c>
      <x:c r="N133" s="18"/>
      <x:c r="O133" s="23"/>
      <x:c r="P133" s="23" t="str">
        <x:f>IF(OR(I133="",O133=""),"",I133*O133)</x:f>
      </x:c>
      <x:c r="Q133" s="23" t="str">
        <x:f>IF(P133="","",P133-H133)</x:f>
      </x:c>
      <x:c r="R133" s="44"/>
    </x:row>
    <x:row r="134">
      <x:c r="F134" s="18"/>
      <x:c r="G134" s="23"/>
      <x:c r="H134" s="23"/>
      <x:c r="I134" t="str">
        <x:f>IFERROR(H134/G134,"")</x:f>
      </x:c>
      <x:c r="J134" s="23"/>
      <x:c r="K134" s="23" t="str">
        <x:f>IF(OR(I134="",J134=""),"",I134*J134)</x:f>
      </x:c>
      <x:c r="L134" s="23" t="str">
        <x:f>IF(K134="","",K134-H134)</x:f>
      </x:c>
      <x:c r="M134" s="19" t="str">
        <x:f>IFERROR(L134/H134,"")</x:f>
      </x:c>
      <x:c r="N134" s="18"/>
      <x:c r="O134" s="23"/>
      <x:c r="P134" s="23" t="str">
        <x:f>IF(OR(I134="",O134=""),"",I134*O134)</x:f>
      </x:c>
      <x:c r="Q134" s="23" t="str">
        <x:f>IF(P134="","",P134-H134)</x:f>
      </x:c>
      <x:c r="R134" s="44"/>
    </x:row>
    <x:row r="135">
      <x:c r="F135" s="18"/>
      <x:c r="G135" s="23"/>
      <x:c r="H135" s="23"/>
      <x:c r="I135" t="str">
        <x:f>IFERROR(H135/G135,"")</x:f>
      </x:c>
      <x:c r="J135" s="23"/>
      <x:c r="K135" s="23" t="str">
        <x:f>IF(OR(I135="",J135=""),"",I135*J135)</x:f>
      </x:c>
      <x:c r="L135" s="23" t="str">
        <x:f>IF(K135="","",K135-H135)</x:f>
      </x:c>
      <x:c r="M135" s="19" t="str">
        <x:f>IFERROR(L135/H135,"")</x:f>
      </x:c>
      <x:c r="N135" s="18"/>
      <x:c r="O135" s="23"/>
      <x:c r="P135" s="23" t="str">
        <x:f>IF(OR(I135="",O135=""),"",I135*O135)</x:f>
      </x:c>
      <x:c r="Q135" s="23" t="str">
        <x:f>IF(P135="","",P135-H135)</x:f>
      </x:c>
      <x:c r="R135" s="44"/>
    </x:row>
    <x:row r="136">
      <x:c r="F136" s="18"/>
      <x:c r="G136" s="23"/>
      <x:c r="H136" s="23"/>
      <x:c r="I136" t="str">
        <x:f>IFERROR(H136/G136,"")</x:f>
      </x:c>
      <x:c r="J136" s="23"/>
      <x:c r="K136" s="23" t="str">
        <x:f>IF(OR(I136="",J136=""),"",I136*J136)</x:f>
      </x:c>
      <x:c r="L136" s="23" t="str">
        <x:f>IF(K136="","",K136-H136)</x:f>
      </x:c>
      <x:c r="M136" s="19" t="str">
        <x:f>IFERROR(L136/H136,"")</x:f>
      </x:c>
      <x:c r="N136" s="18"/>
      <x:c r="O136" s="23"/>
      <x:c r="P136" s="23" t="str">
        <x:f>IF(OR(I136="",O136=""),"",I136*O136)</x:f>
      </x:c>
      <x:c r="Q136" s="23" t="str">
        <x:f>IF(P136="","",P136-H136)</x:f>
      </x:c>
      <x:c r="R136" s="44"/>
    </x:row>
    <x:row r="137">
      <x:c r="F137" s="18"/>
      <x:c r="G137" s="23"/>
      <x:c r="H137" s="23"/>
      <x:c r="I137" t="str">
        <x:f>IFERROR(H137/G137,"")</x:f>
      </x:c>
      <x:c r="J137" s="23"/>
      <x:c r="K137" s="23" t="str">
        <x:f>IF(OR(I137="",J137=""),"",I137*J137)</x:f>
      </x:c>
      <x:c r="L137" s="23" t="str">
        <x:f>IF(K137="","",K137-H137)</x:f>
      </x:c>
      <x:c r="M137" s="19" t="str">
        <x:f>IFERROR(L137/H137,"")</x:f>
      </x:c>
      <x:c r="N137" s="18"/>
      <x:c r="O137" s="23"/>
      <x:c r="P137" s="23" t="str">
        <x:f>IF(OR(I137="",O137=""),"",I137*O137)</x:f>
      </x:c>
      <x:c r="Q137" s="23" t="str">
        <x:f>IF(P137="","",P137-H137)</x:f>
      </x:c>
      <x:c r="R137" s="44"/>
    </x:row>
    <x:row r="138">
      <x:c r="F138" s="18"/>
      <x:c r="G138" s="23"/>
      <x:c r="H138" s="23"/>
      <x:c r="I138" t="str">
        <x:f>IFERROR(H138/G138,"")</x:f>
      </x:c>
      <x:c r="J138" s="23"/>
      <x:c r="K138" s="23" t="str">
        <x:f>IF(OR(I138="",J138=""),"",I138*J138)</x:f>
      </x:c>
      <x:c r="L138" s="23" t="str">
        <x:f>IF(K138="","",K138-H138)</x:f>
      </x:c>
      <x:c r="M138" s="19" t="str">
        <x:f>IFERROR(L138/H138,"")</x:f>
      </x:c>
      <x:c r="N138" s="18"/>
      <x:c r="O138" s="23"/>
      <x:c r="P138" s="23" t="str">
        <x:f>IF(OR(I138="",O138=""),"",I138*O138)</x:f>
      </x:c>
      <x:c r="Q138" s="23" t="str">
        <x:f>IF(P138="","",P138-H138)</x:f>
      </x:c>
      <x:c r="R138" s="44"/>
    </x:row>
    <x:row r="139">
      <x:c r="F139" s="18"/>
      <x:c r="G139" s="23"/>
      <x:c r="H139" s="23"/>
      <x:c r="I139" t="str">
        <x:f>IFERROR(H139/G139,"")</x:f>
      </x:c>
      <x:c r="J139" s="23"/>
      <x:c r="K139" s="23" t="str">
        <x:f>IF(OR(I139="",J139=""),"",I139*J139)</x:f>
      </x:c>
      <x:c r="L139" s="23" t="str">
        <x:f>IF(K139="","",K139-H139)</x:f>
      </x:c>
      <x:c r="M139" s="19" t="str">
        <x:f>IFERROR(L139/H139,"")</x:f>
      </x:c>
      <x:c r="N139" s="18"/>
      <x:c r="O139" s="23"/>
      <x:c r="P139" s="23" t="str">
        <x:f>IF(OR(I139="",O139=""),"",I139*O139)</x:f>
      </x:c>
      <x:c r="Q139" s="23" t="str">
        <x:f>IF(P139="","",P139-H139)</x:f>
      </x:c>
      <x:c r="R139" s="44"/>
    </x:row>
    <x:row r="140">
      <x:c r="F140" s="18"/>
      <x:c r="G140" s="23"/>
      <x:c r="H140" s="23"/>
      <x:c r="I140" t="str">
        <x:f>IFERROR(H140/G140,"")</x:f>
      </x:c>
      <x:c r="J140" s="23"/>
      <x:c r="K140" s="23" t="str">
        <x:f>IF(OR(I140="",J140=""),"",I140*J140)</x:f>
      </x:c>
      <x:c r="L140" s="23" t="str">
        <x:f>IF(K140="","",K140-H140)</x:f>
      </x:c>
      <x:c r="M140" s="19" t="str">
        <x:f>IFERROR(L140/H140,"")</x:f>
      </x:c>
      <x:c r="N140" s="18"/>
      <x:c r="O140" s="23"/>
      <x:c r="P140" s="23" t="str">
        <x:f>IF(OR(I140="",O140=""),"",I140*O140)</x:f>
      </x:c>
      <x:c r="Q140" s="23" t="str">
        <x:f>IF(P140="","",P140-H140)</x:f>
      </x:c>
      <x:c r="R140" s="44"/>
    </x:row>
    <x:row r="141">
      <x:c r="F141" s="18"/>
      <x:c r="G141" s="23"/>
      <x:c r="H141" s="23"/>
      <x:c r="I141" t="str">
        <x:f>IFERROR(H141/G141,"")</x:f>
      </x:c>
      <x:c r="J141" s="23"/>
      <x:c r="K141" s="23" t="str">
        <x:f>IF(OR(I141="",J141=""),"",I141*J141)</x:f>
      </x:c>
      <x:c r="L141" s="23" t="str">
        <x:f>IF(K141="","",K141-H141)</x:f>
      </x:c>
      <x:c r="M141" s="19" t="str">
        <x:f>IFERROR(L141/H141,"")</x:f>
      </x:c>
      <x:c r="N141" s="18"/>
      <x:c r="O141" s="23"/>
      <x:c r="P141" s="23" t="str">
        <x:f>IF(OR(I141="",O141=""),"",I141*O141)</x:f>
      </x:c>
      <x:c r="Q141" s="23" t="str">
        <x:f>IF(P141="","",P141-H141)</x:f>
      </x:c>
      <x:c r="R141" s="44"/>
    </x:row>
    <x:row r="142">
      <x:c r="F142" s="18"/>
      <x:c r="G142" s="23"/>
      <x:c r="H142" s="23"/>
      <x:c r="I142" t="str">
        <x:f>IFERROR(H142/G142,"")</x:f>
      </x:c>
      <x:c r="J142" s="23"/>
      <x:c r="K142" s="23" t="str">
        <x:f>IF(OR(I142="",J142=""),"",I142*J142)</x:f>
      </x:c>
      <x:c r="L142" s="23" t="str">
        <x:f>IF(K142="","",K142-H142)</x:f>
      </x:c>
      <x:c r="M142" s="19" t="str">
        <x:f>IFERROR(L142/H142,"")</x:f>
      </x:c>
      <x:c r="N142" s="18"/>
      <x:c r="O142" s="23"/>
      <x:c r="P142" s="23" t="str">
        <x:f>IF(OR(I142="",O142=""),"",I142*O142)</x:f>
      </x:c>
      <x:c r="Q142" s="23" t="str">
        <x:f>IF(P142="","",P142-H142)</x:f>
      </x:c>
      <x:c r="R142" s="44"/>
    </x:row>
    <x:row r="143">
      <x:c r="F143" s="18"/>
      <x:c r="G143" s="23"/>
      <x:c r="H143" s="23"/>
      <x:c r="I143" t="str">
        <x:f>IFERROR(H143/G143,"")</x:f>
      </x:c>
      <x:c r="J143" s="23"/>
      <x:c r="K143" s="23" t="str">
        <x:f>IF(OR(I143="",J143=""),"",I143*J143)</x:f>
      </x:c>
      <x:c r="L143" s="23" t="str">
        <x:f>IF(K143="","",K143-H143)</x:f>
      </x:c>
      <x:c r="M143" s="19" t="str">
        <x:f>IFERROR(L143/H143,"")</x:f>
      </x:c>
      <x:c r="N143" s="18"/>
      <x:c r="O143" s="23"/>
      <x:c r="P143" s="23" t="str">
        <x:f>IF(OR(I143="",O143=""),"",I143*O143)</x:f>
      </x:c>
      <x:c r="Q143" s="23" t="str">
        <x:f>IF(P143="","",P143-H143)</x:f>
      </x:c>
      <x:c r="R143" s="44"/>
    </x:row>
    <x:row r="144">
      <x:c r="F144" s="18"/>
      <x:c r="G144" s="23"/>
      <x:c r="H144" s="23"/>
      <x:c r="I144" t="str">
        <x:f>IFERROR(H144/G144,"")</x:f>
      </x:c>
      <x:c r="J144" s="23"/>
      <x:c r="K144" s="23" t="str">
        <x:f>IF(OR(I144="",J144=""),"",I144*J144)</x:f>
      </x:c>
      <x:c r="L144" s="23" t="str">
        <x:f>IF(K144="","",K144-H144)</x:f>
      </x:c>
      <x:c r="M144" s="19" t="str">
        <x:f>IFERROR(L144/H144,"")</x:f>
      </x:c>
      <x:c r="N144" s="18"/>
      <x:c r="O144" s="23"/>
      <x:c r="P144" s="23" t="str">
        <x:f>IF(OR(I144="",O144=""),"",I144*O144)</x:f>
      </x:c>
      <x:c r="Q144" s="23" t="str">
        <x:f>IF(P144="","",P144-H144)</x:f>
      </x:c>
      <x:c r="R144" s="44"/>
    </x:row>
    <x:row r="145">
      <x:c r="F145" s="18"/>
      <x:c r="G145" s="23"/>
      <x:c r="H145" s="23"/>
      <x:c r="I145" t="str">
        <x:f>IFERROR(H145/G145,"")</x:f>
      </x:c>
      <x:c r="J145" s="23"/>
      <x:c r="K145" s="23" t="str">
        <x:f>IF(OR(I145="",J145=""),"",I145*J145)</x:f>
      </x:c>
      <x:c r="L145" s="23" t="str">
        <x:f>IF(K145="","",K145-H145)</x:f>
      </x:c>
      <x:c r="M145" s="19" t="str">
        <x:f>IFERROR(L145/H145,"")</x:f>
      </x:c>
      <x:c r="N145" s="18"/>
      <x:c r="O145" s="23"/>
      <x:c r="P145" s="23" t="str">
        <x:f>IF(OR(I145="",O145=""),"",I145*O145)</x:f>
      </x:c>
      <x:c r="Q145" s="23" t="str">
        <x:f>IF(P145="","",P145-H145)</x:f>
      </x:c>
      <x:c r="R145" s="44"/>
    </x:row>
    <x:row r="146">
      <x:c r="F146" s="18"/>
      <x:c r="G146" s="23"/>
      <x:c r="H146" s="23"/>
      <x:c r="I146" t="str">
        <x:f>IFERROR(H146/G146,"")</x:f>
      </x:c>
      <x:c r="J146" s="23"/>
      <x:c r="K146" s="23" t="str">
        <x:f>IF(OR(I146="",J146=""),"",I146*J146)</x:f>
      </x:c>
      <x:c r="L146" s="23" t="str">
        <x:f>IF(K146="","",K146-H146)</x:f>
      </x:c>
      <x:c r="M146" s="19" t="str">
        <x:f>IFERROR(L146/H146,"")</x:f>
      </x:c>
      <x:c r="N146" s="18"/>
      <x:c r="O146" s="23"/>
      <x:c r="P146" s="23" t="str">
        <x:f>IF(OR(I146="",O146=""),"",I146*O146)</x:f>
      </x:c>
      <x:c r="Q146" s="23" t="str">
        <x:f>IF(P146="","",P146-H146)</x:f>
      </x:c>
      <x:c r="R146" s="44"/>
    </x:row>
    <x:row r="147">
      <x:c r="F147" s="18"/>
      <x:c r="G147" s="23"/>
      <x:c r="H147" s="23"/>
      <x:c r="I147" t="str">
        <x:f>IFERROR(H147/G147,"")</x:f>
      </x:c>
      <x:c r="J147" s="23"/>
      <x:c r="K147" s="23" t="str">
        <x:f>IF(OR(I147="",J147=""),"",I147*J147)</x:f>
      </x:c>
      <x:c r="L147" s="23" t="str">
        <x:f>IF(K147="","",K147-H147)</x:f>
      </x:c>
      <x:c r="M147" s="19" t="str">
        <x:f>IFERROR(L147/H147,"")</x:f>
      </x:c>
      <x:c r="N147" s="18"/>
      <x:c r="O147" s="23"/>
      <x:c r="P147" s="23" t="str">
        <x:f>IF(OR(I147="",O147=""),"",I147*O147)</x:f>
      </x:c>
      <x:c r="Q147" s="23" t="str">
        <x:f>IF(P147="","",P147-H147)</x:f>
      </x:c>
      <x:c r="R147" s="44"/>
    </x:row>
    <x:row r="148">
      <x:c r="F148" s="18"/>
      <x:c r="G148" s="23"/>
      <x:c r="H148" s="23"/>
      <x:c r="I148" t="str">
        <x:f>IFERROR(H148/G148,"")</x:f>
      </x:c>
      <x:c r="J148" s="23"/>
      <x:c r="K148" s="23" t="str">
        <x:f>IF(OR(I148="",J148=""),"",I148*J148)</x:f>
      </x:c>
      <x:c r="L148" s="23" t="str">
        <x:f>IF(K148="","",K148-H148)</x:f>
      </x:c>
      <x:c r="M148" s="19" t="str">
        <x:f>IFERROR(L148/H148,"")</x:f>
      </x:c>
      <x:c r="N148" s="18"/>
      <x:c r="O148" s="23"/>
      <x:c r="P148" s="23" t="str">
        <x:f>IF(OR(I148="",O148=""),"",I148*O148)</x:f>
      </x:c>
      <x:c r="Q148" s="23" t="str">
        <x:f>IF(P148="","",P148-H148)</x:f>
      </x:c>
      <x:c r="R148" s="44"/>
    </x:row>
    <x:row r="149">
      <x:c r="F149" s="18"/>
      <x:c r="G149" s="23"/>
      <x:c r="H149" s="23"/>
      <x:c r="I149" t="str">
        <x:f>IFERROR(H149/G149,"")</x:f>
      </x:c>
      <x:c r="J149" s="23"/>
      <x:c r="K149" s="23" t="str">
        <x:f>IF(OR(I149="",J149=""),"",I149*J149)</x:f>
      </x:c>
      <x:c r="L149" s="23" t="str">
        <x:f>IF(K149="","",K149-H149)</x:f>
      </x:c>
      <x:c r="M149" s="19" t="str">
        <x:f>IFERROR(L149/H149,"")</x:f>
      </x:c>
      <x:c r="N149" s="18"/>
      <x:c r="O149" s="23"/>
      <x:c r="P149" s="23" t="str">
        <x:f>IF(OR(I149="",O149=""),"",I149*O149)</x:f>
      </x:c>
      <x:c r="Q149" s="23" t="str">
        <x:f>IF(P149="","",P149-H149)</x:f>
      </x:c>
      <x:c r="R149" s="44"/>
    </x:row>
    <x:row r="150">
      <x:c r="F150" s="18"/>
      <x:c r="G150" s="23"/>
      <x:c r="H150" s="23"/>
      <x:c r="I150" t="str">
        <x:f>IFERROR(H150/G150,"")</x:f>
      </x:c>
      <x:c r="J150" s="23"/>
      <x:c r="K150" s="23" t="str">
        <x:f>IF(OR(I150="",J150=""),"",I150*J150)</x:f>
      </x:c>
      <x:c r="L150" s="23" t="str">
        <x:f>IF(K150="","",K150-H150)</x:f>
      </x:c>
      <x:c r="M150" s="19" t="str">
        <x:f>IFERROR(L150/H150,"")</x:f>
      </x:c>
      <x:c r="N150" s="18"/>
      <x:c r="O150" s="23"/>
      <x:c r="P150" s="23" t="str">
        <x:f>IF(OR(I150="",O150=""),"",I150*O150)</x:f>
      </x:c>
      <x:c r="Q150" s="23" t="str">
        <x:f>IF(P150="","",P150-H150)</x:f>
      </x:c>
      <x:c r="R150" s="44"/>
    </x:row>
    <x:row r="151">
      <x:c r="F151" s="18"/>
      <x:c r="G151" s="23"/>
      <x:c r="H151" s="23"/>
      <x:c r="I151" t="str">
        <x:f>IFERROR(H151/G151,"")</x:f>
      </x:c>
      <x:c r="J151" s="23"/>
      <x:c r="K151" s="23" t="str">
        <x:f>IF(OR(I151="",J151=""),"",I151*J151)</x:f>
      </x:c>
      <x:c r="L151" s="23" t="str">
        <x:f>IF(K151="","",K151-H151)</x:f>
      </x:c>
      <x:c r="M151" s="19" t="str">
        <x:f>IFERROR(L151/H151,"")</x:f>
      </x:c>
      <x:c r="N151" s="18"/>
      <x:c r="O151" s="23"/>
      <x:c r="P151" s="23" t="str">
        <x:f>IF(OR(I151="",O151=""),"",I151*O151)</x:f>
      </x:c>
      <x:c r="Q151" s="23" t="str">
        <x:f>IF(P151="","",P151-H151)</x:f>
      </x:c>
      <x:c r="R151" s="44"/>
    </x:row>
    <x:row r="152">
      <x:c r="F152" s="18"/>
      <x:c r="G152" s="23"/>
      <x:c r="H152" s="23"/>
      <x:c r="I152" t="str">
        <x:f>IFERROR(H152/G152,"")</x:f>
      </x:c>
      <x:c r="J152" s="23"/>
      <x:c r="K152" s="23" t="str">
        <x:f>IF(OR(I152="",J152=""),"",I152*J152)</x:f>
      </x:c>
      <x:c r="L152" s="23" t="str">
        <x:f>IF(K152="","",K152-H152)</x:f>
      </x:c>
      <x:c r="M152" s="19" t="str">
        <x:f>IFERROR(L152/H152,"")</x:f>
      </x:c>
      <x:c r="N152" s="18"/>
      <x:c r="O152" s="23"/>
      <x:c r="P152" s="23" t="str">
        <x:f>IF(OR(I152="",O152=""),"",I152*O152)</x:f>
      </x:c>
      <x:c r="Q152" s="23" t="str">
        <x:f>IF(P152="","",P152-H152)</x:f>
      </x:c>
      <x:c r="R152" s="44"/>
    </x:row>
    <x:row r="153">
      <x:c r="F153" s="18"/>
      <x:c r="G153" s="23"/>
      <x:c r="H153" s="23"/>
      <x:c r="I153" t="str">
        <x:f>IFERROR(H153/G153,"")</x:f>
      </x:c>
      <x:c r="J153" s="23"/>
      <x:c r="K153" s="23" t="str">
        <x:f>IF(OR(I153="",J153=""),"",I153*J153)</x:f>
      </x:c>
      <x:c r="L153" s="23" t="str">
        <x:f>IF(K153="","",K153-H153)</x:f>
      </x:c>
      <x:c r="M153" s="19" t="str">
        <x:f>IFERROR(L153/H153,"")</x:f>
      </x:c>
      <x:c r="N153" s="18"/>
      <x:c r="O153" s="23"/>
      <x:c r="P153" s="23" t="str">
        <x:f>IF(OR(I153="",O153=""),"",I153*O153)</x:f>
      </x:c>
      <x:c r="Q153" s="23" t="str">
        <x:f>IF(P153="","",P153-H153)</x:f>
      </x:c>
      <x:c r="R153" s="44"/>
    </x:row>
    <x:row r="154">
      <x:c r="F154" s="18"/>
      <x:c r="G154" s="23"/>
      <x:c r="H154" s="23"/>
      <x:c r="I154" t="str">
        <x:f>IFERROR(H154/G154,"")</x:f>
      </x:c>
      <x:c r="J154" s="23"/>
      <x:c r="K154" s="23" t="str">
        <x:f>IF(OR(I154="",J154=""),"",I154*J154)</x:f>
      </x:c>
      <x:c r="L154" s="23" t="str">
        <x:f>IF(K154="","",K154-H154)</x:f>
      </x:c>
      <x:c r="M154" s="19" t="str">
        <x:f>IFERROR(L154/H154,"")</x:f>
      </x:c>
      <x:c r="N154" s="18"/>
      <x:c r="O154" s="23"/>
      <x:c r="P154" s="23" t="str">
        <x:f>IF(OR(I154="",O154=""),"",I154*O154)</x:f>
      </x:c>
      <x:c r="Q154" s="23" t="str">
        <x:f>IF(P154="","",P154-H154)</x:f>
      </x:c>
      <x:c r="R154" s="44"/>
    </x:row>
    <x:row r="155">
      <x:c r="F155" s="18"/>
      <x:c r="G155" s="23"/>
      <x:c r="H155" s="23"/>
      <x:c r="I155" t="str">
        <x:f>IFERROR(H155/G155,"")</x:f>
      </x:c>
      <x:c r="J155" s="23"/>
      <x:c r="K155" s="23" t="str">
        <x:f>IF(OR(I155="",J155=""),"",I155*J155)</x:f>
      </x:c>
      <x:c r="L155" s="23" t="str">
        <x:f>IF(K155="","",K155-H155)</x:f>
      </x:c>
      <x:c r="M155" s="19" t="str">
        <x:f>IFERROR(L155/H155,"")</x:f>
      </x:c>
      <x:c r="N155" s="18"/>
      <x:c r="O155" s="23"/>
      <x:c r="P155" s="23" t="str">
        <x:f>IF(OR(I155="",O155=""),"",I155*O155)</x:f>
      </x:c>
      <x:c r="Q155" s="23" t="str">
        <x:f>IF(P155="","",P155-H155)</x:f>
      </x:c>
      <x:c r="R155" s="44"/>
    </x:row>
    <x:row r="156">
      <x:c r="F156" s="18"/>
      <x:c r="G156" s="23"/>
      <x:c r="H156" s="23"/>
      <x:c r="I156" t="str">
        <x:f>IFERROR(H156/G156,"")</x:f>
      </x:c>
      <x:c r="J156" s="23"/>
      <x:c r="K156" s="23" t="str">
        <x:f>IF(OR(I156="",J156=""),"",I156*J156)</x:f>
      </x:c>
      <x:c r="L156" s="23" t="str">
        <x:f>IF(K156="","",K156-H156)</x:f>
      </x:c>
      <x:c r="M156" s="19" t="str">
        <x:f>IFERROR(L156/H156,"")</x:f>
      </x:c>
      <x:c r="N156" s="18"/>
      <x:c r="O156" s="23"/>
      <x:c r="P156" s="23" t="str">
        <x:f>IF(OR(I156="",O156=""),"",I156*O156)</x:f>
      </x:c>
      <x:c r="Q156" s="23" t="str">
        <x:f>IF(P156="","",P156-H156)</x:f>
      </x:c>
      <x:c r="R156" s="44"/>
    </x:row>
    <x:row r="157">
      <x:c r="F157" s="18"/>
      <x:c r="G157" s="23"/>
      <x:c r="H157" s="23"/>
      <x:c r="I157" t="str">
        <x:f>IFERROR(H157/G157,"")</x:f>
      </x:c>
      <x:c r="J157" s="23"/>
      <x:c r="K157" s="23" t="str">
        <x:f>IF(OR(I157="",J157=""),"",I157*J157)</x:f>
      </x:c>
      <x:c r="L157" s="23" t="str">
        <x:f>IF(K157="","",K157-H157)</x:f>
      </x:c>
      <x:c r="M157" s="19" t="str">
        <x:f>IFERROR(L157/H157,"")</x:f>
      </x:c>
      <x:c r="N157" s="18"/>
      <x:c r="O157" s="23"/>
      <x:c r="P157" s="23" t="str">
        <x:f>IF(OR(I157="",O157=""),"",I157*O157)</x:f>
      </x:c>
      <x:c r="Q157" s="23" t="str">
        <x:f>IF(P157="","",P157-H157)</x:f>
      </x:c>
      <x:c r="R157" s="44"/>
    </x:row>
    <x:row r="158">
      <x:c r="F158" s="18"/>
      <x:c r="G158" s="23"/>
      <x:c r="H158" s="23"/>
      <x:c r="I158" t="str">
        <x:f>IFERROR(H158/G158,"")</x:f>
      </x:c>
      <x:c r="J158" s="23"/>
      <x:c r="K158" s="23" t="str">
        <x:f>IF(OR(I158="",J158=""),"",I158*J158)</x:f>
      </x:c>
      <x:c r="L158" s="23" t="str">
        <x:f>IF(K158="","",K158-H158)</x:f>
      </x:c>
      <x:c r="M158" s="19" t="str">
        <x:f>IFERROR(L158/H158,"")</x:f>
      </x:c>
      <x:c r="N158" s="18"/>
      <x:c r="O158" s="23"/>
      <x:c r="P158" s="23" t="str">
        <x:f>IF(OR(I158="",O158=""),"",I158*O158)</x:f>
      </x:c>
      <x:c r="Q158" s="23" t="str">
        <x:f>IF(P158="","",P158-H158)</x:f>
      </x:c>
      <x:c r="R158" s="44"/>
    </x:row>
    <x:row r="159">
      <x:c r="F159" s="18"/>
      <x:c r="G159" s="23"/>
      <x:c r="H159" s="23"/>
      <x:c r="I159" t="str">
        <x:f>IFERROR(H159/G159,"")</x:f>
      </x:c>
      <x:c r="J159" s="23"/>
      <x:c r="K159" s="23" t="str">
        <x:f>IF(OR(I159="",J159=""),"",I159*J159)</x:f>
      </x:c>
      <x:c r="L159" s="23" t="str">
        <x:f>IF(K159="","",K159-H159)</x:f>
      </x:c>
      <x:c r="M159" s="19" t="str">
        <x:f>IFERROR(L159/H159,"")</x:f>
      </x:c>
      <x:c r="N159" s="18"/>
      <x:c r="O159" s="23"/>
      <x:c r="P159" s="23" t="str">
        <x:f>IF(OR(I159="",O159=""),"",I159*O159)</x:f>
      </x:c>
      <x:c r="Q159" s="23" t="str">
        <x:f>IF(P159="","",P159-H159)</x:f>
      </x:c>
      <x:c r="R159" s="44"/>
    </x:row>
    <x:row r="160">
      <x:c r="F160" s="18"/>
      <x:c r="G160" s="23"/>
      <x:c r="H160" s="23"/>
      <x:c r="I160" t="str">
        <x:f>IFERROR(H160/G160,"")</x:f>
      </x:c>
      <x:c r="J160" s="23"/>
      <x:c r="K160" s="23" t="str">
        <x:f>IF(OR(I160="",J160=""),"",I160*J160)</x:f>
      </x:c>
      <x:c r="L160" s="23" t="str">
        <x:f>IF(K160="","",K160-H160)</x:f>
      </x:c>
      <x:c r="M160" s="19" t="str">
        <x:f>IFERROR(L160/H160,"")</x:f>
      </x:c>
      <x:c r="N160" s="18"/>
      <x:c r="O160" s="23"/>
      <x:c r="P160" s="23" t="str">
        <x:f>IF(OR(I160="",O160=""),"",I160*O160)</x:f>
      </x:c>
      <x:c r="Q160" s="23" t="str">
        <x:f>IF(P160="","",P160-H160)</x:f>
      </x:c>
      <x:c r="R160" s="44"/>
    </x:row>
    <x:row r="161">
      <x:c r="F161" s="18"/>
      <x:c r="G161" s="23"/>
      <x:c r="H161" s="23"/>
      <x:c r="I161" t="str">
        <x:f>IFERROR(H161/G161,"")</x:f>
      </x:c>
      <x:c r="J161" s="23"/>
      <x:c r="K161" s="23" t="str">
        <x:f>IF(OR(I161="",J161=""),"",I161*J161)</x:f>
      </x:c>
      <x:c r="L161" s="23" t="str">
        <x:f>IF(K161="","",K161-H161)</x:f>
      </x:c>
      <x:c r="M161" s="19" t="str">
        <x:f>IFERROR(L161/H161,"")</x:f>
      </x:c>
      <x:c r="N161" s="18"/>
      <x:c r="O161" s="23"/>
      <x:c r="P161" s="23" t="str">
        <x:f>IF(OR(I161="",O161=""),"",I161*O161)</x:f>
      </x:c>
      <x:c r="Q161" s="23" t="str">
        <x:f>IF(P161="","",P161-H161)</x:f>
      </x:c>
      <x:c r="R161" s="44"/>
    </x:row>
    <x:row r="162">
      <x:c r="F162" s="18"/>
      <x:c r="G162" s="23"/>
      <x:c r="H162" s="23"/>
      <x:c r="I162" t="str">
        <x:f>IFERROR(H162/G162,"")</x:f>
      </x:c>
      <x:c r="J162" s="23"/>
      <x:c r="K162" s="23" t="str">
        <x:f>IF(OR(I162="",J162=""),"",I162*J162)</x:f>
      </x:c>
      <x:c r="L162" s="23" t="str">
        <x:f>IF(K162="","",K162-H162)</x:f>
      </x:c>
      <x:c r="M162" s="19" t="str">
        <x:f>IFERROR(L162/H162,"")</x:f>
      </x:c>
      <x:c r="N162" s="18"/>
      <x:c r="O162" s="23"/>
      <x:c r="P162" s="23" t="str">
        <x:f>IF(OR(I162="",O162=""),"",I162*O162)</x:f>
      </x:c>
      <x:c r="Q162" s="23" t="str">
        <x:f>IF(P162="","",P162-H162)</x:f>
      </x:c>
      <x:c r="R162" s="44"/>
    </x:row>
    <x:row r="163">
      <x:c r="F163" s="18"/>
      <x:c r="G163" s="23"/>
      <x:c r="H163" s="23"/>
      <x:c r="I163" t="str">
        <x:f>IFERROR(H163/G163,"")</x:f>
      </x:c>
      <x:c r="J163" s="23"/>
      <x:c r="K163" s="23" t="str">
        <x:f>IF(OR(I163="",J163=""),"",I163*J163)</x:f>
      </x:c>
      <x:c r="L163" s="23" t="str">
        <x:f>IF(K163="","",K163-H163)</x:f>
      </x:c>
      <x:c r="M163" s="19" t="str">
        <x:f>IFERROR(L163/H163,"")</x:f>
      </x:c>
      <x:c r="N163" s="18"/>
      <x:c r="O163" s="23"/>
      <x:c r="P163" s="23" t="str">
        <x:f>IF(OR(I163="",O163=""),"",I163*O163)</x:f>
      </x:c>
      <x:c r="Q163" s="23" t="str">
        <x:f>IF(P163="","",P163-H163)</x:f>
      </x:c>
      <x:c r="R163" s="44"/>
    </x:row>
    <x:row r="164">
      <x:c r="F164" s="18"/>
      <x:c r="G164" s="23"/>
      <x:c r="H164" s="23"/>
      <x:c r="I164" t="str">
        <x:f>IFERROR(H164/G164,"")</x:f>
      </x:c>
      <x:c r="J164" s="23"/>
      <x:c r="K164" s="23" t="str">
        <x:f>IF(OR(I164="",J164=""),"",I164*J164)</x:f>
      </x:c>
      <x:c r="L164" s="23" t="str">
        <x:f>IF(K164="","",K164-H164)</x:f>
      </x:c>
      <x:c r="M164" s="19" t="str">
        <x:f>IFERROR(L164/H164,"")</x:f>
      </x:c>
      <x:c r="N164" s="18"/>
      <x:c r="O164" s="23"/>
      <x:c r="P164" s="23" t="str">
        <x:f>IF(OR(I164="",O164=""),"",I164*O164)</x:f>
      </x:c>
      <x:c r="Q164" s="23" t="str">
        <x:f>IF(P164="","",P164-H164)</x:f>
      </x:c>
      <x:c r="R164" s="44"/>
    </x:row>
    <x:row r="165">
      <x:c r="F165" s="18"/>
      <x:c r="G165" s="23"/>
      <x:c r="H165" s="23"/>
      <x:c r="I165" t="str">
        <x:f>IFERROR(H165/G165,"")</x:f>
      </x:c>
      <x:c r="J165" s="23"/>
      <x:c r="K165" s="23" t="str">
        <x:f>IF(OR(I165="",J165=""),"",I165*J165)</x:f>
      </x:c>
      <x:c r="L165" s="23" t="str">
        <x:f>IF(K165="","",K165-H165)</x:f>
      </x:c>
      <x:c r="M165" s="19" t="str">
        <x:f>IFERROR(L165/H165,"")</x:f>
      </x:c>
      <x:c r="N165" s="18"/>
      <x:c r="O165" s="23"/>
      <x:c r="P165" s="23" t="str">
        <x:f>IF(OR(I165="",O165=""),"",I165*O165)</x:f>
      </x:c>
      <x:c r="Q165" s="23" t="str">
        <x:f>IF(P165="","",P165-H165)</x:f>
      </x:c>
      <x:c r="R165" s="44"/>
    </x:row>
    <x:row r="166">
      <x:c r="F166" s="18"/>
      <x:c r="G166" s="23"/>
      <x:c r="H166" s="23"/>
      <x:c r="I166" t="str">
        <x:f>IFERROR(H166/G166,"")</x:f>
      </x:c>
      <x:c r="J166" s="23"/>
      <x:c r="K166" s="23" t="str">
        <x:f>IF(OR(I166="",J166=""),"",I166*J166)</x:f>
      </x:c>
      <x:c r="L166" s="23" t="str">
        <x:f>IF(K166="","",K166-H166)</x:f>
      </x:c>
      <x:c r="M166" s="19" t="str">
        <x:f>IFERROR(L166/H166,"")</x:f>
      </x:c>
      <x:c r="N166" s="18"/>
      <x:c r="O166" s="23"/>
      <x:c r="P166" s="23" t="str">
        <x:f>IF(OR(I166="",O166=""),"",I166*O166)</x:f>
      </x:c>
      <x:c r="Q166" s="23" t="str">
        <x:f>IF(P166="","",P166-H166)</x:f>
      </x:c>
      <x:c r="R166" s="44"/>
    </x:row>
    <x:row r="167">
      <x:c r="F167" s="18"/>
      <x:c r="G167" s="23"/>
      <x:c r="H167" s="23"/>
      <x:c r="I167" t="str">
        <x:f>IFERROR(H167/G167,"")</x:f>
      </x:c>
      <x:c r="J167" s="23"/>
      <x:c r="K167" s="23" t="str">
        <x:f>IF(OR(I167="",J167=""),"",I167*J167)</x:f>
      </x:c>
      <x:c r="L167" s="23" t="str">
        <x:f>IF(K167="","",K167-H167)</x:f>
      </x:c>
      <x:c r="M167" s="19" t="str">
        <x:f>IFERROR(L167/H167,"")</x:f>
      </x:c>
      <x:c r="N167" s="18"/>
      <x:c r="O167" s="23"/>
      <x:c r="P167" s="23" t="str">
        <x:f>IF(OR(I167="",O167=""),"",I167*O167)</x:f>
      </x:c>
      <x:c r="Q167" s="23" t="str">
        <x:f>IF(P167="","",P167-H167)</x:f>
      </x:c>
      <x:c r="R167" s="44"/>
    </x:row>
    <x:row r="168">
      <x:c r="F168" s="18"/>
      <x:c r="G168" s="23"/>
      <x:c r="H168" s="23"/>
      <x:c r="I168" t="str">
        <x:f>IFERROR(H168/G168,"")</x:f>
      </x:c>
      <x:c r="J168" s="23"/>
      <x:c r="K168" s="23" t="str">
        <x:f>IF(OR(I168="",J168=""),"",I168*J168)</x:f>
      </x:c>
      <x:c r="L168" s="23" t="str">
        <x:f>IF(K168="","",K168-H168)</x:f>
      </x:c>
      <x:c r="M168" s="19" t="str">
        <x:f>IFERROR(L168/H168,"")</x:f>
      </x:c>
      <x:c r="N168" s="18"/>
      <x:c r="O168" s="23"/>
      <x:c r="P168" s="23" t="str">
        <x:f>IF(OR(I168="",O168=""),"",I168*O168)</x:f>
      </x:c>
      <x:c r="Q168" s="23" t="str">
        <x:f>IF(P168="","",P168-H168)</x:f>
      </x:c>
      <x:c r="R168" s="44"/>
    </x:row>
    <x:row r="169">
      <x:c r="F169" s="18"/>
      <x:c r="G169" s="23"/>
      <x:c r="H169" s="23"/>
      <x:c r="I169" t="str">
        <x:f>IFERROR(H169/G169,"")</x:f>
      </x:c>
      <x:c r="J169" s="23"/>
      <x:c r="K169" s="23" t="str">
        <x:f>IF(OR(I169="",J169=""),"",I169*J169)</x:f>
      </x:c>
      <x:c r="L169" s="23" t="str">
        <x:f>IF(K169="","",K169-H169)</x:f>
      </x:c>
      <x:c r="M169" s="19" t="str">
        <x:f>IFERROR(L169/H169,"")</x:f>
      </x:c>
      <x:c r="N169" s="18"/>
      <x:c r="O169" s="23"/>
      <x:c r="P169" s="23" t="str">
        <x:f>IF(OR(I169="",O169=""),"",I169*O169)</x:f>
      </x:c>
      <x:c r="Q169" s="23" t="str">
        <x:f>IF(P169="","",P169-H169)</x:f>
      </x:c>
      <x:c r="R169" s="44"/>
    </x:row>
    <x:row r="170">
      <x:c r="F170" s="18"/>
      <x:c r="G170" s="23"/>
      <x:c r="H170" s="23"/>
      <x:c r="I170" t="str">
        <x:f>IFERROR(H170/G170,"")</x:f>
      </x:c>
      <x:c r="J170" s="23"/>
      <x:c r="K170" s="23" t="str">
        <x:f>IF(OR(I170="",J170=""),"",I170*J170)</x:f>
      </x:c>
      <x:c r="L170" s="23" t="str">
        <x:f>IF(K170="","",K170-H170)</x:f>
      </x:c>
      <x:c r="M170" s="19" t="str">
        <x:f>IFERROR(L170/H170,"")</x:f>
      </x:c>
      <x:c r="N170" s="18"/>
      <x:c r="O170" s="23"/>
      <x:c r="P170" s="23" t="str">
        <x:f>IF(OR(I170="",O170=""),"",I170*O170)</x:f>
      </x:c>
      <x:c r="Q170" s="23" t="str">
        <x:f>IF(P170="","",P170-H170)</x:f>
      </x:c>
      <x:c r="R170" s="44"/>
    </x:row>
    <x:row r="171">
      <x:c r="F171" s="18"/>
      <x:c r="G171" s="23"/>
      <x:c r="H171" s="23"/>
      <x:c r="I171" t="str">
        <x:f>IFERROR(H171/G171,"")</x:f>
      </x:c>
      <x:c r="J171" s="23"/>
      <x:c r="K171" s="23" t="str">
        <x:f>IF(OR(I171="",J171=""),"",I171*J171)</x:f>
      </x:c>
      <x:c r="L171" s="23" t="str">
        <x:f>IF(K171="","",K171-H171)</x:f>
      </x:c>
      <x:c r="M171" s="19" t="str">
        <x:f>IFERROR(L171/H171,"")</x:f>
      </x:c>
      <x:c r="N171" s="18"/>
      <x:c r="O171" s="23"/>
      <x:c r="P171" s="23" t="str">
        <x:f>IF(OR(I171="",O171=""),"",I171*O171)</x:f>
      </x:c>
      <x:c r="Q171" s="23" t="str">
        <x:f>IF(P171="","",P171-H171)</x:f>
      </x:c>
      <x:c r="R171" s="44"/>
    </x:row>
    <x:row r="172">
      <x:c r="F172" s="18"/>
      <x:c r="G172" s="23"/>
      <x:c r="H172" s="23"/>
      <x:c r="I172" t="str">
        <x:f>IFERROR(H172/G172,"")</x:f>
      </x:c>
      <x:c r="J172" s="23"/>
      <x:c r="K172" s="23" t="str">
        <x:f>IF(OR(I172="",J172=""),"",I172*J172)</x:f>
      </x:c>
      <x:c r="L172" s="23" t="str">
        <x:f>IF(K172="","",K172-H172)</x:f>
      </x:c>
      <x:c r="M172" s="19" t="str">
        <x:f>IFERROR(L172/H172,"")</x:f>
      </x:c>
      <x:c r="N172" s="18"/>
      <x:c r="O172" s="23"/>
      <x:c r="P172" s="23" t="str">
        <x:f>IF(OR(I172="",O172=""),"",I172*O172)</x:f>
      </x:c>
      <x:c r="Q172" s="23" t="str">
        <x:f>IF(P172="","",P172-H172)</x:f>
      </x:c>
      <x:c r="R172" s="44"/>
    </x:row>
    <x:row r="173">
      <x:c r="F173" s="18"/>
      <x:c r="G173" s="23"/>
      <x:c r="H173" s="23"/>
      <x:c r="I173" t="str">
        <x:f>IFERROR(H173/G173,"")</x:f>
      </x:c>
      <x:c r="J173" s="23"/>
      <x:c r="K173" s="23" t="str">
        <x:f>IF(OR(I173="",J173=""),"",I173*J173)</x:f>
      </x:c>
      <x:c r="L173" s="23" t="str">
        <x:f>IF(K173="","",K173-H173)</x:f>
      </x:c>
      <x:c r="M173" s="19" t="str">
        <x:f>IFERROR(L173/H173,"")</x:f>
      </x:c>
      <x:c r="N173" s="18"/>
      <x:c r="O173" s="23"/>
      <x:c r="P173" s="23" t="str">
        <x:f>IF(OR(I173="",O173=""),"",I173*O173)</x:f>
      </x:c>
      <x:c r="Q173" s="23" t="str">
        <x:f>IF(P173="","",P173-H173)</x:f>
      </x:c>
      <x:c r="R173" s="44"/>
    </x:row>
    <x:row r="174">
      <x:c r="F174" s="18"/>
      <x:c r="G174" s="23"/>
      <x:c r="H174" s="23"/>
      <x:c r="I174" t="str">
        <x:f>IFERROR(H174/G174,"")</x:f>
      </x:c>
      <x:c r="J174" s="23"/>
      <x:c r="K174" s="23" t="str">
        <x:f>IF(OR(I174="",J174=""),"",I174*J174)</x:f>
      </x:c>
      <x:c r="L174" s="23" t="str">
        <x:f>IF(K174="","",K174-H174)</x:f>
      </x:c>
      <x:c r="M174" s="19" t="str">
        <x:f>IFERROR(L174/H174,"")</x:f>
      </x:c>
      <x:c r="N174" s="18"/>
      <x:c r="O174" s="23"/>
      <x:c r="P174" s="23" t="str">
        <x:f>IF(OR(I174="",O174=""),"",I174*O174)</x:f>
      </x:c>
      <x:c r="Q174" s="23" t="str">
        <x:f>IF(P174="","",P174-H174)</x:f>
      </x:c>
      <x:c r="R174" s="44"/>
    </x:row>
    <x:row r="175">
      <x:c r="F175" s="18"/>
      <x:c r="G175" s="23"/>
      <x:c r="H175" s="23"/>
      <x:c r="I175" t="str">
        <x:f>IFERROR(H175/G175,"")</x:f>
      </x:c>
      <x:c r="J175" s="23"/>
      <x:c r="K175" s="23" t="str">
        <x:f>IF(OR(I175="",J175=""),"",I175*J175)</x:f>
      </x:c>
      <x:c r="L175" s="23" t="str">
        <x:f>IF(K175="","",K175-H175)</x:f>
      </x:c>
      <x:c r="M175" s="19" t="str">
        <x:f>IFERROR(L175/H175,"")</x:f>
      </x:c>
      <x:c r="N175" s="18"/>
      <x:c r="O175" s="23"/>
      <x:c r="P175" s="23" t="str">
        <x:f>IF(OR(I175="",O175=""),"",I175*O175)</x:f>
      </x:c>
      <x:c r="Q175" s="23" t="str">
        <x:f>IF(P175="","",P175-H175)</x:f>
      </x:c>
      <x:c r="R175" s="44"/>
    </x:row>
    <x:row r="176">
      <x:c r="F176" s="18"/>
      <x:c r="G176" s="23"/>
      <x:c r="H176" s="23"/>
      <x:c r="I176" t="str">
        <x:f>IFERROR(H176/G176,"")</x:f>
      </x:c>
      <x:c r="J176" s="23"/>
      <x:c r="K176" s="23" t="str">
        <x:f>IF(OR(I176="",J176=""),"",I176*J176)</x:f>
      </x:c>
      <x:c r="L176" s="23" t="str">
        <x:f>IF(K176="","",K176-H176)</x:f>
      </x:c>
      <x:c r="M176" s="19" t="str">
        <x:f>IFERROR(L176/H176,"")</x:f>
      </x:c>
      <x:c r="N176" s="18"/>
      <x:c r="O176" s="23"/>
      <x:c r="P176" s="23" t="str">
        <x:f>IF(OR(I176="",O176=""),"",I176*O176)</x:f>
      </x:c>
      <x:c r="Q176" s="23" t="str">
        <x:f>IF(P176="","",P176-H176)</x:f>
      </x:c>
      <x:c r="R176" s="44"/>
    </x:row>
    <x:row r="177">
      <x:c r="F177" s="18"/>
      <x:c r="G177" s="23"/>
      <x:c r="H177" s="23"/>
      <x:c r="I177" t="str">
        <x:f>IFERROR(H177/G177,"")</x:f>
      </x:c>
      <x:c r="J177" s="23"/>
      <x:c r="K177" s="23" t="str">
        <x:f>IF(OR(I177="",J177=""),"",I177*J177)</x:f>
      </x:c>
      <x:c r="L177" s="23" t="str">
        <x:f>IF(K177="","",K177-H177)</x:f>
      </x:c>
      <x:c r="M177" s="19" t="str">
        <x:f>IFERROR(L177/H177,"")</x:f>
      </x:c>
      <x:c r="N177" s="18"/>
      <x:c r="O177" s="23"/>
      <x:c r="P177" s="23" t="str">
        <x:f>IF(OR(I177="",O177=""),"",I177*O177)</x:f>
      </x:c>
      <x:c r="Q177" s="23" t="str">
        <x:f>IF(P177="","",P177-H177)</x:f>
      </x:c>
      <x:c r="R177" s="44"/>
    </x:row>
    <x:row r="178">
      <x:c r="F178" s="18"/>
      <x:c r="G178" s="23"/>
      <x:c r="H178" s="23"/>
      <x:c r="I178" t="str">
        <x:f>IFERROR(H178/G178,"")</x:f>
      </x:c>
      <x:c r="J178" s="23"/>
      <x:c r="K178" s="23" t="str">
        <x:f>IF(OR(I178="",J178=""),"",I178*J178)</x:f>
      </x:c>
      <x:c r="L178" s="23" t="str">
        <x:f>IF(K178="","",K178-H178)</x:f>
      </x:c>
      <x:c r="M178" s="19" t="str">
        <x:f>IFERROR(L178/H178,"")</x:f>
      </x:c>
      <x:c r="N178" s="18"/>
      <x:c r="O178" s="23"/>
      <x:c r="P178" s="23" t="str">
        <x:f>IF(OR(I178="",O178=""),"",I178*O178)</x:f>
      </x:c>
      <x:c r="Q178" s="23" t="str">
        <x:f>IF(P178="","",P178-H178)</x:f>
      </x:c>
      <x:c r="R178" s="44"/>
    </x:row>
    <x:row r="179">
      <x:c r="F179" s="18"/>
      <x:c r="G179" s="23"/>
      <x:c r="H179" s="23"/>
      <x:c r="I179" t="str">
        <x:f>IFERROR(H179/G179,"")</x:f>
      </x:c>
      <x:c r="J179" s="23"/>
      <x:c r="K179" s="23" t="str">
        <x:f>IF(OR(I179="",J179=""),"",I179*J179)</x:f>
      </x:c>
      <x:c r="L179" s="23" t="str">
        <x:f>IF(K179="","",K179-H179)</x:f>
      </x:c>
      <x:c r="M179" s="19" t="str">
        <x:f>IFERROR(L179/H179,"")</x:f>
      </x:c>
      <x:c r="N179" s="18"/>
      <x:c r="O179" s="23"/>
      <x:c r="P179" s="23" t="str">
        <x:f>IF(OR(I179="",O179=""),"",I179*O179)</x:f>
      </x:c>
      <x:c r="Q179" s="23" t="str">
        <x:f>IF(P179="","",P179-H179)</x:f>
      </x:c>
      <x:c r="R179" s="44"/>
    </x:row>
    <x:row r="180">
      <x:c r="F180" s="18"/>
      <x:c r="G180" s="23"/>
      <x:c r="H180" s="23"/>
      <x:c r="I180" t="str">
        <x:f>IFERROR(H180/G180,"")</x:f>
      </x:c>
      <x:c r="J180" s="23"/>
      <x:c r="K180" s="23" t="str">
        <x:f>IF(OR(I180="",J180=""),"",I180*J180)</x:f>
      </x:c>
      <x:c r="L180" s="23" t="str">
        <x:f>IF(K180="","",K180-H180)</x:f>
      </x:c>
      <x:c r="M180" s="19" t="str">
        <x:f>IFERROR(L180/H180,"")</x:f>
      </x:c>
      <x:c r="N180" s="18"/>
      <x:c r="O180" s="23"/>
      <x:c r="P180" s="23" t="str">
        <x:f>IF(OR(I180="",O180=""),"",I180*O180)</x:f>
      </x:c>
      <x:c r="Q180" s="23" t="str">
        <x:f>IF(P180="","",P180-H180)</x:f>
      </x:c>
      <x:c r="R180" s="44"/>
    </x:row>
    <x:row r="181">
      <x:c r="F181" s="18"/>
      <x:c r="G181" s="23"/>
      <x:c r="H181" s="23"/>
      <x:c r="I181" t="str">
        <x:f>IFERROR(H181/G181,"")</x:f>
      </x:c>
      <x:c r="J181" s="23"/>
      <x:c r="K181" s="23" t="str">
        <x:f>IF(OR(I181="",J181=""),"",I181*J181)</x:f>
      </x:c>
      <x:c r="L181" s="23" t="str">
        <x:f>IF(K181="","",K181-H181)</x:f>
      </x:c>
      <x:c r="M181" s="19" t="str">
        <x:f>IFERROR(L181/H181,"")</x:f>
      </x:c>
      <x:c r="N181" s="18"/>
      <x:c r="O181" s="23"/>
      <x:c r="P181" s="23" t="str">
        <x:f>IF(OR(I181="",O181=""),"",I181*O181)</x:f>
      </x:c>
      <x:c r="Q181" s="23" t="str">
        <x:f>IF(P181="","",P181-H181)</x:f>
      </x:c>
      <x:c r="R181" s="44"/>
    </x:row>
    <x:row r="182">
      <x:c r="F182" s="18"/>
      <x:c r="G182" s="23"/>
      <x:c r="H182" s="23"/>
      <x:c r="I182" t="str">
        <x:f>IFERROR(H182/G182,"")</x:f>
      </x:c>
      <x:c r="J182" s="23"/>
      <x:c r="K182" s="23" t="str">
        <x:f>IF(OR(I182="",J182=""),"",I182*J182)</x:f>
      </x:c>
      <x:c r="L182" s="23" t="str">
        <x:f>IF(K182="","",K182-H182)</x:f>
      </x:c>
      <x:c r="M182" s="19" t="str">
        <x:f>IFERROR(L182/H182,"")</x:f>
      </x:c>
      <x:c r="N182" s="18"/>
      <x:c r="O182" s="23"/>
      <x:c r="P182" s="23" t="str">
        <x:f>IF(OR(I182="",O182=""),"",I182*O182)</x:f>
      </x:c>
      <x:c r="Q182" s="23" t="str">
        <x:f>IF(P182="","",P182-H182)</x:f>
      </x:c>
      <x:c r="R182" s="44"/>
    </x:row>
    <x:row r="183">
      <x:c r="F183" s="18"/>
      <x:c r="G183" s="23"/>
      <x:c r="H183" s="23"/>
      <x:c r="I183" t="str">
        <x:f>IFERROR(H183/G183,"")</x:f>
      </x:c>
      <x:c r="J183" s="23"/>
      <x:c r="K183" s="23" t="str">
        <x:f>IF(OR(I183="",J183=""),"",I183*J183)</x:f>
      </x:c>
      <x:c r="L183" s="23" t="str">
        <x:f>IF(K183="","",K183-H183)</x:f>
      </x:c>
      <x:c r="M183" s="19" t="str">
        <x:f>IFERROR(L183/H183,"")</x:f>
      </x:c>
      <x:c r="N183" s="18"/>
      <x:c r="O183" s="23"/>
      <x:c r="P183" s="23" t="str">
        <x:f>IF(OR(I183="",O183=""),"",I183*O183)</x:f>
      </x:c>
      <x:c r="Q183" s="23" t="str">
        <x:f>IF(P183="","",P183-H183)</x:f>
      </x:c>
      <x:c r="R183" s="44"/>
    </x:row>
    <x:row r="184">
      <x:c r="F184" s="18"/>
      <x:c r="G184" s="23"/>
      <x:c r="H184" s="23"/>
      <x:c r="I184" t="str">
        <x:f>IFERROR(H184/G184,"")</x:f>
      </x:c>
      <x:c r="J184" s="23"/>
      <x:c r="K184" s="23" t="str">
        <x:f>IF(OR(I184="",J184=""),"",I184*J184)</x:f>
      </x:c>
      <x:c r="L184" s="23" t="str">
        <x:f>IF(K184="","",K184-H184)</x:f>
      </x:c>
      <x:c r="M184" s="19" t="str">
        <x:f>IFERROR(L184/H184,"")</x:f>
      </x:c>
      <x:c r="N184" s="18"/>
      <x:c r="O184" s="23"/>
      <x:c r="P184" s="23" t="str">
        <x:f>IF(OR(I184="",O184=""),"",I184*O184)</x:f>
      </x:c>
      <x:c r="Q184" s="23" t="str">
        <x:f>IF(P184="","",P184-H184)</x:f>
      </x:c>
      <x:c r="R184" s="44"/>
    </x:row>
    <x:row r="185">
      <x:c r="F185" s="18"/>
      <x:c r="G185" s="23"/>
      <x:c r="H185" s="23"/>
      <x:c r="I185" t="str">
        <x:f>IFERROR(H185/G185,"")</x:f>
      </x:c>
      <x:c r="J185" s="23"/>
      <x:c r="K185" s="23" t="str">
        <x:f>IF(OR(I185="",J185=""),"",I185*J185)</x:f>
      </x:c>
      <x:c r="L185" s="23" t="str">
        <x:f>IF(K185="","",K185-H185)</x:f>
      </x:c>
      <x:c r="M185" s="19" t="str">
        <x:f>IFERROR(L185/H185,"")</x:f>
      </x:c>
      <x:c r="N185" s="18"/>
      <x:c r="O185" s="23"/>
      <x:c r="P185" s="23" t="str">
        <x:f>IF(OR(I185="",O185=""),"",I185*O185)</x:f>
      </x:c>
      <x:c r="Q185" s="23" t="str">
        <x:f>IF(P185="","",P185-H185)</x:f>
      </x:c>
      <x:c r="R185" s="44"/>
    </x:row>
    <x:row r="186">
      <x:c r="F186" s="18"/>
      <x:c r="G186" s="23"/>
      <x:c r="H186" s="23"/>
      <x:c r="I186" t="str">
        <x:f>IFERROR(H186/G186,"")</x:f>
      </x:c>
      <x:c r="J186" s="23"/>
      <x:c r="K186" s="23" t="str">
        <x:f>IF(OR(I186="",J186=""),"",I186*J186)</x:f>
      </x:c>
      <x:c r="L186" s="23" t="str">
        <x:f>IF(K186="","",K186-H186)</x:f>
      </x:c>
      <x:c r="M186" s="19" t="str">
        <x:f>IFERROR(L186/H186,"")</x:f>
      </x:c>
      <x:c r="N186" s="18"/>
      <x:c r="O186" s="23"/>
      <x:c r="P186" s="23" t="str">
        <x:f>IF(OR(I186="",O186=""),"",I186*O186)</x:f>
      </x:c>
      <x:c r="Q186" s="23" t="str">
        <x:f>IF(P186="","",P186-H186)</x:f>
      </x:c>
      <x:c r="R186" s="44"/>
    </x:row>
    <x:row r="187">
      <x:c r="F187" s="18"/>
      <x:c r="G187" s="23"/>
      <x:c r="H187" s="23"/>
      <x:c r="I187" t="str">
        <x:f>IFERROR(H187/G187,"")</x:f>
      </x:c>
      <x:c r="J187" s="23"/>
      <x:c r="K187" s="23" t="str">
        <x:f>IF(OR(I187="",J187=""),"",I187*J187)</x:f>
      </x:c>
      <x:c r="L187" s="23" t="str">
        <x:f>IF(K187="","",K187-H187)</x:f>
      </x:c>
      <x:c r="M187" s="19" t="str">
        <x:f>IFERROR(L187/H187,"")</x:f>
      </x:c>
      <x:c r="N187" s="18"/>
      <x:c r="O187" s="23"/>
      <x:c r="P187" s="23" t="str">
        <x:f>IF(OR(I187="",O187=""),"",I187*O187)</x:f>
      </x:c>
      <x:c r="Q187" s="23" t="str">
        <x:f>IF(P187="","",P187-H187)</x:f>
      </x:c>
      <x:c r="R187" s="44"/>
    </x:row>
    <x:row r="188">
      <x:c r="F188" s="18"/>
      <x:c r="G188" s="23"/>
      <x:c r="H188" s="23"/>
      <x:c r="I188" t="str">
        <x:f>IFERROR(H188/G188,"")</x:f>
      </x:c>
      <x:c r="J188" s="23"/>
      <x:c r="K188" s="23" t="str">
        <x:f>IF(OR(I188="",J188=""),"",I188*J188)</x:f>
      </x:c>
      <x:c r="L188" s="23" t="str">
        <x:f>IF(K188="","",K188-H188)</x:f>
      </x:c>
      <x:c r="M188" s="19" t="str">
        <x:f>IFERROR(L188/H188,"")</x:f>
      </x:c>
      <x:c r="N188" s="18"/>
      <x:c r="O188" s="23"/>
      <x:c r="P188" s="23" t="str">
        <x:f>IF(OR(I188="",O188=""),"",I188*O188)</x:f>
      </x:c>
      <x:c r="Q188" s="23" t="str">
        <x:f>IF(P188="","",P188-H188)</x:f>
      </x:c>
      <x:c r="R188" s="44"/>
    </x:row>
    <x:row r="189">
      <x:c r="F189" s="18"/>
      <x:c r="G189" s="23"/>
      <x:c r="H189" s="23"/>
      <x:c r="I189" t="str">
        <x:f>IFERROR(H189/G189,"")</x:f>
      </x:c>
      <x:c r="J189" s="23"/>
      <x:c r="K189" s="23" t="str">
        <x:f>IF(OR(I189="",J189=""),"",I189*J189)</x:f>
      </x:c>
      <x:c r="L189" s="23" t="str">
        <x:f>IF(K189="","",K189-H189)</x:f>
      </x:c>
      <x:c r="M189" s="19" t="str">
        <x:f>IFERROR(L189/H189,"")</x:f>
      </x:c>
      <x:c r="N189" s="18"/>
      <x:c r="O189" s="23"/>
      <x:c r="P189" s="23" t="str">
        <x:f>IF(OR(I189="",O189=""),"",I189*O189)</x:f>
      </x:c>
      <x:c r="Q189" s="23" t="str">
        <x:f>IF(P189="","",P189-H189)</x:f>
      </x:c>
      <x:c r="R189" s="44"/>
    </x:row>
    <x:row r="190">
      <x:c r="F190" s="18"/>
      <x:c r="G190" s="23"/>
      <x:c r="H190" s="23"/>
      <x:c r="I190" t="str">
        <x:f>IFERROR(H190/G190,"")</x:f>
      </x:c>
      <x:c r="J190" s="23"/>
      <x:c r="K190" s="23" t="str">
        <x:f>IF(OR(I190="",J190=""),"",I190*J190)</x:f>
      </x:c>
      <x:c r="L190" s="23" t="str">
        <x:f>IF(K190="","",K190-H190)</x:f>
      </x:c>
      <x:c r="M190" s="19" t="str">
        <x:f>IFERROR(L190/H190,"")</x:f>
      </x:c>
      <x:c r="N190" s="18"/>
      <x:c r="O190" s="23"/>
      <x:c r="P190" s="23" t="str">
        <x:f>IF(OR(I190="",O190=""),"",I190*O190)</x:f>
      </x:c>
      <x:c r="Q190" s="23" t="str">
        <x:f>IF(P190="","",P190-H190)</x:f>
      </x:c>
      <x:c r="R190" s="44"/>
    </x:row>
    <x:row r="191">
      <x:c r="F191" s="18"/>
      <x:c r="G191" s="23"/>
      <x:c r="H191" s="23"/>
      <x:c r="I191" t="str">
        <x:f>IFERROR(H191/G191,"")</x:f>
      </x:c>
      <x:c r="J191" s="23"/>
      <x:c r="K191" s="23" t="str">
        <x:f>IF(OR(I191="",J191=""),"",I191*J191)</x:f>
      </x:c>
      <x:c r="L191" s="23" t="str">
        <x:f>IF(K191="","",K191-H191)</x:f>
      </x:c>
      <x:c r="M191" s="19" t="str">
        <x:f>IFERROR(L191/H191,"")</x:f>
      </x:c>
      <x:c r="N191" s="18"/>
      <x:c r="O191" s="23"/>
      <x:c r="P191" s="23" t="str">
        <x:f>IF(OR(I191="",O191=""),"",I191*O191)</x:f>
      </x:c>
      <x:c r="Q191" s="23" t="str">
        <x:f>IF(P191="","",P191-H191)</x:f>
      </x:c>
      <x:c r="R191" s="44"/>
    </x:row>
    <x:row r="192">
      <x:c r="F192" s="18"/>
      <x:c r="G192" s="23"/>
      <x:c r="H192" s="23"/>
      <x:c r="I192" t="str">
        <x:f>IFERROR(H192/G192,"")</x:f>
      </x:c>
      <x:c r="J192" s="23"/>
      <x:c r="K192" s="23" t="str">
        <x:f>IF(OR(I192="",J192=""),"",I192*J192)</x:f>
      </x:c>
      <x:c r="L192" s="23" t="str">
        <x:f>IF(K192="","",K192-H192)</x:f>
      </x:c>
      <x:c r="M192" s="19" t="str">
        <x:f>IFERROR(L192/H192,"")</x:f>
      </x:c>
      <x:c r="N192" s="18"/>
      <x:c r="O192" s="23"/>
      <x:c r="P192" s="23" t="str">
        <x:f>IF(OR(I192="",O192=""),"",I192*O192)</x:f>
      </x:c>
      <x:c r="Q192" s="23" t="str">
        <x:f>IF(P192="","",P192-H192)</x:f>
      </x:c>
      <x:c r="R192" s="44"/>
    </x:row>
    <x:row r="193">
      <x:c r="F193" s="18"/>
      <x:c r="G193" s="23"/>
      <x:c r="H193" s="23"/>
      <x:c r="I193" t="str">
        <x:f>IFERROR(H193/G193,"")</x:f>
      </x:c>
      <x:c r="J193" s="23"/>
      <x:c r="K193" s="23" t="str">
        <x:f>IF(OR(I193="",J193=""),"",I193*J193)</x:f>
      </x:c>
      <x:c r="L193" s="23" t="str">
        <x:f>IF(K193="","",K193-H193)</x:f>
      </x:c>
      <x:c r="M193" s="19" t="str">
        <x:f>IFERROR(L193/H193,"")</x:f>
      </x:c>
      <x:c r="N193" s="18"/>
      <x:c r="O193" s="23"/>
      <x:c r="P193" s="23" t="str">
        <x:f>IF(OR(I193="",O193=""),"",I193*O193)</x:f>
      </x:c>
      <x:c r="Q193" s="23" t="str">
        <x:f>IF(P193="","",P193-H193)</x:f>
      </x:c>
      <x:c r="R193" s="44"/>
    </x:row>
    <x:row r="194">
      <x:c r="F194" s="18"/>
      <x:c r="G194" s="23"/>
      <x:c r="H194" s="23"/>
      <x:c r="I194" t="str">
        <x:f>IFERROR(H194/G194,"")</x:f>
      </x:c>
      <x:c r="J194" s="23"/>
      <x:c r="K194" s="23" t="str">
        <x:f>IF(OR(I194="",J194=""),"",I194*J194)</x:f>
      </x:c>
      <x:c r="L194" s="23" t="str">
        <x:f>IF(K194="","",K194-H194)</x:f>
      </x:c>
      <x:c r="M194" s="19" t="str">
        <x:f>IFERROR(L194/H194,"")</x:f>
      </x:c>
      <x:c r="N194" s="18"/>
      <x:c r="O194" s="23"/>
      <x:c r="P194" s="23" t="str">
        <x:f>IF(OR(I194="",O194=""),"",I194*O194)</x:f>
      </x:c>
      <x:c r="Q194" s="23" t="str">
        <x:f>IF(P194="","",P194-H194)</x:f>
      </x:c>
      <x:c r="R194" s="44"/>
    </x:row>
    <x:row r="195">
      <x:c r="F195" s="18"/>
      <x:c r="G195" s="23"/>
      <x:c r="H195" s="23"/>
      <x:c r="I195" t="str">
        <x:f>IFERROR(H195/G195,"")</x:f>
      </x:c>
      <x:c r="J195" s="23"/>
      <x:c r="K195" s="23" t="str">
        <x:f>IF(OR(I195="",J195=""),"",I195*J195)</x:f>
      </x:c>
      <x:c r="L195" s="23" t="str">
        <x:f>IF(K195="","",K195-H195)</x:f>
      </x:c>
      <x:c r="M195" s="19" t="str">
        <x:f>IFERROR(L195/H195,"")</x:f>
      </x:c>
      <x:c r="N195" s="18"/>
      <x:c r="O195" s="23"/>
      <x:c r="P195" s="23" t="str">
        <x:f>IF(OR(I195="",O195=""),"",I195*O195)</x:f>
      </x:c>
      <x:c r="Q195" s="23" t="str">
        <x:f>IF(P195="","",P195-H195)</x:f>
      </x:c>
      <x:c r="R195" s="44"/>
    </x:row>
    <x:row r="196">
      <x:c r="F196" s="18"/>
      <x:c r="G196" s="23"/>
      <x:c r="H196" s="23"/>
      <x:c r="I196" t="str">
        <x:f>IFERROR(H196/G196,"")</x:f>
      </x:c>
      <x:c r="J196" s="23"/>
      <x:c r="K196" s="23" t="str">
        <x:f>IF(OR(I196="",J196=""),"",I196*J196)</x:f>
      </x:c>
      <x:c r="L196" s="23" t="str">
        <x:f>IF(K196="","",K196-H196)</x:f>
      </x:c>
      <x:c r="M196" s="19" t="str">
        <x:f>IFERROR(L196/H196,"")</x:f>
      </x:c>
      <x:c r="N196" s="18"/>
      <x:c r="O196" s="23"/>
      <x:c r="P196" s="23" t="str">
        <x:f>IF(OR(I196="",O196=""),"",I196*O196)</x:f>
      </x:c>
      <x:c r="Q196" s="23" t="str">
        <x:f>IF(P196="","",P196-H196)</x:f>
      </x:c>
      <x:c r="R196" s="44"/>
    </x:row>
    <x:row r="197">
      <x:c r="F197" s="18"/>
      <x:c r="G197" s="23"/>
      <x:c r="H197" s="23"/>
      <x:c r="I197" t="str">
        <x:f>IFERROR(H197/G197,"")</x:f>
      </x:c>
      <x:c r="J197" s="23"/>
      <x:c r="K197" s="23" t="str">
        <x:f>IF(OR(I197="",J197=""),"",I197*J197)</x:f>
      </x:c>
      <x:c r="L197" s="23" t="str">
        <x:f>IF(K197="","",K197-H197)</x:f>
      </x:c>
      <x:c r="M197" s="19" t="str">
        <x:f>IFERROR(L197/H197,"")</x:f>
      </x:c>
      <x:c r="N197" s="18"/>
      <x:c r="O197" s="23"/>
      <x:c r="P197" s="23" t="str">
        <x:f>IF(OR(I197="",O197=""),"",I197*O197)</x:f>
      </x:c>
      <x:c r="Q197" s="23" t="str">
        <x:f>IF(P197="","",P197-H197)</x:f>
      </x:c>
      <x:c r="R197" s="44"/>
    </x:row>
    <x:row r="198">
      <x:c r="F198" s="18"/>
      <x:c r="G198" s="23"/>
      <x:c r="H198" s="23"/>
      <x:c r="I198" t="str">
        <x:f>IFERROR(H198/G198,"")</x:f>
      </x:c>
      <x:c r="J198" s="23"/>
      <x:c r="K198" s="23" t="str">
        <x:f>IF(OR(I198="",J198=""),"",I198*J198)</x:f>
      </x:c>
      <x:c r="L198" s="23" t="str">
        <x:f>IF(K198="","",K198-H198)</x:f>
      </x:c>
      <x:c r="M198" s="19" t="str">
        <x:f>IFERROR(L198/H198,"")</x:f>
      </x:c>
      <x:c r="N198" s="18"/>
      <x:c r="O198" s="23"/>
      <x:c r="P198" s="23" t="str">
        <x:f>IF(OR(I198="",O198=""),"",I198*O198)</x:f>
      </x:c>
      <x:c r="Q198" s="23" t="str">
        <x:f>IF(P198="","",P198-H198)</x:f>
      </x:c>
      <x:c r="R198" s="44"/>
    </x:row>
    <x:row r="199">
      <x:c r="F199" s="18"/>
      <x:c r="G199" s="23"/>
      <x:c r="H199" s="23"/>
      <x:c r="I199" t="str">
        <x:f>IFERROR(H199/G199,"")</x:f>
      </x:c>
      <x:c r="J199" s="23"/>
      <x:c r="K199" s="23" t="str">
        <x:f>IF(OR(I199="",J199=""),"",I199*J199)</x:f>
      </x:c>
      <x:c r="L199" s="23" t="str">
        <x:f>IF(K199="","",K199-H199)</x:f>
      </x:c>
      <x:c r="M199" s="19" t="str">
        <x:f>IFERROR(L199/H199,"")</x:f>
      </x:c>
      <x:c r="N199" s="18"/>
      <x:c r="O199" s="23"/>
      <x:c r="P199" s="23" t="str">
        <x:f>IF(OR(I199="",O199=""),"",I199*O199)</x:f>
      </x:c>
      <x:c r="Q199" s="23" t="str">
        <x:f>IF(P199="","",P199-H199)</x:f>
      </x:c>
      <x:c r="R199" s="44"/>
    </x:row>
    <x:row r="200">
      <x:c r="F200" s="18"/>
      <x:c r="G200" s="23"/>
      <x:c r="H200" s="23"/>
      <x:c r="I200" t="str">
        <x:f>IFERROR(H200/G200,"")</x:f>
      </x:c>
      <x:c r="J200" s="23"/>
      <x:c r="K200" s="23" t="str">
        <x:f>IF(OR(I200="",J200=""),"",I200*J200)</x:f>
      </x:c>
      <x:c r="L200" s="23" t="str">
        <x:f>IF(K200="","",K200-H200)</x:f>
      </x:c>
      <x:c r="M200" s="19" t="str">
        <x:f>IFERROR(L200/H200,"")</x:f>
      </x:c>
      <x:c r="N200" s="18"/>
      <x:c r="O200" s="23"/>
      <x:c r="P200" s="23" t="str">
        <x:f>IF(OR(I200="",O200=""),"",I200*O200)</x:f>
      </x:c>
      <x:c r="Q200" s="23" t="str">
        <x:f>IF(P200="","",P200-H200)</x:f>
      </x:c>
      <x:c r="R200" s="44"/>
    </x:row>
    <x:row r="201">
      <x:c r="F201" s="18"/>
      <x:c r="G201" s="23"/>
      <x:c r="H201" s="23"/>
      <x:c r="I201" t="str">
        <x:f>IFERROR(H201/G201,"")</x:f>
      </x:c>
      <x:c r="J201" s="23"/>
      <x:c r="K201" s="23" t="str">
        <x:f>IF(OR(I201="",J201=""),"",I201*J201)</x:f>
      </x:c>
      <x:c r="L201" s="23" t="str">
        <x:f>IF(K201="","",K201-H201)</x:f>
      </x:c>
      <x:c r="M201" s="19" t="str">
        <x:f>IFERROR(L201/H201,"")</x:f>
      </x:c>
      <x:c r="N201" s="18"/>
      <x:c r="O201" s="23"/>
      <x:c r="P201" s="23" t="str">
        <x:f>IF(OR(I201="",O201=""),"",I201*O201)</x:f>
      </x:c>
      <x:c r="Q201" s="23" t="str">
        <x:f>IF(P201="","",P201-H201)</x:f>
      </x:c>
      <x:c r="R201" s="44"/>
    </x:row>
    <x:row r="202">
      <x:c r="F202" s="18"/>
      <x:c r="G202" s="23"/>
      <x:c r="H202" s="23"/>
      <x:c r="I202" t="str">
        <x:f>IFERROR(H202/G202,"")</x:f>
      </x:c>
      <x:c r="J202" s="23"/>
      <x:c r="K202" s="23" t="str">
        <x:f>IF(OR(I202="",J202=""),"",I202*J202)</x:f>
      </x:c>
      <x:c r="L202" s="23" t="str">
        <x:f>IF(K202="","",K202-H202)</x:f>
      </x:c>
      <x:c r="M202" s="19" t="str">
        <x:f>IFERROR(L202/H202,"")</x:f>
      </x:c>
      <x:c r="N202" s="18"/>
      <x:c r="O202" s="23"/>
      <x:c r="P202" s="23" t="str">
        <x:f>IF(OR(I202="",O202=""),"",I202*O202)</x:f>
      </x:c>
      <x:c r="Q202" s="23" t="str">
        <x:f>IF(P202="","",P202-H202)</x:f>
      </x:c>
      <x:c r="R202" s="44"/>
    </x:row>
    <x:row r="203">
      <x:c r="F203" s="18"/>
      <x:c r="G203" s="23"/>
      <x:c r="H203" s="23"/>
      <x:c r="I203" t="str">
        <x:f>IFERROR(H203/G203,"")</x:f>
      </x:c>
      <x:c r="J203" s="23"/>
      <x:c r="K203" s="23" t="str">
        <x:f>IF(OR(I203="",J203=""),"",I203*J203)</x:f>
      </x:c>
      <x:c r="L203" s="23" t="str">
        <x:f>IF(K203="","",K203-H203)</x:f>
      </x:c>
      <x:c r="M203" s="19" t="str">
        <x:f>IFERROR(L203/H203,"")</x:f>
      </x:c>
      <x:c r="N203" s="18"/>
      <x:c r="O203" s="23"/>
      <x:c r="P203" s="23" t="str">
        <x:f>IF(OR(I203="",O203=""),"",I203*O203)</x:f>
      </x:c>
      <x:c r="Q203" s="23" t="str">
        <x:f>IF(P203="","",P203-H203)</x:f>
      </x:c>
      <x:c r="R203" s="44"/>
    </x:row>
    <x:row r="204">
      <x:c r="F204" s="18"/>
      <x:c r="G204" s="23"/>
      <x:c r="H204" s="23"/>
      <x:c r="I204" t="str">
        <x:f>IFERROR(H204/G204,"")</x:f>
      </x:c>
      <x:c r="J204" s="23"/>
      <x:c r="K204" s="23" t="str">
        <x:f>IF(OR(I204="",J204=""),"",I204*J204)</x:f>
      </x:c>
      <x:c r="L204" s="23" t="str">
        <x:f>IF(K204="","",K204-H204)</x:f>
      </x:c>
      <x:c r="M204" s="19" t="str">
        <x:f>IFERROR(L204/H204,"")</x:f>
      </x:c>
      <x:c r="N204" s="18"/>
      <x:c r="O204" s="23"/>
      <x:c r="P204" s="23" t="str">
        <x:f>IF(OR(I204="",O204=""),"",I204*O204)</x:f>
      </x:c>
      <x:c r="Q204" s="23" t="str">
        <x:f>IF(P204="","",P204-H204)</x:f>
      </x:c>
      <x:c r="R204" s="44"/>
    </x:row>
    <x:row r="205">
      <x:c r="F205" s="18"/>
      <x:c r="G205" s="23"/>
      <x:c r="H205" s="23"/>
      <x:c r="I205" t="str">
        <x:f>IFERROR(H205/G205,"")</x:f>
      </x:c>
      <x:c r="J205" s="23"/>
      <x:c r="K205" s="23" t="str">
        <x:f>IF(OR(I205="",J205=""),"",I205*J205)</x:f>
      </x:c>
      <x:c r="L205" s="23" t="str">
        <x:f>IF(K205="","",K205-H205)</x:f>
      </x:c>
      <x:c r="M205" s="19" t="str">
        <x:f>IFERROR(L205/H205,"")</x:f>
      </x:c>
      <x:c r="N205" s="18"/>
      <x:c r="O205" s="23"/>
      <x:c r="P205" s="23" t="str">
        <x:f>IF(OR(I205="",O205=""),"",I205*O205)</x:f>
      </x:c>
      <x:c r="Q205" s="23" t="str">
        <x:f>IF(P205="","",P205-H205)</x:f>
      </x:c>
      <x:c r="R205" s="44"/>
    </x:row>
  </x:sheetData>
  <x:mergeCells>
    <x:mergeCell ref="A2:R2"/>
  </x:mergeCells>
  <x:pageMargins left="0.7" right="0.7" top="0.75" bottom="0.75" header="0.3" footer="0.3"/>
  <x:tableParts count="1">
    <x:tablePart xmlns:r="http://schemas.openxmlformats.org/officeDocument/2006/relationships" r:id="R6822fbe2818c427e"/>
  </x:tableParts>
</x:worksheet>
</file>

<file path=xl/worksheets/sheet6.xml><?xml version="1.0" encoding="utf-8"?>
<x:worksheet xmlns:x="http://schemas.openxmlformats.org/spreadsheetml/2006/main">
  <x:sheetPr>
    <x:tabColor rgb="FF7C3AED"/>
  </x:sheetPr>
  <x:sheetViews>
    <x:sheetView showGridLines="0" workbookViewId="0">
      <x:pane ySplit="5" topLeftCell="A6" activePane="bottomLeft" state="frozen"/>
    </x:sheetView>
  </x:sheetViews>
  <x:sheetFormatPr defaultRowHeight="15"/>
  <x:cols>
    <x:col min="1" max="1" width="18" hidden="0" customWidth="1"/>
    <x:col min="2" max="2" width="18" hidden="0" customWidth="1"/>
    <x:col min="3" max="3" width="18" hidden="0" customWidth="1"/>
    <x:col min="4" max="4" width="28" hidden="0" customWidth="1"/>
    <x:col min="5" max="5" width="36" hidden="0" customWidth="1"/>
    <x:col min="6" max="6" width="18" hidden="0" customWidth="1"/>
    <x:col min="7" max="7" width="18" hidden="0" customWidth="1"/>
    <x:col min="8" max="8" width="18" hidden="0" customWidth="1"/>
    <x:col min="9" max="9" width="18" hidden="0" customWidth="1"/>
    <x:col min="10" max="10" width="38" hidden="0" customWidth="1"/>
  </x:cols>
  <x:sheetData>
    <x:row r="1">
      <x:c r="A1" s="1"/>
      <x:c r="B1" s="1"/>
      <x:c r="C1" s="1"/>
      <x:c r="D1" s="1"/>
      <x:c r="E1" s="1"/>
      <x:c r="F1" s="1"/>
      <x:c r="G1" s="1"/>
      <x:c r="H1" s="1"/>
      <x:c r="I1" s="1"/>
      <x:c r="J1" s="1"/>
    </x:row>
    <x:row r="2">
      <x:c r="A2" s="2" t="str">
        <x:v>Scan Runs</x:v>
      </x:c>
      <x:c r="B2" s="1"/>
      <x:c r="C2" s="1"/>
      <x:c r="D2" s="1"/>
      <x:c r="E2" s="1"/>
      <x:c r="F2" s="1"/>
      <x:c r="G2" s="1"/>
      <x:c r="H2" s="1"/>
      <x:c r="I2" s="1"/>
      <x:c r="J2" s="1"/>
    </x:row>
    <x:row r="3">
      <x:c r="A3" s="3"/>
      <x:c r="B3" s="3"/>
      <x:c r="C3" s="3"/>
      <x:c r="D3" s="3"/>
      <x:c r="E3" s="3"/>
      <x:c r="F3" s="3"/>
      <x:c r="G3" s="3"/>
      <x:c r="H3" s="3"/>
      <x:c r="I3" s="3"/>
      <x:c r="J3" s="3"/>
    </x:row>
    <x:row r="4">
      <x:c r="A4" s="1"/>
      <x:c r="B4" s="1"/>
      <x:c r="C4" s="1"/>
      <x:c r="D4" s="1"/>
      <x:c r="E4" s="1"/>
      <x:c r="F4" s="1"/>
      <x:c r="G4" s="1"/>
      <x:c r="H4" s="1"/>
      <x:c r="I4" s="1"/>
      <x:c r="J4" s="1"/>
    </x:row>
    <x:row r="5">
      <x:c r="A5" s="24" t="str">
        <x:v>Run ID</x:v>
      </x:c>
      <x:c r="B5" s="25" t="str">
        <x:v>Run At</x:v>
      </x:c>
      <x:c r="C5" s="25" t="str">
        <x:v>Task</x:v>
      </x:c>
      <x:c r="D5" s="25" t="str">
        <x:v>Scope</x:v>
      </x:c>
      <x:c r="E5" s="25" t="str">
        <x:v>Sources Checked</x:v>
      </x:c>
      <x:c r="F5" s="25" t="str">
        <x:v>New Triggers</x:v>
      </x:c>
      <x:c r="G5" s="25" t="str">
        <x:v>Theses Updated</x:v>
      </x:c>
      <x:c r="H5" s="25" t="str">
        <x:v>Evaluations Completed</x:v>
      </x:c>
      <x:c r="I5" s="25" t="str">
        <x:v>Alert Sent</x:v>
      </x:c>
      <x:c r="J5" s="26" t="str">
        <x:v>Notes</x:v>
      </x:c>
    </x:row>
    <x:row r="6">
      <x:c r="A6" s="27" t="str">
        <x:v>RUN-2026-09-11-0815</x:v>
      </x:c>
      <x:c r="B6" s="28" t="n">
        <x:v>46276.51043981482</x:v>
      </x:c>
      <x:c r="C6" s="27" t="str">
        <x:v>Easy E Invest daily scan</x:v>
      </x:c>
      <x:c r="D6" s="29" t="str">
        <x:v>Cross-sector: energy, macro, fixed income, commodities, defense, technology, regulation, sanctions and government awards</x:v>
      </x:c>
      <x:c r="E6" s="29" t="str">
        <x:v>USAspending; Congress; Federal Register; BLS; IEA reporting; Reuters; AP; SEC; market price and yield data</x:v>
      </x:c>
      <x:c r="F6" s="29" t="n">
        <x:v>3</x:v>
      </x:c>
      <x:c r="G6" s="29" t="n">
        <x:v>3</x:v>
      </x:c>
      <x:c r="H6" s="29" t="n">
        <x:v>0</x:v>
      </x:c>
      <x:c r="I6" s="29" t="str">
        <x:v>Yes</x:v>
      </x:c>
      <x:c r="J6" s="29" t="str">
        <x:v>New qualifying macro thesis EEI-2026-004. EEI-2026-001 strengthened and became Actionable but remains WAIT. EEI-2026-003 trading edge fell. No material USAspending new award was independently confirmed; reported Pentagon-Fluidstack loan talks remain unconfirmed and were not promoted.</x:v>
      </x:c>
    </x:row>
    <x:row r="7">
      <x:c r="A7" s="27" t="str">
        <x:v>RUN-2026-09-11-1142</x:v>
      </x:c>
      <x:c r="B7" s="28" t="n">
        <x:v>46276.65429398148</x:v>
      </x:c>
      <x:c r="C7" s="27" t="str">
        <x:v>2026 midterm thesis check</x:v>
      </x:c>
      <x:c r="D7" s="29" t="str">
        <x:v>EEI-2026-003 only: congressional-control outlook, policy developments, breadth, volatility, rates, inflation, oil, earnings and candidate sectors</x:v>
      </x:c>
      <x:c r="E7" s="29" t="str">
        <x:v>BLS; Federal Reserve calendar; Reuters; market price data; current published election coverage</x:v>
      </x:c>
      <x:c r="F7" s="29" t="n">
        <x:v>0</x:v>
      </x:c>
      <x:c r="G7" s="29" t="n">
        <x:v>1</x:v>
      </x:c>
      <x:c r="H7" s="29" t="n">
        <x:v>0</x:v>
      </x:c>
      <x:c r="I7" s="29" t="str">
        <x:v>Yes</x:v>
      </x:c>
      <x:c r="J7" s="29" t="str">
        <x:v>CPI and consumer sentiment strengthened the macro contradiction. Friday's rebound had positive breadth, but SPY still outperformed RSP and IWM. EEI-2026-003 remains Developing; trading edge remains limited; Entry Window WAIT and inactive until Actionable. No automatic trade.</x:v>
      </x:c>
    </x:row>
    <x:row r="8">
      <x:c r="A8" s="27" t="str">
        <x:v>RUN-2026-09-12-0759</x:v>
      </x:c>
      <x:c r="B8" s="51" t="n">
        <x:v>46277.49940972222</x:v>
      </x:c>
      <x:c r="C8" s="27" t="str">
        <x:v>Easy E Invest daily scan</x:v>
      </x:c>
      <x:c r="D8" s="29" t="str">
        <x:v>Cross-sector: energy, macro, fixed income, commodities, defense, healthcare/biotech, technology, trade policy, sanctions, supply chains and government awards</x:v>
      </x:c>
      <x:c r="E8" s="29" t="str">
        <x:v>USAspending; Congressional and Federal Register sources; BLS; IEA context; Reuters; AP; Financial Times; Commerce/Trade; FDA; market data and prior ledger evidence</x:v>
      </x:c>
      <x:c r="F8" s="29" t="n">
        <x:v>4</x:v>
      </x:c>
      <x:c r="G8" s="29" t="n">
        <x:v>2</x:v>
      </x:c>
      <x:c r="H8" s="29" t="n">
        <x:v>0</x:v>
      </x:c>
      <x:c r="I8" s="29" t="str">
        <x:v>Yes</x:v>
      </x:c>
      <x:c r="J8" s="29" t="str">
        <x:v>EEI-2026-001 materially strengthened after the East-West pipeline shutdown; confidence remains 5/5, edge drops to 1/5 and Entry Window remains WAIT because the Saturday trigger lacks market confirmation and creates gap risk. EEI-2026-004 was reinforced by ECB commentary but stayed Actionable 4/5, edge 2/5, WAIT. Solar import duties, Scholar Rock's FDA approval, AI legislation and critical-minerals restrictions were reviewed but not promoted: implementation, prior expectation, confirmation or remaining edge was insufficient. No material new USAspending award passed new-award, confirmation and materiality tests.</x:v>
      </x:c>
    </x:row>
    <x:row r="9">
      <x:c r="A9" s="27" t="str">
        <x:v>RUN-2026-09-12-1115</x:v>
      </x:c>
      <x:c r="B9" s="28" t="n">
        <x:v>46277.63582175926</x:v>
      </x:c>
      <x:c r="C9" s="27" t="str">
        <x:v>2026 midterm thesis check</x:v>
      </x:c>
      <x:c r="D9" s="29" t="str">
        <x:v>EEI-2026-003 only: congressional-control outlook, policy developments, breadth, volatility, rates, inflation, oil, earnings and candidate sectors</x:v>
      </x:c>
      <x:c r="E9" s="29" t="str">
        <x:v>Cook Political Report; Reuters; Associated Press; BLS; Federal Reserve calendar; market price data; prior ledger evidence</x:v>
      </x:c>
      <x:c r="F9" s="29" t="n">
        <x:v>1</x:v>
      </x:c>
      <x:c r="G9" s="29" t="n">
        <x:v>1</x:v>
      </x:c>
      <x:c r="H9" s="29" t="n">
        <x:v>0</x:v>
      </x:c>
      <x:c r="I9" s="29" t="str">
        <x:v>Yes</x:v>
      </x:c>
      <x:c r="J9" s="29" t="str">
        <x:v>No verified change in congressional-control outlook or candidate-sector policy. The East-West pipeline shutdown materially worsened the energy-inflation modifier. Friday's final close showed positive S&amp;P 500 breadth but no sustained confirmation from RSP, IWM, health care or biotech. EEI-2026-003 remains Developing; trading edge remains limited; Entry Window WAIT and inactive until Actionable.</x:v>
      </x:c>
    </x:row>
    <x:row r="10">
      <x:c r="A10" s="27" t="str">
        <x:v>RUN-2026-09-13-0752</x:v>
      </x:c>
      <x:c r="B10" s="51" t="n">
        <x:v>46278.49491898148</x:v>
      </x:c>
      <x:c r="C10" s="27" t="str">
        <x:v>Easy E Invest daily scan</x:v>
      </x:c>
      <x:c r="D10" s="29" t="str">
        <x:v>Cross-sector: energy, macro, fixed income, commodities, defense, healthcare/biotech, technology, trade policy, sanctions, supply chains, market positioning and government awards</x:v>
      </x:c>
      <x:c r="E10" s="29" t="str">
        <x:v>USAspending; Defense and Federal Register sources; Reuters; Associated Press; UKMTO reporting; BLS and IEA context; FDA; company and market data; prior ledger evidence</x:v>
      </x:c>
      <x:c r="F10" s="29" t="n">
        <x:v>3</x:v>
      </x:c>
      <x:c r="G10" s="29" t="n">
        <x:v>2</x:v>
      </x:c>
      <x:c r="H10" s="29" t="n">
        <x:v>0</x:v>
      </x:c>
      <x:c r="I10" s="29" t="str">
        <x:v>Yes</x:v>
      </x:c>
      <x:c r="J10" s="29" t="str">
        <x:v>EEI-2026-001 materially strengthened after a projectile struck a Hormuz vessel and Saudi equities supplied the first regional post-pipeline market reaction. Confidence stays 5/5, edge 1/5 and Entry Window WAIT because crude and U.S. funds have not traded since the weekend attacks. EEI-2026-004 gained evidence from 98% U.S. refinery utilization and possible DPA capacity support, but no decision or state change occurred. DPA refining talks, German investment shifts, FDA items and other policy/corporate events did not justify new theses. USAspending checks found Peraton order 693KA726F00020 ($30.9M current, $15.5M obligated, $54.5M potential; DOT/FAA; NAICS 541512; delivery order under 693KA726D00003; awarded March 6, 2026, through December 31, 2028; not a new weekend award; private recipient; previously announced prime-integrator relationship) and Global Solutions Group order 140D0425F0838 ($2.3M current/obligated, $3.1M potential; DOI; BPA call; NAICS 541511; period ended September 12, 2026); neither was a new material public-company signal.</x:v>
      </x:c>
    </x:row>
    <x:row r="11">
      <x:c r="A11" s="27" t="str">
        <x:v>RUN-2026-09-13-1110</x:v>
      </x:c>
      <x:c r="B11" s="28" t="n">
        <x:v>46278.63196759259</x:v>
      </x:c>
      <x:c r="C11" s="27" t="str">
        <x:v>2026 midterm thesis check</x:v>
      </x:c>
      <x:c r="D11" s="29" t="str">
        <x:v>EEI-2026-003 only: congressional-control outlook, policy developments, breadth, volatility, rates, inflation, oil, earnings and candidate sectors</x:v>
      </x:c>
      <x:c r="E11" s="29" t="str">
        <x:v>Cook Political Report; Reuters; Associated Press; BLS; Federal Reserve calendar; Saudi market data; prior ledger evidence</x:v>
      </x:c>
      <x:c r="F11" s="29" t="n">
        <x:v>1</x:v>
      </x:c>
      <x:c r="G11" s="29" t="n">
        <x:v>1</x:v>
      </x:c>
      <x:c r="H11" s="29" t="n">
        <x:v>0</x:v>
      </x:c>
      <x:c r="I11" s="29" t="str">
        <x:v>Yes</x:v>
      </x:c>
      <x:c r="J11" s="29" t="str">
        <x:v>No independently verified congressional-control or candidate-sector policy trigger emerged. Pipeline repair-duration and export-stock reports materially worsened the oil-inflation-rates modifier, and Saudi equities confirmed regional risk aversion. EEI-2026-003 remains Developing with confidence 3/5, trading edge reduced to 1/5, and Entry Window WAIT and inactive until Actionable. No automatic trade.</x:v>
      </x:c>
    </x:row>
    <x:row r="12">
      <x:c r="A12" s="27" t="str">
        <x:v>RUN-2026-09-14-0908</x:v>
      </x:c>
      <x:c r="B12" s="28" t="n">
        <x:v>46279.38055555556</x:v>
      </x:c>
      <x:c r="C12" s="27" t="str">
        <x:v>Easy E Invest daily scan</x:v>
      </x:c>
      <x:c r="D12" s="29" t="str">
        <x:v>Separate reviews: energy market; 2026 midterm thesis; Motley Fool watch; plus cross-sector government awards, critical minerals, macro, healthcare, consumer, defense, technology, sanctions, supply chains and market confirmation</x:v>
      </x:c>
      <x:c r="E12" s="29" t="str">
        <x:v>Methodology and prior ledger; USAspending and DLA award reporting; Congress/Federal Register; Reuters; AP; SEC/EDGAR; company investor materials; market data; public Motley Fool editorial pages</x:v>
      </x:c>
      <x:c r="F12" s="29" t="n">
        <x:v>8</x:v>
      </x:c>
      <x:c r="G12" s="29" t="n">
        <x:v>6</x:v>
      </x:c>
      <x:c r="H12" s="29" t="n">
        <x:v>0</x:v>
      </x:c>
      <x:c r="I12" s="29" t="str">
        <x:v>Yes</x:v>
      </x:c>
      <x:c r="J12" s="29" t="str">
        <x:v>EEI-2026-001 gained liquid futures and physical-market confirmation but remains Actionable 5/5, edge 1/5, Entry Window WAIT. EEI-2026-004 was reinforced but remains WAIT before the Fed. No verified change to the separate 2026 midterm thesis. Motley Fool queue: created EEI-2026-005 BMY (Developing), EEI-2026-006 LULU (Hypothesis) and EEI-2026-007 AVAV (Strong), with Motley Fool recorded only as trigger; Everspin and Kraken articles were rejected and recorded. New EEI-2026-008 tungsten thesis is Actionable 4/5, edge 2/5, WAIT. Reported DLA award: Elmet subsidiary; action reported as new award; $150M guaranteed commitment; ~$2B potential ceiling; obligated amount, award ID, NAICS/PSC, competition and period unavailable pending USAspending/agency indexing; highly material relative to Elmet; publicly announced and likely not fully expected. No other material new USAspending award passed the screen.</x:v>
      </x:c>
    </x:row>
    <x:row r="13">
      <x:c r="A13" s="27" t="str">
        <x:v>RUN-2026-09-15-0813</x:v>
      </x:c>
      <x:c r="B13" s="28" t="n">
        <x:v>46280.34236111111</x:v>
      </x:c>
      <x:c r="C13" s="27" t="str">
        <x:v>Easy E Invest daily scan</x:v>
      </x:c>
      <x:c r="D13" s="29" t="str">
        <x:v>Separate reviews: energy market; 2026 midterm thesis; Motley Fool watch; plus cross-sector government awards, macro, fixed income, healthcare, consumer, technology, defense, critical minerals and market confirmation</x:v>
      </x:c>
      <x:c r="E13" s="29" t="str">
        <x:v>Methodology and prior ledger; USAspending/DLA and Department of War; Reuters; SEC/issuer filings; Barron's; market data; Federal Reserve/BLS calendars; public Motley Fool editorial pages</x:v>
      </x:c>
      <x:c r="F13" s="29" t="n">
        <x:v>2</x:v>
      </x:c>
      <x:c r="G13" s="29" t="n">
        <x:v>2</x:v>
      </x:c>
      <x:c r="H13" s="29" t="n">
        <x:v>0</x:v>
      </x:c>
      <x:c r="I13" s="29" t="str">
        <x:v>Yes</x:v>
      </x:c>
      <x:c r="J13" s="29" t="str">
        <x:v>EEI-2026-008 received primary Department of War confirmation, but ELMT's roughly 33% September 14 jump reduced trading edge from 2/5 to 1/5; status remains Actionable and Entry Window WAIT. EEI-2026-001 received additional physical and market evidence plus an acute-risk contradiction; confidence 5/5, edge 1/5 and WAIT are unchanged. The separate 2026 midterm thesis had no independently verified policy/control catalyst and was not re-scored. New public Motley Fool comparisons were screened as trigger-only and rejected for lack of a new distinct catalyst; BMY, LULU and AVAV stages were unchanged. No other new public-company USAspending award passed award-record, confirmation and materiality checks. No horizon matured; formal evaluations remain pending.</x:v>
      </x:c>
    </x:row>
    <x:row r="14">
      <x:c r="A14" s="27" t="str">
        <x:v>RUN-2026-09-14-1155</x:v>
      </x:c>
      <x:c r="B14" s="28" t="n">
        <x:v>46279.66349537037</x:v>
      </x:c>
      <x:c r="C14" s="27" t="str">
        <x:v>2026 midterm thesis check</x:v>
      </x:c>
      <x:c r="D14" s="29" t="str">
        <x:v>EEI-2026-003 only: congressional-control outlook, policy developments, breadth, volatility, rates, inflation, oil, earnings and candidate sectors</x:v>
      </x:c>
      <x:c r="E14" s="29" t="str">
        <x:v>Reuters; BLS; market price and yield data; prior ledger evidence</x:v>
      </x:c>
      <x:c r="F14" s="29" t="n">
        <x:v>0</x:v>
      </x:c>
      <x:c r="G14" s="29" t="n">
        <x:v>1</x:v>
      </x:c>
      <x:c r="H14" s="29" t="n">
        <x:v>0</x:v>
      </x:c>
      <x:c r="I14" s="29" t="str">
        <x:v>Yes</x:v>
      </x:c>
      <x:c r="J14" s="29" t="str">
        <x:v>Backfilled on September 15 after the prior workbook-write interruption. Monday's final close showed a lower headline market, mixed internal breadth, industrial weakness, oil above $105 and the 10-year yield briefly above 5%. EEI-2026-003 remained Developing with confidence 3/5, trading edge 1/5 and Entry Window WAIT inactive until Actionable.</x:v>
      </x:c>
    </x:row>
    <x:row r="15">
      <x:c r="A15" s="27" t="str">
        <x:v>RUN-2026-09-15-1142</x:v>
      </x:c>
      <x:c r="B15" s="28" t="n">
        <x:v>46280.654594907406</x:v>
      </x:c>
      <x:c r="C15" s="27" t="str">
        <x:v>2026 midterm thesis check</x:v>
      </x:c>
      <x:c r="D15" s="29" t="str">
        <x:v>EEI-2026-003 only: congressional-control outlook, policy developments, breadth, volatility, rates, inflation, oil, earnings and candidate sectors</x:v>
      </x:c>
      <x:c r="E15" s="29" t="str">
        <x:v>Reuters/Ipsos; Cook Political Report public coverage; BLS; Federal Reserve calendar; Reuters market, oil and rates reporting; delayed ETF market data; prior ledger evidence</x:v>
      </x:c>
      <x:c r="F15" s="29" t="n">
        <x:v>1</x:v>
      </x:c>
      <x:c r="G15" s="29" t="n">
        <x:v>1</x:v>
      </x:c>
      <x:c r="H15" s="29" t="n">
        <x:v>0</x:v>
      </x:c>
      <x:c r="I15" s="29" t="str">
        <x:v>Yes</x:v>
      </x:c>
      <x:c r="J15" s="29" t="str">
        <x:v>The Reuters/Ipsos generic ballot is a new national-sentiment trigger but does not establish chamber control or a policy outcome. Tuesday's negative breadth, IWM/XBI underperformance, Brent above $107 and the 10-year yield above 5% weaken market confirmation and trading edge. EEI-2026-003 remains Developing, confidence 3/5, edge 1/5, Entry Window WAIT inactive until Actionable. No automatic trade.</x:v>
      </x:c>
    </x:row>
    <x:row r="16">
      <x:c r="A16" s="27" t="str">
        <x:v>RUN-2026-09-16-0752</x:v>
      </x:c>
      <x:c r="B16" s="28" t="n">
        <x:v>46281.32777777778</x:v>
      </x:c>
      <x:c r="C16" s="27" t="str">
        <x:v>Easy E Invest daily scan</x:v>
      </x:c>
      <x:c r="D16" s="29" t="str">
        <x:v>Separate reviews: energy market; 2026 midterm thesis; Motley Fool watch; plus cross-sector government awards, macro, fixed income, healthcare, consumer, technology, defense, critical minerals and market confirmation</x:v>
      </x:c>
      <x:c r="E16" s="29" t="str">
        <x:v>Methodology and prior ledger; USAspending and Department of War award reporting; Reuters; EIA context; company and SEC materials; market data; public Motley Fool editorial pages</x:v>
      </x:c>
      <x:c r="F16" s="29" t="n">
        <x:v>4</x:v>
      </x:c>
      <x:c r="G16" s="29" t="n">
        <x:v>2</x:v>
      </x:c>
      <x:c r="H16" s="29" t="n">
        <x:v>0</x:v>
      </x:c>
      <x:c r="I16" s="29" t="str">
        <x:v>Yes</x:v>
      </x:c>
      <x:c r="J16" s="29" t="str">
        <x:v>Created EEI-2026-009, global diesel scarcity and refining margins, as Strong 4/5 with trading edge 1/5 and Entry Window WAIT after record Asian diesel cracks and confirmed European physical shortages. EEI-2026-001 retained Actionable 5/5, edge 1/5 and WAIT, but Saudi rerouting, possible pipeline repair and a large U.S. crude inventory build increased reversal risk. The separate midterm thesis had no verified policy or market-structure change and was not re-scored. New public Motley Fool articles on Anthropic-linked AMZN/GOOG exposure and Nvidia were rejected as non-distinct, already-known ideas; BMY, LULU and AVAV were unchanged. No material new USAspending public-company award passed confirmation and materiality checks. No horizon matured.</x:v>
      </x:c>
    </x:row>
    <x:row r="17">
      <x:c r="A17" s="27" t="str">
        <x:v>RUN-2026-09-16-1136</x:v>
      </x:c>
      <x:c r="B17" s="28" t="n">
        <x:v>46281.65054398148</x:v>
      </x:c>
      <x:c r="C17" s="27" t="str">
        <x:v>2026 midterm thesis check</x:v>
      </x:c>
      <x:c r="D17" s="29" t="str">
        <x:v>EEI-2026-003 only: congressional-control outlook, policy developments, breadth, volatility, rates, inflation, oil, earnings and candidate sectors</x:v>
      </x:c>
      <x:c r="E17" s="29" t="str">
        <x:v>Cook Political Report; Reuters; Federal Reserve schedule; Commerce Department and BLS reporting; delayed ETF market data; prior ledger evidence</x:v>
      </x:c>
      <x:c r="F17" s="29" t="n">
        <x:v>0</x:v>
      </x:c>
      <x:c r="G17" s="29" t="n">
        <x:v>1</x:v>
      </x:c>
      <x:c r="H17" s="29" t="n">
        <x:v>0</x:v>
      </x:c>
      <x:c r="I17" s="29" t="str">
        <x:v>Yes</x:v>
      </x:c>
      <x:c r="J17" s="29" t="str">
        <x:v>Wednesday's pre-Fed tape reversed Tuesday's negative breadth: industrials, materials, small caps and biotech participated while crude eased. Equal weight still lagged SPY, financials declined, import inflation remained high and the 2 p.m. Fed decision was pending. EEI-2026-003 remains Developing; existing confidence and trading-edge fields are unchanged; Entry Window WAIT remains inactive until Actionable. No automatic trade.</x:v>
      </x:c>
    </x:row>
    <x:row r="18">
      <x:c r="A18" s="27" t="str">
        <x:v>RUN-2026-09-17-0748</x:v>
      </x:c>
      <x:c r="B18" s="28" t="n">
        <x:v>46282.325</x:v>
      </x:c>
      <x:c r="C18" s="27" t="str">
        <x:v>Easy E Invest daily scan</x:v>
      </x:c>
      <x:c r="D18" s="29" t="str">
        <x:v>Separate reviews: energy market; 2026 midterm thesis; Motley Fool watch; plus cross-sector government awards, macro, fixed income, healthcare, consumer, technology, defense, critical minerals and market confirmation</x:v>
      </x:c>
      <x:c r="E18" s="29" t="str">
        <x:v>Methodology and prior ledger; Reuters; Federal Reserve; FAA; USAspending and government award records; company announcements; public Motley Fool editorial pages; market data</x:v>
      </x:c>
      <x:c r="F18" s="29" t="n">
        <x:v>7</x:v>
      </x:c>
      <x:c r="G18" s="29" t="n">
        <x:v>3</x:v>
      </x:c>
      <x:c r="H18" s="29" t="n">
        <x:v>0</x:v>
      </x:c>
      <x:c r="I18" s="29" t="str">
        <x:v>Yes</x:v>
      </x:c>
      <x:c r="J18" s="29" t="str">
        <x:v>EEI-2026-009 promoted from Strong to Actionable at confidence 5/5 after record product markets gained independent confirmation from extremely low Hormuz traffic, Russian refinery outages and regional export rationing. Trading edge remains 1/5 and Entry Window WAIT because prices and crack spreads are at records and policy intervention has begun. EEI-2026-004 remains Actionable but trading edge fell from 2/5 to 1/5: the Fed delivered the predicted 25 bp hike, yet long yields eased and the clean expression did not confirm. EEI-2026-001 remains Actionable 5/5, edge 1/5, WAIT: physical disruption persists but rerouting and expected pipeline repair are easing crude prices. No material change to the separate midterm thesis. Public Motley Fool ideas on TSM, VKTX and JOBY were screened and rejected as new theses; existing BMY, LULU and AVAV classifications were unchanged. The IBM/Anderon $1 billion CHIPS award finalization was not a new surprise and was not material enough to create a thesis. No material new USAspending public-company contract passed full confirmation and materiality checks.</x:v>
      </x:c>
    </x:row>
    <x:row r="19">
      <x:c r="A19" s="27" t="str">
        <x:v>RUN-2026-09-17-1104</x:v>
      </x:c>
      <x:c r="B19" s="28" t="n">
        <x:v>46282.6278125</x:v>
      </x:c>
      <x:c r="C19" s="27" t="str">
        <x:v>2026 midterm thesis check</x:v>
      </x:c>
      <x:c r="D19" s="29" t="str">
        <x:v>EEI-2026-003 only: congressional-control outlook, policy developments, breadth, volatility, rates, inflation, oil, earnings and candidate sectors</x:v>
      </x:c>
      <x:c r="E19" s="29" t="str">
        <x:v>Cook Political Report; Sabato's Crystal Ball; Reuters; Federal Reserve; FactSet; delayed ETF market data; prior ledger evidence</x:v>
      </x:c>
      <x:c r="F19" s="29" t="n">
        <x:v>0</x:v>
      </x:c>
      <x:c r="G19" s="29" t="n">
        <x:v>1</x:v>
      </x:c>
      <x:c r="H19" s="29" t="n">
        <x:v>0</x:v>
      </x:c>
      <x:c r="I19" s="29" t="str">
        <x:v>Yes</x:v>
      </x:c>
      <x:c r="J19" s="29" t="str">
        <x:v>The first full post-Fed session materially improved breadth: all S&amp;P sectors rose, exchange breadth was strongly positive, VIX fell, and IWM and XBI outperformed while crude and the 10-year yield eased. The confirmation is incomplete because RSP still lagged SPY, XLF declined, further Fed tightening remains possible and no House or Senate control outcome has been independently established. EEI-2026-003 remains Developing; existing confidence and trading-edge fields are unchanged; Entry Window WAIT remains inactive until Actionable. No automatic trade.</x:v>
      </x:c>
    </x:row>
    <x:row r="20">
      <x:c r="A20" s="27" t="str">
        <x:v>RUN-2026-09-18-0828</x:v>
      </x:c>
      <x:c r="B20" s="28" t="n">
        <x:v>46283.3533217593</x:v>
      </x:c>
      <x:c r="C20" s="27" t="str">
        <x:v>Easy E Invest daily scan</x:v>
      </x:c>
      <x:c r="D20" s="29" t="str">
        <x:v>Separate reviews: energy market; 2026 midterm thesis; Motley Fool watch; plus cross-sector government awards, macro, fixed income, healthcare, consumer, technology, defense, critical minerals and market confirmation</x:v>
      </x:c>
      <x:c r="E20" s="29" t="str">
        <x:v>Methodology and prior ledger; Reuters; Associated Press; Federal Reserve; Wall Street Journal; USAspending and Department of War records; SEC and company materials; public Motley Fool editorial pages; market price data</x:v>
      </x:c>
      <x:c r="F20" s="29" t="n">
        <x:v>7</x:v>
      </x:c>
      <x:c r="G20" s="29" t="n">
        <x:v>4</x:v>
      </x:c>
      <x:c r="H20" s="29" t="n">
        <x:v>2</x:v>
      </x:c>
      <x:c r="I20" s="29" t="str">
        <x:v>Yes</x:v>
      </x:c>
      <x:c r="J20" s="29" t="str">
        <x:v>Completed the scheduled outcome evaluations for EEI-2026-001 and EEI-2026-004. EEI-2026-001 closed with all five questions Yes and a calculated 100% score: the crude supply-risk variable, direction, timing and direct expressions were confirmed, while WAIT protected against chasing. EEI-2026-004 closed at a calculated 60% score: the inflation/policy variable and timing were confirmed, but long yields and the TBF expression moved opposite the frozen prediction; WAIT protected the result. EEI-2026-009 received further physical confirmation from the Joliet refinery outage but remains Actionable 5/5, edge 1/5 and WAIT because logistics are adapting and prices already reflect scarcity. EEI-2026-008 reached an interim documentation checkpoint only; its multi-year horizon remains open and formal outcomes stay blank. No material change to the separate midterm thesis. Public Motley Fool ideas on XOM/COP, VZ, SKHY/NVDA/ASML, HUBB and CAPE timing were screened and rejected or retained as watches without creating duplicate theses. No material new USAspending public-company award passed confirmation and materiality checks. Dashboard sync: GitHub commit 65a2355c1159adbf85a7c837df304f6b7457b020 succeeded. Render auto-deploy could not be independently verified because the connected Render session returned INVALID_ARGUMENT for the selected workspace and service listing; the public site is not represented as current.</x:v>
      </x:c>
    </x:row>
    <x:row r="21">
      <x:c r="A21" s="27" t="str">
        <x:v>RUN-2026-09-18-1103</x:v>
      </x:c>
      <x:c r="B21" s="54" t="n">
        <x:v>46283.4610069444</x:v>
      </x:c>
      <x:c r="C21" s="27" t="str">
        <x:v>2026 midterm thesis check</x:v>
      </x:c>
      <x:c r="D21" s="29" t="str">
        <x:v>EEI-2026-003 only: congressional-control outlook, policy developments, breadth, volatility, rates, inflation, oil, earnings and candidate sectors</x:v>
      </x:c>
      <x:c r="E21" s="29" t="str">
        <x:v>Reuters; Cook Political Report public coverage; FactSet; Federal Reserve and BLS context; intraday ETF market data; prior ledger evidence</x:v>
      </x:c>
      <x:c r="F21" s="29" t="n">
        <x:v>0</x:v>
      </x:c>
      <x:c r="G21" s="29" t="n">
        <x:v>1</x:v>
      </x:c>
      <x:c r="H21" s="29" t="n">
        <x:v>0</x:v>
      </x:c>
      <x:c r="I21" s="29" t="str">
        <x:v>Yes</x:v>
      </x:c>
      <x:c r="J21" s="29" t="str">
        <x:v>Friday failed to confirm Thursday's broadening: exchange breadth turned negative, RSP lagged SPY, and IWM/XBI underperformed while the 10-year yield returned near 5% and Brent stayed above $104. Congressional control remains unresolved; advertising escalation in Ohio confirms campaign intensity but not an outcome. EEI-2026-003 remains Developing with confidence 3/5, trading edge 1/5 and Entry Window WAIT inactive until Actionable. No automatic trade.</x:v>
      </x:c>
    </x:row>
    <x:row r="22">
      <x:c r="A22" s="27" t="str">
        <x:v>RUN-2026-09-19-0756</x:v>
      </x:c>
      <x:c r="B22" s="28" t="n">
        <x:v>46284.33085648148</x:v>
      </x:c>
      <x:c r="C22" s="27" t="str">
        <x:v>Easy E Invest daily scan</x:v>
      </x:c>
      <x:c r="D22" s="29" t="str">
        <x:v>Separate reviews: energy market; 2026 midterm thesis; Motley Fool watch; plus cross-sector government awards, trade policy, grid infrastructure, macro, fixed income, healthcare, consumer, technology, defense, critical minerals and market confirmation</x:v>
      </x:c>
      <x:c r="E22" s="29" t="str">
        <x:v>Methodology and prior ledger; European Commission and EUR-Lex; Reuters; Department of War contract announcements; USAspending public records; company and SEC materials; public Motley Fool editorial pages; Friday market data</x:v>
      </x:c>
      <x:c r="F22" s="29" t="n">
        <x:v>10</x:v>
      </x:c>
      <x:c r="G22" s="29" t="n">
        <x:v>2</x:v>
      </x:c>
      <x:c r="H22" s="29" t="n">
        <x:v>1</x:v>
      </x:c>
      <x:c r="I22" s="29" t="str">
        <x:v>Yes</x:v>
      </x:c>
      <x:c r="J22" s="29" t="str">
        <x:v>Created EEI-2026-010 as a distinct Developing thesis after the European Commission imposed provisional safeguards across the GOES-to-transformer-core value chain. Confidence is 3/5, trading edge 2/5 and Entry Window WAIT because the 155-day measure still needs a member-state vote for definitive adoption, company-level pass-through is unproven and public expressions are indirect or illiquid. EEI-2026-009 received stronger physical evidence from Aramco's cancellation of October term deliveries to some European refiners, while the planned G7 energy meeting increased policy-intervention risk; its stage and Entry Window remain unchanged. The separate midterm thesis had no new election-specific event and no new market session; its ledger fields were not changed. Public Motley Fool articles on SOFI, SNDK/NKE, OKLO/CCJ, NVDA/AVGO/MRVL/MU and PLUG were investigated and rejected as new theses because catalysts were old, already priced, non-distinct or unsupported by a favorable entry. Existing BMY, LULU and AVAV assessments were unchanged. The September 18 Lockheed Martin F-35 action was a non-competed modification to an existing IDIQ ceiling with zero dollars obligated at award, not a new material surprise; no new public-company USAspending award passed full confirmation and materiality checks. No real trade was made. Dashboard sync: GitHub commit 608e125991c7b3dd0089b42e10ac900cb9afd893 succeeded. Render auto-deploy could not be independently verified because the connected Render session returned INVALID_ARGUMENT for the selected workspace and service listing; the public site is not represented as current.</x:v>
      </x:c>
    </x:row>
    <x:row r="23">
      <x:c r="A23" s="27" t="str">
        <x:v>RUN-2026-09-19-1124</x:v>
      </x:c>
      <x:c r="B23" s="54" t="n">
        <x:v>46284.4750462963</x:v>
      </x:c>
      <x:c r="C23" s="27" t="str">
        <x:v>2026 midterm thesis check</x:v>
      </x:c>
      <x:c r="D23" s="29" t="str">
        <x:v>EEI-2026-003 only: congressional-control outlook, policy developments, breadth, volatility, rates, inflation, oil, earnings and candidate sectors</x:v>
      </x:c>
      <x:c r="E23" s="29" t="str">
        <x:v>Reuters; Cook Political Report public race pages; FactSet context; Federal Reserve and BLS context; Friday ETF close data; prior ledger evidence</x:v>
      </x:c>
      <x:c r="F23" s="29" t="n">
        <x:v>0</x:v>
      </x:c>
      <x:c r="G23" s="29" t="n">
        <x:v>1</x:v>
      </x:c>
      <x:c r="H23" s="29" t="n">
        <x:v>0</x:v>
      </x:c>
      <x:c r="I23" s="29" t="str">
        <x:v>Yes</x:v>
      </x:c>
      <x:c r="J23" s="29" t="str">
        <x:v>Friday's final close confirmed that Thursday's broadening did not persist: technology led, exchange breadth was negative, RSP/IWM/XBI lagged SPY, the 10-year yield topped 5% and oil stayed above $100. XLI showed relative resilience, while CPER strength diverged from XLB weakness. New reporting on party coordination and Ohio data-center policy adds uncertainty and a sector modifier but no chamber-control trigger. EEI-2026-003 remains Developing; existing confidence and trading-edge fields are unchanged; Entry Window WAIT remains inactive until Actionable. No automatic trade.</x:v>
      </x:c>
    </x:row>
    <x:row r="24">
      <x:c r="A24" s="27" t="str">
        <x:v>RUN-2026-09-20-0801</x:v>
      </x:c>
      <x:c r="B24" s="28" t="n">
        <x:v>46285.3341319444</x:v>
      </x:c>
      <x:c r="C24" s="27" t="str">
        <x:v>Easy E Invest daily scan</x:v>
      </x:c>
      <x:c r="D24" s="29" t="str">
        <x:v>Separate reviews: energy market; 2026 midterm thesis; Motley Fool watch; plus cross-sector government awards, trade policy, macro, fixed income, healthcare, consumer, technology, defense, critical minerals and market confirmation</x:v>
      </x:c>
      <x:c r="E24" s="29" t="str">
        <x:v>Methodology and prior ledger; Reuters; Financial Times; Wall Street Journal; Department of War and public award searches; company and SEC-context reporting; public Motley Fool editorial pages; Friday and Sunday market data</x:v>
      </x:c>
      <x:c r="F24" s="29" t="n">
        <x:v>7</x:v>
      </x:c>
      <x:c r="G24" s="29" t="n">
        <x:v>1</x:v>
      </x:c>
      <x:c r="H24" s="29" t="n">
        <x:v>0</x:v>
      </x:c>
      <x:c r="I24" s="29" t="str">
        <x:v>Yes</x:v>
      </x:c>
      <x:c r="J24" s="29" t="str">
        <x:v>EEI-2026-009 remains Actionable with its existing confidence, trading-edge and Entry Window fields unchanged. A further Russian refinery strike and independent refinery-chokepoint reporting strengthened the physical scarcity evidence, while marine biodiesel becoming cheaper than marine gasoil created a meaningful substitution cap on fossil-diesel demand. With U.S. markets closed and no new liquid confirmation, Entry Window remains WAIT. The separate midterm thesis received no new chamber-control evidence and no new U.S. market session; its stage and numerical fields were not changed. Public Motley Fool ideas on BE/PLUG, PL, BA/MQ-25 and MPLX were investigated and rejected as new theses because catalysts were old, already repriced, immaterial, or lacked primary award detail; generic articles on TSM, NKE, KO and dividend screens failed the basic relevance threshold. Existing BMY, LULU and AVAV assessments were unchanged. No new USAspending public-company award passed full confirmation and materiality checks. No real trade was made. Dashboard sync: GitHub commit f91195d20b574ff0e2ce917134e5ea81112c1d97 succeeded. Render auto-deploy could not be independently verified because the connected Render session returned INVALID_ARGUMENT for both workspace and service queries; the public site is not represented as current.</x:v>
      </x:c>
    </x:row>
    <x:row r="25">
      <x:c r="A25" s="27" t="str">
        <x:v>RUN-2026-09-21-0826</x:v>
      </x:c>
      <x:c r="B25" s="54" t="n">
        <x:v>46286.35158564815</x:v>
      </x:c>
      <x:c r="C25" s="27" t="str">
        <x:v>Easy E Invest daily scan</x:v>
      </x:c>
      <x:c r="D25" s="29" t="str">
        <x:v>Separate reviews: energy market; 2026 midterm thesis; Motley Fool watch; plus cross-sector government awards, trade policy, macro, fixed income, healthcare, consumer, technology, defense, critical minerals, shipping and market confirmation</x:v>
      </x:c>
      <x:c r="E25" s="29" t="str">
        <x:v>Methodology and prior ledger; Reuters; Wall Street Journal; Associated Press; EIA and Indian government data as reported; USAspending and defense-award searches; public Motley Fool editorial pages; current market data</x:v>
      </x:c>
      <x:c r="F25" s="29" t="n">
        <x:v>9</x:v>
      </x:c>
      <x:c r="G25" s="29" t="n">
        <x:v>4</x:v>
      </x:c>
      <x:c r="H25" s="29" t="n">
        <x:v>1</x:v>
      </x:c>
      <x:c r="I25" s="29" t="str">
        <x:v>Yes</x:v>
      </x:c>
      <x:c r="J25" s="29" t="str">
        <x:v>Created EEI-2026-011, Gulf tanker shortage and VLCC freight, as Strong 4/5 with trading edge 1/5 and Entry Window WAIT after record freight, a large ship-to-ship shuttle system and Trafigura's tanker-fleet launch confirmed the mechanism. EEI-2026-002 advanced from Developing to Strong at confidence 4/5, with trading edge reduced to 2/5 and Entry Window WAIT: QatarEnergy disclosed a multi-year LNG repair burden and possible expansion delays, while Indian coal demand strengthened; alternative LNG supply and logistical constraints remain material contradictions. EEI-2026-009 remains Actionable 5/5, edge 1/5 and WAIT after EIA data extended the distillate-inventory shortage through most of 2027; record margins and mixed equity pricing argue against chasing. The separate midterm thesis received a factual Nevada policy observation but no chamber-control conclusion or ledger-score change. A new public Motley Fool Bloom Energy podcast was investigated and rejected as a repeated, already-priced catalyst; BMY, LULU and AVAV were unchanged. No new public-company USAspending award passed full confirmation and materiality checks. No real trade was made.</x:v>
      </x:c>
    </x:row>
    <x:row r="26">
      <x:c r="A26" s="27" t="str">
        <x:v>RUN-2026-09-21-1108</x:v>
      </x:c>
      <x:c r="B26" s="54" t="n">
        <x:v>46286.4643402778</x:v>
      </x:c>
      <x:c r="C26" s="27" t="str">
        <x:v>2026 midterm thesis check</x:v>
      </x:c>
      <x:c r="D26" s="29" t="str">
        <x:v>EEI-2026-003 only: congressional-control outlook, policy developments, breadth, volatility, rates, inflation, oil, earnings and candidate sectors</x:v>
      </x:c>
      <x:c r="E26" s="29" t="str">
        <x:v>Methodology and prior ledger; Reuters; Cook Political Report public ratings summary; delayed ETF market data; Federal Reserve commentary context</x:v>
      </x:c>
      <x:c r="F26" s="29" t="n">
        <x:v>0</x:v>
      </x:c>
      <x:c r="G26" s="29" t="n">
        <x:v>1</x:v>
      </x:c>
      <x:c r="H26" s="29" t="n">
        <x:v>0</x:v>
      </x:c>
      <x:c r="I26" s="29" t="str">
        <x:v>Yes</x:v>
      </x:c>
      <x:c r="J26" s="29" t="str">
        <x:v>No independent House or Senate control trigger emerged. Oil fell more than 3%, the 10-year yield moved below 5% and exchange breadth was positive, but SPY's AI-led gain substantially exceeded RSP while XLI, XLB and XLF lagged. XBI outperformed and IWM participated less strongly, providing limited confirmation outside mega-cap technology. The U.S.-China talks established an AI-safety dialogue but did not extend the November trade truce. EEI-2026-003 remains Developing; the investment-thesis confidence and trading-edge fields are unchanged; Entry Window WAIT remains inactive until Actionable. No automatic trade.</x:v>
      </x:c>
    </x:row>
    <x:row r="27">
      <x:c r="A27" s="27" t="str">
        <x:v>RUN-2026-09-22-0806</x:v>
      </x:c>
      <x:c r="B27" s="28" t="n">
        <x:v>46287.50418981481</x:v>
      </x:c>
      <x:c r="C27" s="27" t="str">
        <x:v>Easy E Invest daily scan</x:v>
      </x:c>
      <x:c r="D27" s="29" t="str">
        <x:v>Separate reviews: energy market; 2026 midterm thesis; Motley Fool watch; plus cross-sector government awards, industrial gas demand, geothermal, defense, technology, healthcare, shipping and market confirmation</x:v>
      </x:c>
      <x:c r="E27" s="29" t="str">
        <x:v>Methodology and prior ledger; Reuters; U.S. Army; U.S. Department of Energy; public Motley Fool editorial pages; company materials; current commodity and premarket data</x:v>
      </x:c>
      <x:c r="F27" s="29" t="n">
        <x:v>8</x:v>
      </x:c>
      <x:c r="G27" s="29" t="n">
        <x:v>3</x:v>
      </x:c>
      <x:c r="H27" s="29" t="n">
        <x:v>0</x:v>
      </x:c>
      <x:c r="I27" s="29" t="str">
        <x:v>Yes</x:v>
      </x:c>
      <x:c r="J27" s="29" t="str">
        <x:v>Saudi Arabia restarted the East-West Pipeline at a low rate and Iran signaled possible Hormuz reopening, producing the strongest current normalization evidence. EEI-2026-009 remains Actionable 5/5, edge 1/5 and WAIT because diesel prices and refined-product scarcity remain separately confirmed, while refining equities weakened. EEI-2026-011 remains Strong 4/5, edge 1/5 and WAIT: Venezuelan Aframax costs confirm global tanker scarcity, but pipeline restoration and possible route normalization directly challenge Gulf shuttle demand. EEI-2026-003 received a neutral factual update only; no House or Senate control conclusion was made. Public Motley Fool ideas on META, IONQ, ASTS and BNTX were investigated and rejected as new theses; BMY, LULU and AVAV were unchanged. The Lockheed $1.2 billion PrSM IDIQ and DOE $99 million geothermal selections did not clear parent-company materiality or final-award tests. No real trade was made. Render auto-deploy verification could not be completed because the connected Render session has no workspace selected. The connector requires an explicit user-confirmed workspace ID and does not permit an automated run to choose one; the public site is not represented as current.</x:v>
      </x:c>
    </x:row>
    <x:row r="28">
      <x:c r="A28" s="27" t="str">
        <x:v>RUN-2026-09-22-1128</x:v>
      </x:c>
      <x:c r="B28" s="54" t="n">
        <x:v>46287.64480324074</x:v>
      </x:c>
      <x:c r="C28" s="27" t="str">
        <x:v>2026 midterm thesis check</x:v>
      </x:c>
      <x:c r="D28" s="29" t="str">
        <x:v>EEI-2026-003 only: congressional-control outlook, policy developments, breadth, volatility, rates, inflation, oil, earnings and candidate sectors</x:v>
      </x:c>
      <x:c r="E28" s="29" t="str">
        <x:v>Methodology and prior ledger; Reuters; Cook Political Report public ratings summary; FactSet Earnings Insight; delayed ETF market data; volatility reporting</x:v>
      </x:c>
      <x:c r="F28" s="29" t="n">
        <x:v>0</x:v>
      </x:c>
      <x:c r="G28" s="29" t="n">
        <x:v>1</x:v>
      </x:c>
      <x:c r="H28" s="29" t="n">
        <x:v>0</x:v>
      </x:c>
      <x:c r="I28" s="29" t="str">
        <x:v>Yes</x:v>
      </x:c>
      <x:c r="J28" s="29" t="str">
        <x:v>No independently confirmed House or Senate control trigger emerged. Oil below $100, the 10-year yield below 5%, VIX near 14.8 and positive exchange breadth improved the macro and risk setting. XBI and XLV provided the clearest candidate follow-through, while XLB, CPER and IWM also participated. The central breadth test remained incomplete because RSP did not outperform SPY, XLI lagged and XLF fell sharply, while large technology stocks led the Nasdaq to an intraday record. EEI-2026-003 remains Developing; investment-thesis confidence and trading edge are unchanged; Entry Window WAIT remains inactive until Actionable. No automatic trade.</x:v>
      </x:c>
    </x:row>
    <x:row r="29">
      <x:c r="A29" s="27" t="str">
        <x:v>RUN-2026-09-23-0753</x:v>
      </x:c>
      <x:c r="B29" s="28" t="n">
        <x:v>46288.49553240741</x:v>
      </x:c>
      <x:c r="C29" s="27" t="str">
        <x:v>Easy E Invest daily scan</x:v>
      </x:c>
      <x:c r="D29" s="29" t="str">
        <x:v>Separate reviews: energy market; 2026 midterm thesis; Motley Fool watch; plus cross-sector government awards, transportation policy, biotechnology, semiconductors, defense, shipping and market confirmation</x:v>
      </x:c>
      <x:c r="E29" s="29" t="str">
        <x:v>Methodology and prior ledger; Reuters; U.S. Department of War; public USAspending searches; Viking Therapeutics primary materials; public Motley Fool editorial pages; current commodity and market data</x:v>
      </x:c>
      <x:c r="F29" s="29" t="n">
        <x:v>10</x:v>
      </x:c>
      <x:c r="G29" s="29" t="n">
        <x:v>3</x:v>
      </x:c>
      <x:c r="H29" s="29" t="n">
        <x:v>0</x:v>
      </x:c>
      <x:c r="I29" s="29" t="str">
        <x:v>Yes</x:v>
      </x:c>
      <x:c r="J29" s="29" t="str">
        <x:v>EEI-2026-009 remains Actionable with confidence 5/5, trading edge 1/5 and Entry Window WAIT. The European gasoil premium to Brent reached a record near $95 per barrel after the United States began examining diesel-export restrictions, but implementation could reduce U.S. refinery utilization and the listed refiner expressions weakened. EEI-2026-011 remains Strong 4/5, edge 1/5 and WAIT: exceptional freight gained further official confirmation, while a proposed international Hormuz mission and bypass-pipeline restoration increased normalization risk. EEI-2026-003 received a factual affordability and market-breadth update only; no House or Senate control conclusion was made and its existing fields remain unchanged. Public Motley Fool ideas on VKTX, MU, SNDK and NVDA were investigated and rejected as distinct theses after primary and market checks. BMY, LULU and AVAV had no meaningful new primary evidence. The Trideum $400 million IDIQ lacked a public-company mapping and complete USAspending detail; the proposed $30 billion aviation request was not an enacted award. No new thesis was created and no real trade was made.</x:v>
      </x:c>
    </x:row>
    <x:row r="30">
      <x:c r="A30" s="27" t="str">
        <x:v>RUN-2026-09-23-1113</x:v>
      </x:c>
      <x:c r="B30" s="54" t="n">
        <x:v>46288.634351851855</x:v>
      </x:c>
      <x:c r="C30" s="27" t="str">
        <x:v>2026 midterm thesis check</x:v>
      </x:c>
      <x:c r="D30" s="29" t="str">
        <x:v>EEI-2026-003 only: congressional-control outlook, policy developments, breadth, volatility, rates, inflation, oil, earnings and candidate sectors</x:v>
      </x:c>
      <x:c r="E30" s="29" t="str">
        <x:v>Methodology and current ledger; Reuters; current ETF market data; live U.S. Treasury market data; FactSet earnings context</x:v>
      </x:c>
      <x:c r="F30" s="29" t="n">
        <x:v>0</x:v>
      </x:c>
      <x:c r="G30" s="29" t="n">
        <x:v>2</x:v>
      </x:c>
      <x:c r="H30" s="29" t="n">
        <x:v>0</x:v>
      </x:c>
      <x:c r="I30" s="29" t="str">
        <x:v>Yes</x:v>
      </x:c>
      <x:c r="J30" s="29" t="str">
        <x:v>No independently confirmed House or Senate control trigger emerged. The morning's small-cap, health-care and biotech strength reversed by the dedicated check: IWM and XBI fell sharply, while CPER and XLB also weakened. RSP fell slightly less than SPY and XLI held positive, providing only narrow relative confirmation. Brent remained below $100, but the 10-year Treasury yield returned above 5%, strengthening the rates contradiction. EEI-2026-003 remains Developing at confidence 3/5 and trading edge 1/5. Entry Window WAIT remains inactive until Actionable. No automatic trade.</x:v>
      </x:c>
    </x:row>
    <x:row r="31">
      <x:c r="A31" s="27" t="str">
        <x:v>RUN-2026-09-24-0826</x:v>
      </x:c>
      <x:c r="B31" s="28" t="n">
        <x:v>46289.51803240741</x:v>
      </x:c>
      <x:c r="C31" s="27" t="str">
        <x:v>Easy E Invest daily scan</x:v>
      </x:c>
      <x:c r="D31" s="29" t="str">
        <x:v>Separate reviews: energy market; 2026 midterm thesis; Motley Fool watch; plus cross-sector government awards, defense, healthcare, consumer, technology, sanctions, geopolitics, supply chains and market confirmation</x:v>
      </x:c>
      <x:c r="E31" s="29" t="str">
        <x:v>Methodology and current ledger; Reuters; U.S. Army; public USAspending and contract searches; Intuitive Surgical primary results; Nvidia public company statement; public Motley Fool editorial pages; current commodity and inventory data</x:v>
      </x:c>
      <x:c r="F31" s="29" t="n">
        <x:v>8</x:v>
      </x:c>
      <x:c r="G31" s="29" t="n">
        <x:v>2</x:v>
      </x:c>
      <x:c r="H31" s="29" t="n">
        <x:v>0</x:v>
      </x:c>
      <x:c r="I31" s="29" t="str">
        <x:v>Yes</x:v>
      </x:c>
      <x:c r="J31" s="29" t="str">
        <x:v>EEI-2026-009 remains Actionable at confidence 5/5, trading edge 1/5 and Entry Window WAIT. Serbia's emergency diesel-reserve release, impaired Danube imports, near-record European diesel and falling U.S. distillate stocks strengthened physical confirmation; the U.S. export-ban denial and normalization paths limited incremental edge. EEI-2026-003 remains Developing at 3/5, edge 1/5 and WAIT inactive until Actionable: Reuters/Ipsos showed a meaningful 43%-35% Democratic generic-ballot lead and record-low presidential approval, but national polling does not resolve House districts, Senate races or market breadth. Public Motley Fool ideas on AMZN/Anthropic, NVDA/SpaceX and ISRG were investigated and rejected as distinct theses after primary, materiality, valuation and entry checks. BMY, LULU and AVAV had no meaningful new primary evidence. A Palantir Army order was stale and immaterial; no new USAspending public-company award passed complete confirmation and materiality checks. No thesis matured for formal outcome evaluation and no real trade was made.</x:v>
      </x:c>
    </x:row>
    <x:row r="32">
      <x:c r="A32" s="27" t="str">
        <x:v>RUN-2026-09-24-1137</x:v>
      </x:c>
      <x:c r="B32" s="28" t="n">
        <x:v>46289.65069444444</x:v>
      </x:c>
      <x:c r="C32" s="27" t="str">
        <x:v>2026 midterm thesis check EEI-2026-003 only: congressional-control outlook, policy developments, breadth, volatility, rates, inflation, oil, earnings and candidate sectors</x:v>
      </x:c>
      <x:c r="D32" s="29" t="str">
        <x:v>Methodology and current ledger; Reuters/Ipsos; Reuters; current ETF market data; FactSet earnings context</x:v>
      </x:c>
      <x:c r="E32" s="29" t="n">
        <x:v>0</x:v>
      </x:c>
      <x:c r="F32" s="29" t="n">
        <x:v>2</x:v>
      </x:c>
      <x:c r="G32" s="29" t="n">
        <x:v>0</x:v>
      </x:c>
      <x:c r="H32" s="29" t="str">
        <x:v>Yes</x:v>
      </x:c>
      <x:c r="I32" s="29" t="str">
        <x:v>The Reuters/Ipsos poll strengthens the probability of a political shift but does not establish House or Senate control. Live market confirmation weakened: RSP lagged SPY and small caps, industrials, materials, biotech, copper and financials were negative, while only defensive XLV advanced. The 10-year yield remained above 5% and Brent near $105.50, preserving the inflation-to-rates contradiction. EEI-2026-003 remains Developing, financial-thesis confidence 3/5, trading edge 1/5; Entry Window WAIT inactive. No automatic trade.</x:v>
      </x:c>
      <x:c r="J32" s="29" t="str">
        <x:v>Dedicated check completed; frozen initial prediction preserved.</x:v>
      </x:c>
    </x:row>
    <x:row r="33">
      <x:c r="A33" s="27" t="str">
        <x:v>RUN-2026-09-25-0808</x:v>
      </x:c>
      <x:c r="B33" s="28" t="n">
        <x:v>46290.50555555556</x:v>
      </x:c>
      <x:c r="C33" s="27" t="str">
        <x:v>Easy E Invest daily scan</x:v>
      </x:c>
      <x:c r="D33" s="29" t="str">
        <x:v>Separate reviews: energy market; 2026 midterm thesis; Motley Fool watch; plus cross-sector government awards, policy, sanctions, supply chains, healthcare, consumer, housing, technology and market confirmation</x:v>
      </x:c>
      <x:c r="E33" s="29" t="str">
        <x:v>Methodology and current ledger; Reuters; U.S. government and defense-award searches; public USAspending context; company and SEC materials; FDA advisory-committee reporting; public Motley Fool editorial pages; prior-close market data</x:v>
      </x:c>
      <x:c r="F33" s="29" t="n">
        <x:v>5</x:v>
      </x:c>
      <x:c r="G33" s="29" t="n">
        <x:v>0</x:v>
      </x:c>
      <x:c r="H33" s="29" t="n">
        <x:v>0</x:v>
      </x:c>
      <x:c r="I33" s="29" t="str">
        <x:v>No</x:v>
      </x:c>
      <x:c r="J33" s="29" t="str">
        <x:v>No qualifying change. Energy and tanker evidence remained within the existing scarcity-versus-normalization balance, so EEI-2026-009 and EEI-2026-011 stayed WAIT with no field changes. No new House or Senate control evidence or market-breadth confirmation changed EEI-2026-003. Public Motley Fool items on Target, Lennar, GRAIL, Robinhood and Micron were screened; the first four were investigated as potential candidates and rejected as distinct theses because the catalyst was already public, operating confirmation was incomplete, or the price move left no favorable entry. Micron repeated a previously reviewed catalyst. BMY, LULU and AVAV had no new primary evidence. No public-company USAspending or defense award passed the new-award, confirmation and materiality tests. No thesis matured for formal outcome evaluation and no real trade was made.</x:v>
      </x:c>
    </x:row>
    <x:row r="34">
      <x:c r="A34" s="27" t="str">
        <x:v>RUN-2026-09-25-1153</x:v>
      </x:c>
      <x:c r="B34" s="28" t="n">
        <x:v>46290.66180555556</x:v>
      </x:c>
      <x:c r="C34" s="27" t="str">
        <x:v>2026 midterm thesis check</x:v>
      </x:c>
      <x:c r="D34" s="29" t="str">
        <x:v>EEI-2026-003 only: congressional-control outlook, policy developments, breadth, volatility, rates, inflation, oil, earnings and candidate sectors</x:v>
      </x:c>
      <x:c r="E34" s="29" t="str">
        <x:v>Methodology and current ledger; Reuters; Reuters/Ipsos; current ETF market data; FactSet earnings context</x:v>
      </x:c>
      <x:c r="F34" s="29" t="n">
        <x:v>0</x:v>
      </x:c>
      <x:c r="G34" s="29" t="n">
        <x:v>2</x:v>
      </x:c>
      <x:c r="H34" s="29" t="n">
        <x:v>0</x:v>
      </x:c>
      <x:c r="I34" s="29" t="str">
        <x:v>Yes</x:v>
      </x:c>
      <x:c r="J34" s="29" t="str">
        <x:v>Competitive-state polls and campaign behavior in Iowa, Kansas and Nebraska independently strengthen the political-shift trigger beyond the national generic ballot, but no chamber-control outcome is established. XLI showed the clearest relative strength; RSP still lagged SPY and IWM, XBI, XLB and CPER were negative. The 10-year yield above 5% and high oil-linked inflation risk remain adverse modifiers. EEI-2026-003 remains Developing at financial-thesis confidence 3/5 and trading edge 1/5. Entry Window WAIT remains inactive until Actionable. No automatic trade.</x:v>
      </x:c>
    </x:row>
    <x:row r="35">
      <x:c r="A35" s="27" t="str">
        <x:v>RUN-2026-09-26-0811</x:v>
      </x:c>
      <x:c r="B35" s="28" t="n">
        <x:v>46291.50768518519</x:v>
      </x:c>
      <x:c r="C35" s="27" t="str">
        <x:v>Easy E Invest daily scan</x:v>
      </x:c>
      <x:c r="D35" s="29" t="str">
        <x:v>Cross-sector: energy, 2026 midterms, Motley Fool follow-through, macro, rates, commodities, defense, healthcare, technology, regulation, sanctions, supply chains and government awards</x:v>
      </x:c>
      <x:c r="E35" s="29" t="str">
        <x:v>Cook Political Report; Reuters; public market data; USAspending and federal award reporting; Congress and regulatory sources; SEC and issuer materials; public Motley Fool editorial feed</x:v>
      </x:c>
      <x:c r="F35" s="29" t="n">
        <x:v>6</x:v>
      </x:c>
      <x:c r="G35" s="29" t="n">
        <x:v>1</x:v>
      </x:c>
      <x:c r="H35" s="29" t="n">
        <x:v>0</x:v>
      </x:c>
      <x:c r="I35" s="29" t="str">
        <x:v>Yes</x:v>
      </x:c>
      <x:c r="J35" s="29" t="str">
        <x:v>EEI-2026-003 promoted from Developing to Strong and confidence from 3/5 to 4/5 after Cook shifted 15 House races toward Democrats and explicitly called Republicans on track to lose the House. Trading edge remains 1/5 and Entry Window WAIT because Senate control is a toss-up and breadth is incomplete. Energy had no material change. Five public Motley Fool idea clusters were investigated and rejected as distinct theses for weak novelty, already-priced risk or lack of material catalyst. No new material USAspending award passed new-award, independent-confirmation and company-materiality tests. No horizon matured for formal outcome scoring.</x:v>
      </x:c>
    </x:row>
    <x:row r="36">
      <x:c r="A36" s="27" t="str">
        <x:v>RUN-2026-09-26-1145</x:v>
      </x:c>
      <x:c r="B36" s="54" t="n">
        <x:v>46291.65670138889</x:v>
      </x:c>
      <x:c r="C36" s="27" t="str">
        <x:v>2026 midterm thesis check</x:v>
      </x:c>
      <x:c r="D36" s="29" t="str">
        <x:v>EEI-2026-003 only: congressional-control outlook, policy developments, breadth, volatility, rates, inflation, oil, earnings and candidate sectors</x:v>
      </x:c>
      <x:c r="E36" s="29" t="str">
        <x:v>Methodology and current ledger; Cook Political Report; Reuters; Friday closing market evidence already recorded in the ledger</x:v>
      </x:c>
      <x:c r="F36" s="29" t="n">
        <x:v>0</x:v>
      </x:c>
      <x:c r="G36" s="29" t="n">
        <x:v>0</x:v>
      </x:c>
      <x:c r="H36" s="29" t="n">
        <x:v>0</x:v>
      </x:c>
      <x:c r="I36" s="29" t="str">
        <x:v>No</x:v>
      </x:c>
      <x:c r="J36" s="29" t="str">
        <x:v>No meaningful change since the September 26 morning scan. Cook's 15 House rating shifts and House-majority assessment remain the strongest independent political confirmation, while Cook still describes Senate control as a toss-up. U.S. cash markets are closed; Friday's final evidence remains mixed, with XLI leading but RSP and IWM lagging SPY and XBI declining. EEI-2026-003 remains Strong at financial-thesis confidence 4/5 and trading edge 1/5. Entry Window remains WAIT and inactive because the thesis is not Actionable. Oil and rates remain separate macro modifiers. No automatic trade.</x:v>
      </x:c>
    </x:row>
    <x:row r="37">
      <x:c r="A37" s="27" t="str">
        <x:v>RUN-2026-09-27-0816</x:v>
      </x:c>
      <x:c r="B37" s="28" t="n">
        <x:v>46292.51123842593</x:v>
      </x:c>
      <x:c r="C37" s="27" t="str">
        <x:v>Easy E Invest daily scan</x:v>
      </x:c>
      <x:c r="D37" s="29" t="str">
        <x:v>Separate reviews: energy market; 2026 midterm thesis; Motley Fool watch; plus cross-sector government awards, policy, sanctions, supply chains, healthcare, technology, private credit and market confirmation</x:v>
      </x:c>
      <x:c r="E37" s="29" t="str">
        <x:v>Methodology and current ledger; Reuters; Cook Political Report context; USAspending and federal contract searches; SEC and issuer materials; public Motley Fool editorials; Friday closing market evidence</x:v>
      </x:c>
      <x:c r="F37" s="29" t="n">
        <x:v>4</x:v>
      </x:c>
      <x:c r="G37" s="29" t="n">
        <x:v>1</x:v>
      </x:c>
      <x:c r="H37" s="29" t="n">
        <x:v>0</x:v>
      </x:c>
      <x:c r="I37" s="29" t="str">
        <x:v>No</x:v>
      </x:c>
      <x:c r="J37" s="29" t="str">
        <x:v>No qualifying notification change. Energy scarcity and tanker theses remained within the existing physical-tightness versus normalization balance; no stage, confidence, edge or Entry Window changed. The midterm thesis had no new chamber-control or market evidence because U.S. cash markets were closed. Detailed ZENBEXUS Phase 3 results strengthened clinical support for EEI-2026-005, but progression-free survival, safety, commercial scale and patent-cliff offset remain unresolved; BMY stays Developing 3/5, edge 3/5, WAIT. New public Motley Fool ideas on AVGO, GEV and OWL were independently checked and rejected as distinct theses because catalysts were already public or risk/valuation prevented a clean unpriced edge. LULU and AVAV had no new primary evidence. No new public-company USAspending award passed new-award, confirmation and materiality tests. No thesis horizon matured for outcome scoring. No real trade was recommended or executed.</x:v>
      </x:c>
    </x:row>
    <x:row r="38">
      <x:c r="A38" s="27" t="str">
        <x:v>RUN-2026-09-27-1114</x:v>
      </x:c>
      <x:c r="B38" s="54" t="n">
        <x:v>46292.63491898148</x:v>
      </x:c>
      <x:c r="C38" s="27" t="str">
        <x:v>2026 midterm thesis check</x:v>
      </x:c>
      <x:c r="D38" s="29" t="str">
        <x:v>EEI-2026-003 only: congressional-control outlook, policy developments, breadth, volatility, rates, inflation, oil, earnings and candidate sectors</x:v>
      </x:c>
      <x:c r="E38" s="29" t="str">
        <x:v>Methodology and current ledger; Reuters; Cook Political Report; Friday closing market evidence already recorded in the ledger</x:v>
      </x:c>
      <x:c r="F38" s="29" t="n">
        <x:v>0</x:v>
      </x:c>
      <x:c r="G38" s="29" t="n">
        <x:v>0</x:v>
      </x:c>
      <x:c r="H38" s="29" t="n">
        <x:v>0</x:v>
      </x:c>
      <x:c r="I38" s="29" t="str">
        <x:v>No</x:v>
      </x:c>
      <x:c r="J38" s="29" t="str">
        <x:v>No meaningful change since the September 27 morning scan. No new independent House or Senate control evidence, enacted policy catalyst or market confirmation emerged. Cook's House assessment and Senate toss-up remain the standing political evidence. U.S. cash markets are closed, so Friday's mixed tape remains the latest test: XLI led, but RSP and IWM lagged SPY and XBI declined. EEI-2026-003 remains Strong at financial-thesis confidence 4/5 and trading edge 1/5. Entry Window remains WAIT and inactive because the thesis is not Actionable. Oil, inflation and rates remain separate macro modifiers. No automatic trade.</x:v>
      </x:c>
    </x:row>
    <x:row r="39">
      <x:c r="A39" s="27" t="str">
        <x:v>RUN-2026-09-28-0757</x:v>
      </x:c>
      <x:c r="B39" s="28" t="n">
        <x:v>46293.498344907406</x:v>
      </x:c>
      <x:c r="C39" s="27" t="str">
        <x:v>Easy E Invest daily scan</x:v>
      </x:c>
      <x:c r="D39" s="29" t="str">
        <x:v>Separate reviews: energy market; 2026 midterm thesis; Motley Fool watch; plus government awards, policy, sanctions, supply chains, macro, rates, metals, healthcare, technology and market confirmation</x:v>
      </x:c>
      <x:c r="E39" s="29" t="str">
        <x:v>Methodology and current ledger; Reuters; USAspending and federal award searches; SEC and issuer materials; public Motley Fool editorials; premarket commodity, rates and global-market data</x:v>
      </x:c>
      <x:c r="F39" s="29" t="n">
        <x:v>7</x:v>
      </x:c>
      <x:c r="G39" s="29" t="n">
        <x:v>2</x:v>
      </x:c>
      <x:c r="H39" s="29" t="n">
        <x:v>0</x:v>
      </x:c>
      <x:c r="I39" s="29" t="str">
        <x:v>No</x:v>
      </x:c>
      <x:c r="J39" s="29" t="str">
        <x:v>No qualifying notification change. EEI-2026-009 remains Actionable at 5/5 confidence, 1/5 trading edge and Entry Window WAIT: oil rebounded about 3.8% after the U.S. rejected Iran's proposal, but Middle East crude exports reached 12.8 million barrels per day and talks continue. EEI-2026-011 remains Strong / WAIT because export recovery raises normalization risk and no new verified VLCC-rate or listed-equity confirmation improved entry quality. EEI-2026-003 had no new independent control or breadth evidence before the U.S. cash-market open. Public Motley Fool ideas on LLY, WMB, AXP, ORCL/CRM, NVDA/SPCX and NFLX were investigated and rejected as distinct theses because their catalysts were already public, promotional or valuation/entry risk left no unpriced edge; a diesel-policy article repeated existing evidence. BMY, LULU and AVAV had no new primary evidence that changed their states. No new USAspending award passed the new-award, confirmation and materiality tests. No horizon matured for outcome scoring, and no real trade was recommended or executed.</x:v>
      </x:c>
    </x:row>
    <x:row r="40">
      <x:c r="A40" s="27" t="str">
        <x:v>RUN-2026-09-28-1105</x:v>
      </x:c>
      <x:c r="B40" s="54" t="n">
        <x:v>46293.62850694445</x:v>
      </x:c>
      <x:c r="C40" s="27" t="str">
        <x:v>2026 midterm thesis check</x:v>
      </x:c>
      <x:c r="D40" s="29" t="str">
        <x:v>EEI-2026-003 only: congressional-control outlook, policy developments, breadth, volatility, rates, inflation, oil, earnings and candidate sectors</x:v>
      </x:c>
      <x:c r="E40" s="29" t="str">
        <x:v>Methodology and current ledger; Cook Political Report; Reuters; Reuters/Ipsos; current fund market data; FactSet earnings context</x:v>
      </x:c>
      <x:c r="F40" s="29" t="n">
        <x:v>0</x:v>
      </x:c>
      <x:c r="G40" s="29" t="n">
        <x:v>3</x:v>
      </x:c>
      <x:c r="H40" s="29" t="n">
        <x:v>0</x:v>
      </x:c>
      <x:c r="I40" s="29" t="str">
        <x:v>Yes</x:v>
      </x:c>
      <x:c r="J40" s="29" t="str">
        <x:v>No stage change. Republican spending in at least 39 additional House races independently supports the House-shift signal, and Democratic oversight plans clarify a conditional policy consequence. Market confirmation weakened: Brent rose near $108.50, the 10-year yield near 5.22%, and the tracked broad and cyclical candidates were lower; RSP held up slightly better than SPY, while only XLV and XBI were positive and VIXY rose. EEI-2026-003 remains Strong at financial-thesis confidence 4/5 and trading edge 1/5. Entry Window remains WAIT and inactive because the thesis is not Actionable. RSP versus SPY remains the central test; XLV/XBI are independent sector watches, not confirmed midterm expressions. Oil and Hormuz remain separate modifiers. No automatic trade.</x:v>
      </x:c>
    </x:row>
    <x:row r="41">
      <x:c r="A41" s="27" t="str">
        <x:v>RUN-2026-09-29-0805</x:v>
      </x:c>
      <x:c r="B41" s="28" t="n">
        <x:v>46294.50347222222</x:v>
      </x:c>
      <x:c r="C41" s="27" t="str">
        <x:v>Easy E Invest daily scan</x:v>
      </x:c>
      <x:c r="D41" s="29" t="str">
        <x:v>Separate reviews: energy market; 2026 midterm thesis; Motley Fool watch; plus government awards, defense, macro, rates, technology, healthcare, sanctions, supply chains and corporate events</x:v>
      </x:c>
      <x:c r="E41" s="29" t="str">
        <x:v>Methodology and current ledger; Department of War and RTX primary records; USAspending public search; Reuters; Associated Press; Cook Political Report; SEC and issuer materials; public Motley Fool editorials; current market data</x:v>
      </x:c>
      <x:c r="F41" s="29" t="n">
        <x:v>7</x:v>
      </x:c>
      <x:c r="G41" s="29" t="n">
        <x:v>5</x:v>
      </x:c>
      <x:c r="H41" s="29" t="n">
        <x:v>0</x:v>
      </x:c>
      <x:c r="I41" s="29" t="str">
        <x:v>Yes</x:v>
      </x:c>
      <x:c r="J41" s="29" t="str">
        <x:v>Created EEI-2026-012 for RTX AMRAAM production as Strong 4/5 with trading edge 1/5 and Entry Window WAIT. The $20.699 billion ceiling is material, but only about $154.35 million was obligated at award, full funding depends on Congress and the ramp was partly anticipated. Energy, tanker and midterm evidence was updated without changing status fields. A public Alphabet Motley Fool idea and an AstraZeneca/Summit corporate trigger were investigated and rejected as distinct entries. No real trade was recommended or executed.</x:v>
      </x:c>
    </x:row>
    <x:row r="42">
      <x:c r="A42" s="27" t="str">
        <x:v>RUN-2026-09-29-1109</x:v>
      </x:c>
      <x:c r="B42" s="54" t="n">
        <x:v>46294.63125</x:v>
      </x:c>
      <x:c r="C42" s="27" t="str">
        <x:v>2026 midterm thesis check</x:v>
      </x:c>
      <x:c r="D42" s="29" t="str">
        <x:v>EEI-2026-003 only: congressional-control outlook, policy developments, breadth, volatility, rates, inflation, oil, earnings and candidate sectors</x:v>
      </x:c>
      <x:c r="E42" s="29" t="str">
        <x:v>Methodology and current ledger; Cook Political Report; Associated Press; Reuters; current fund market data; current earnings context</x:v>
      </x:c>
      <x:c r="F42" s="29" t="n">
        <x:v>0</x:v>
      </x:c>
      <x:c r="G42" s="29" t="n">
        <x:v>1</x:v>
      </x:c>
      <x:c r="H42" s="29" t="n">
        <x:v>0</x:v>
      </x:c>
      <x:c r="I42" s="29" t="str">
        <x:v>Yes</x:v>
      </x:c>
      <x:c r="J42" s="29" t="str">
        <x:v>No stage change. The morning political evidence remains supportive, but live market confirmation weakened versus the premarket read: RSP and IWM lagged nearly flat SPY, XLV and XBI reversed their gains, and decliners led on both major exchanges. XLI and CPER were the only positive tracked candidates and do not establish broad participation. EEI-2026-003 remains Strong at financial-thesis confidence 4/5 and trading edge 1/5. Entry Window remains WAIT and inactive because the thesis is not Actionable. RSP versus SPY remains the central test; XLI is the closest conditional sector watch, and copper must be assessed separately from XLB. Oil and Hormuz remain separate modifiers. No automatic trade.</x:v>
      </x:c>
    </x:row>
    <x:row r="43">
      <x:c r="A43" s="27" t="str">
        <x:v>RUN-2026-09-30-0823</x:v>
      </x:c>
      <x:c r="B43" s="28" t="n">
        <x:v>46295.51619212963</x:v>
      </x:c>
      <x:c r="C43" s="27" t="str">
        <x:v>Easy E Invest daily scan</x:v>
      </x:c>
      <x:c r="D43" s="29" t="str">
        <x:v>Separate reviews: energy market; 2026 midterm thesis; Motley Fool watch; plus government awards, defense, macro, rates, supply chains, healthcare, consumer and technology</x:v>
      </x:c>
      <x:c r="E43" s="29" t="str">
        <x:v>Methodology and current ledger; Reuters; Associated Press; U.S. Department of Defense statements; Boeing and SEC materials; public USAspending searches; public Motley Fool editorials; current market data</x:v>
      </x:c>
      <x:c r="F43" s="29" t="n">
        <x:v>7</x:v>
      </x:c>
      <x:c r="G43" s="29" t="n">
        <x:v>4</x:v>
      </x:c>
      <x:c r="H43" s="29" t="n">
        <x:v>0</x:v>
      </x:c>
      <x:c r="I43" s="29" t="str">
        <x:v>Yes</x:v>
      </x:c>
      <x:c r="J43" s="29" t="str">
        <x:v>Qualifying change. Russia extended its producer diesel-export ban through October, materially strengthening EEI-2026-009's physical supply confirmation without improving its 1/5 trading edge; the Entry Window remains WAIT. EEI-2026-002 received mixed LNG evidence: extended force majeure supports scarcity while resumed visible Hormuz transits support normalization. EEI-2026-003 received a credible Senate-map contradiction from Republican advertising dominance in New Hampshire and continued weak breadth/high yields; it remains Strong 4/5, edge 1/5 and WAIT. Created EEI-2026-013 for Boeing's F/A-XX selection as Strong 4/5, edge 1/5 and WAIT because the $20 billion development value is material but current obligations, contract identifier and detailed terms are not public and the stock repriced immediately. Public Motley Fool ideas on MU/SNDK, META, TROW, ASML/MRVL, NVDA and RKLB were investigated and rejected as distinct theses: MU/SNDK, META and NVDA repeated already-reviewed catalysts; TROW and ASML/MRVL lacked a new catalyst; RKLB's Kepler deal dated to August 10 and was already included in company backlog. BMY, LULU and AVAV had no new primary evidence that changed their states. No thesis horizon matured for formal outcome scoring. No real trade was recommended or executed.</x:v>
      </x:c>
    </x:row>
    <x:row r="44">
      <x:c r="A44" s="27" t="str">
        <x:v>RUN-2026-10-01-0817</x:v>
      </x:c>
      <x:c r="B44" s="28" t="n">
        <x:v>46296.345</x:v>
      </x:c>
      <x:c r="C44" s="27" t="str">
        <x:v>Easy E Invest daily scan</x:v>
      </x:c>
      <x:c r="D44" s="29" t="str">
        <x:v>Separate reviews: energy market; 2026 midterm thesis; Motley Fool watch; plus government awards, macro, rates, technology, semiconductors, defense, shipping, supply chains and market confirmation</x:v>
      </x:c>
      <x:c r="E44" s="29" t="str">
        <x:v>Methodology and current ledger; Reuters; Wall Street Journal; Micron, Nvidia, Amazon, Nebius, Rocket Lab and MercadoLibre primary records; USAspending public searches; public Motley Fool editorials; current market data</x:v>
      </x:c>
      <x:c r="F44" s="29" t="n">
        <x:v>16</x:v>
      </x:c>
      <x:c r="G44" s="29" t="n">
        <x:v>3</x:v>
      </x:c>
      <x:c r="H44" s="29" t="n">
        <x:v>1</x:v>
      </x:c>
      <x:c r="I44" s="29" t="str">
        <x:v>Yes</x:v>
      </x:c>
      <x:c r="J44" s="29" t="str">
        <x:v>Opened EEI-2026-014, AI memory scarcity and Micron contracted demand, as Strong 4/5 with trading edge 1/5 and Entry Window WAIT after record cash flow, $32 billion of strategic customer commitments and Nvidia's independent confirmation of memory scarcity through fiscal 2028. EEI-2026-003 received materially stronger Senate-path evidence but remained Strong / WAIT because polls, funding gaps, 5%+ Treasury yields and weak breadth remain contradictory. Tanker strikes and the dated-Brent premium strengthened EEI-2026-009 and EEI-2026-011, while Fujairah supply recovery strengthened normalization evidence; both Entry Windows remain WAIT. NVDA, AMZN, NBIS, RKLB and MELI public Motley Fool ideas were investigated and rejected as distinct theses. USAspending searches found no material new public-company award; the date-matched follow-on maintenance order located was only $18,380. No real trade was recommended or executed.</x:v>
      </x:c>
    </x:row>
    <x:row r="45">
      <x:c r="A45" s="27" t="str">
        <x:v>RUN-2026-10-02-0834</x:v>
      </x:c>
      <x:c r="B45" s="28" t="d">
        <x:v>2026-10-02T12:33:58.000Z</x:v>
      </x:c>
      <x:c r="C45" s="27" t="str">
        <x:v>Easy E Invest daily scan</x:v>
      </x:c>
      <x:c r="D45" s="29" t="str">
        <x:v>Separate reviews: energy market; 2026 midterm thesis; Motley Fool watch; plus government awards, macro, rates, semiconductors, healthcare, consumer, industrial automation, shipping and supply chains</x:v>
      </x:c>
      <x:c r="E45" s="29" t="str">
        <x:v>Methodology and current ledger; Reuters; SEC and issuer primary records; USAspending and federal award searches; public Motley Fool editorials; current market and shipping data</x:v>
      </x:c>
      <x:c r="F45" s="29" t="n">
        <x:v>7</x:v>
      </x:c>
      <x:c r="G45" s="29" t="n">
        <x:v>3</x:v>
      </x:c>
      <x:c r="H45" s="29" t="n">
        <x:v>0</x:v>
      </x:c>
      <x:c r="I45" s="29" t="str">
        <x:v>Yes</x:v>
      </x:c>
      <x:c r="J45" s="29" t="str">
        <x:v>Qualifying energy update. EEI-2026-009 remains Actionable at 5/5 confidence, 1/5 trading edge and WAIT: proposed EU/IEA stock releases confirm severe diesel scarcity but drove gasoil down about 5%, strengthening policy and headline risk. EEI-2026-002 remains Strong / WAIT as LNG shipments improved to 19-21 cargoes but only toward a possible 25% of pre-war volume. EEI-2026-003 remains Strong / WAIT: possible control change is increasingly treated as a market risk, but the 10-year yield at 5.34% and AI concentration still block breadth confirmation. Public Motley Fool ideas on MRVL, VKTX, AIQ, TSM, O, analog semiconductors and robotics were independently checked and rejected as distinct theses. No new USAspending/public-company award passed new-award, independent-confirmation and materiality tests. BMY, LULU and AVAV had no thesis-changing evidence. No horizon matured for formal outcome scoring. No real trade was recommended or executed.</x:v>
      </x:c>
    </x:row>
    <x:row r="46">
      <x:c r="A46" s="27" t="str">
        <x:v>RUN-2026-10-03-0818</x:v>
      </x:c>
      <x:c r="B46" s="28" t="d">
        <x:v>2026-10-03T12:18:27.000Z</x:v>
      </x:c>
      <x:c r="C46" s="27" t="str">
        <x:v>Easy E Invest daily scan</x:v>
      </x:c>
      <x:c r="D46" s="29" t="str">
        <x:v>Separate reviews: energy market; 2026 midterm thesis; Motley Fool watch; plus government awards, defense, macro, rates, shipping, sanctions, supply chains, healthcare, consumer and technology</x:v>
      </x:c>
      <x:c r="E46" s="29" t="str">
        <x:v>Methodology and current ledger; Reuters; G7 statement; RTX and NASA primary records; SEC filings; USAspending and federal award searches; public Motley Fool editorials; Friday closing market data</x:v>
      </x:c>
      <x:c r="F46" s="29" t="n">
        <x:v>12</x:v>
      </x:c>
      <x:c r="G46" s="29" t="n">
        <x:v>4</x:v>
      </x:c>
      <x:c r="H46" s="29" t="n">
        <x:v>0</x:v>
      </x:c>
      <x:c r="I46" s="29" t="str">
        <x:v>Yes</x:v>
      </x:c>
      <x:c r="J46" s="29" t="str">
        <x:v>Qualifying update. A second large Raytheon multiyear award, up to $24.4 billion for SM-6, raised EEI-2026-012 confidence from 4/5 to 5/5 while trading edge remains 1/5 and Entry Window WAIT because initial obligations and full award terms are undisclosed, funding depends on Congress and RTX did not rally. Energy remained sharply two-sided: the G7 finalized a coordinated 100 million-barrel emergency release, while planned Saudi action near Bab el-Mandeb and an unconfirmed Aramco refinery fire increased geopolitical risk; EEI-2026-009 stays Actionable / WAIT and EEI-2026-011 stays Strong / WAIT. EEI-2026-003 received modestly better Friday breadth and a competitive Ohio Senate signal but remains Strong 4/5, edge 1/5 and WAIT because yields and concentration remain adverse. Public Motley Fool ideas on drone procurement, Boeing Starliner, Micron, MRVL, PANW, quantum and broad pullback lists were investigated; none created a new thesis or Entry Window change. BMY, LULU and AVAV had no thesis-changing primary evidence. No new USAspending record independently supplied a material public-company award beyond the announced SM-6 ceiling, whose PIID and obligations remain pending. No horizon matured for formal outcome scoring. No real trade was recommended or executed.</x:v>
      </x:c>
    </x:row>
    <x:row r="47">
      <x:c r="A47" s="27" t="str">
        <x:v>RUN-2026-10-04-0819</x:v>
      </x:c>
      <x:c r="B47" s="28" t="d">
        <x:v>2026-10-04T12:19:00.000Z</x:v>
      </x:c>
      <x:c r="C47" s="27" t="str">
        <x:v>Easy E Invest daily scan</x:v>
      </x:c>
      <x:c r="D47" s="29" t="str">
        <x:v>Separate reviews: energy market; 2026 midterm thesis; Motley Fool watch; plus government financing, nuclear power, government awards, defense, macro, rates, shipping, sanctions, supply chains and corporate events</x:v>
      </x:c>
      <x:c r="E47" s="29" t="str">
        <x:v>Methodology and current ledger; Reuters; U.S. Department of Energy; SEC and issuer records; USAspending and federal award searches; public Motley Fool editorials; latest Friday market data</x:v>
      </x:c>
      <x:c r="F47" s="29" t="n">
        <x:v>12</x:v>
      </x:c>
      <x:c r="G47" s="29" t="n">
        <x:v>5</x:v>
      </x:c>
      <x:c r="H47" s="29" t="n">
        <x:v>1</x:v>
      </x:c>
      <x:c r="I47" s="29" t="str">
        <x:v>Yes</x:v>
      </x:c>
      <x:c r="J47" s="29" t="str">
        <x:v>Qualifying update. Opened EEI-2026-015, Vistra nuclear uprate financing and output growth, as Hypothesis 2/5 with trading edge 1/5 and Entry Window WAIT. Reuters reported a planned $4.2 billion federal loan, while DOE's public notice confirms review of the Perry uprate project but not the amount or a binding commitment; official terms and a market reaction are pending. Energy risk increased: Iran specified conditions before Hormuz reopens, OPEC+ core output remained roughly 5 million barrels per day below prewar levels, the Saudi-backed Yemeni council announced active operations against Houthi-held territory, and the Houthis claimed responsibility for the Riyadh Aramco fire. EEI-2026-009 remains Actionable / WAIT and EEI-2026-011 remains Strong / WAIT because diplomacy, emergency releases, absent throughput confirmation and no Sunday market or freight session preserve sharp two-way risk. EEI-2026-003 had no new independent control or market-breadth evidence and remains Strong / WAIT. Public Motley Fool ideas on ADBE, FIX, CVX, RKLB, HOOD, ADA, COST and KO were independently checked and rejected as distinct theses because the facts were old, already priced, promotional or lacked a new catalyst; BMY, LULU and AVAV had no thesis-changing primary evidence. No new USAspending award passed the new-award, confirmation and materiality tests. No horizon matured for formal outcome scoring. No real trade was recommended or executed.</x:v>
      </x:c>
    </x:row>
    <x:row r="48">
      <x:c r="A48" s="27" t="str">
        <x:v>RUN-2026-10-05-0857</x:v>
      </x:c>
      <x:c r="B48" s="28" t="d">
        <x:v>2026-10-05T12:57:00.000Z</x:v>
      </x:c>
      <x:c r="C48" s="27" t="str">
        <x:v>Easy E Invest daily scan</x:v>
      </x:c>
      <x:c r="D48" s="29" t="str">
        <x:v>Separate reviews: energy market; 2026 midterm thesis; Motley Fool watch; plus USAspending and federal awards, government financing, healthcare licensing, defense, rates, sanctions, supply chains, acquisitions and broad corporate events</x:v>
      </x:c>
      <x:c r="E48" s="29" t="str">
        <x:v>Methodology and current ledger; Reuters; SEC and issuer records; DOE and federal award searches; public Motley Fool editorials; observable market and shipping data</x:v>
      </x:c>
      <x:c r="F48" s="29" t="n">
        <x:v>13</x:v>
      </x:c>
      <x:c r="G48" s="29" t="n">
        <x:v>8</x:v>
      </x:c>
      <x:c r="H48" s="29" t="n">
        <x:v>1</x:v>
      </x:c>
      <x:c r="I48" s="29" t="str">
        <x:v>Yes</x:v>
      </x:c>
      <x:c r="J48" s="29" t="str">
        <x:v>Qualifying update. EEI-2026-011 advanced from Strong to Actionable at 5/5 confidence after Gulf flows, persistent attacks and realized VLCC rates above $1.2 million per day confirmed the tanker-scarcity mechanism; trading edge remains 1/5 and Entry Window WAIT because FRO and DHT are near highs and the orderbook and route-normalization risks are substantial. EEI-2026-009 remains Actionable / WAIT, with at-or-above-prewar crude exports now explicit counterevidence to broad crude scarcity while refined-product and logistics constraints persist. EEI-2026-003 remains Strong / WAIT: weaker labor and income momentum support incumbent vulnerability but do not establish chamber control or market breadth. EEI-2026-015 advanced from Hypothesis to Developing at 3/5 after primary Vistra records confirmed 433 MW of uprates and 20-year Meta PPAs; Entry Window remains WAIT because the reported federal loan was unconfirmed, the plan was known and VST gapped premarket. Opened EEI-2026-016, the Alector-Genentech AL050 license, as Developing 3/5 with edge 1/5 and WAIT: $100 million upfront is material and extends stated runway into 2029, but AL050 is preclinical, most value is contingent and ALEC repriced sharply. New public Motley Fool suggestions were independently checked and rejected as distinct theses or mapped to existing variables; BMY, LULU and AVAV had no thesis-changing primary evidence. No new USAspending award passed new-award, confirmation and materiality tests. No horizon matured for formal outcome scoring. No real trade was recommended or executed.</x:v>
      </x:c>
    </x:row>
    <x:row r="49">
      <x:c r="A49" s="27" t="str">
        <x:v>RUN-2026-10-06-0819</x:v>
      </x:c>
      <x:c r="B49" s="28" t="d">
        <x:v>2026-10-06T12:19:43.000Z</x:v>
      </x:c>
      <x:c r="C49" s="27" t="str">
        <x:v>Easy E Invest daily scan</x:v>
      </x:c>
      <x:c r="D49" s="29" t="str">
        <x:v>Separate reviews: energy market; 2026 midterm thesis; Motley Fool watch; plus USAspending and federal awards, defense, nuclear power, rates, sanctions, shipping, supply chains, healthcare, consumer and broad corporate events</x:v>
      </x:c>
      <x:c r="E49" s="29" t="str">
        <x:v>Methodology and current ledger; Reuters; U.S. Department of Energy; Google, Constellation and Boeing primary records; SEC and issuer earnings records; USAspending and federal award searches; public Motley Fool editorials; observable market and shipping data</x:v>
      </x:c>
      <x:c r="F49" s="29" t="n">
        <x:v>17</x:v>
      </x:c>
      <x:c r="G49" s="29" t="n">
        <x:v>6</x:v>
      </x:c>
      <x:c r="H49" s="29" t="n">
        <x:v>0</x:v>
      </x:c>
      <x:c r="I49" s="29" t="str">
        <x:v>Yes</x:v>
      </x:c>
      <x:c r="J49" s="29" t="str">
        <x:v>Qualifying update. Opened EEI-2026-017 as Strong 4/5, edge 1/5 and WAIT after Google and Constellation confirmed a 20-year PPA supporting 890 MW of new nuclear uprates, a 15-year 2,700 MW supply agreement and more than $4.3 billion of investment; the stock gapped and returns remain undisclosed. EEI-2026-015 advanced from Developing 3/5 to Strong 4/5 after DOE officially announced a conditional loan commitment up to $4.2 billion and quantified 433 MW, while funding conditions and execution keep the Entry Window at WAIT. EEI-2026-003 confidence rose from 4/5 to 5/5 as national and Ohio evidence strengthened the case for a Democratic House and competitive Senate, but the stage remains Strong and WAIT because control, breadth and rates are unresolved. Opened EEI-2026-018 as Developing 3/5, edge 1/5 and WAIT after Boeing disclosed an approximately $14.7 billion undefinitized PAC-3 seeker action; obligations, definitization and profitable conversion are unproven. Energy remains two-sided: Gulf crude flows and lower prices strengthen normalization counterevidence for EEI-2026-009, while refined-product and logistics stress persists; EEI-2026-011 remains Actionable / WAIT with route-easing risk and extended tanker equities. New public Motley Fool suggestions were investigated and rejected as distinct theses; BMY, LULU and AVAV had no thesis-changing primary evidence. No horizon matured. No real trade was recommended or executed.</x:v>
      </x:c>
    </x:row>
    <x:row r="50">
      <x:c r="A50" s="27" t="str">
        <x:v>RUN-2026-10-07-0817</x:v>
      </x:c>
      <x:c r="B50" s="28" t="d">
        <x:v>2026-10-07T12:17:12.000Z</x:v>
      </x:c>
      <x:c r="C50" s="27" t="str">
        <x:v>Easy E Invest daily scan</x:v>
      </x:c>
      <x:c r="D50" s="29" t="str">
        <x:v>Separate reviews: energy market; 2026 midterm thesis; Motley Fool watch; plus USAspending and federal awards, defense, nuclear and grid power, rates, sanctions, shipping, supply chains, healthcare, consumer and semiconductors</x:v>
      </x:c>
      <x:c r="E50" s="29" t="str">
        <x:v>Methodology and current ledger; Reuters; Associated Press; Constellation and company primary records; SEC and issuer earnings materials; USAspending and federal award searches; public Motley Fool editorials; observable market data</x:v>
      </x:c>
      <x:c r="F50" s="29" t="n">
        <x:v>14</x:v>
      </x:c>
      <x:c r="G50" s="29" t="n">
        <x:v>8</x:v>
      </x:c>
      <x:c r="H50" s="29" t="n">
        <x:v>0</x:v>
      </x:c>
      <x:c r="I50" s="29" t="str">
        <x:v>Yes</x:v>
      </x:c>
      <x:c r="J50" s="29" t="str">
        <x:v>Qualifying update. EEI-2026-009 completed its scheduled formal review: the economic variable, direction and timing were correct as European diesel futures traded about $77 per barrel above Brent and rose 13%; the investment-expression result remains blank because no clean paper position was defined, and Entry Window discipline scored Yes. The thesis remains Actionable 5/5, edge 1/5 and WAIT because strategic releases, recovering crude exports and extreme headline risk limit entry quality. EEI-2026-017 confidence rose from 4/5 to 5/5 after CEG gained about 12.2% in the regular session, confirming market recognition; stage stays Strong, edge 1/5 and WAIT because the gap worsens headline-chasing risk and project returns remain undisclosed. EEI-2026-003 remains Strong 5/5 and WAIT: late Republican spending inefficiency and wider Democratic House targets support the control-shift case, but high term premium, yields and narrow leadership still block the breadth expression. EEI-2026-011 remains Actionable / WAIT after renewed Houthi attacks; no favorable tanker entry emerged. New Motley Fool ideas on ON Semiconductor and Micron/SanDisk were fully checked against primary results and rejected as new theses because long-dated management targets or extreme repricing left no demonstrated edge. BMY, LULU and AVAV had no thesis-changing primary evidence. The private Anduril Navy announcement lacked required USAspending award fields and a clean public-company mapping. No real trade was recommended or executed.</x:v>
      </x:c>
    </x:row>
    <x:row r="51">
      <x:c r="A51" s="27" t="str">
        <x:v>RUN-2026-10-08-0843</x:v>
      </x:c>
      <x:c r="B51" s="28" t="d">
        <x:v>2026-10-08T12:43:03.000Z</x:v>
      </x:c>
      <x:c r="C51" s="27" t="str">
        <x:v>Easy E Invest daily scan</x:v>
      </x:c>
      <x:c r="D51" s="29" t="str">
        <x:v>Separate reviews: energy market; 2026 midterm thesis; Motley Fool watch; plus USAspending and federal awards, defense, autonomous systems, grid power, rates, sanctions, shipping, supply chains, healthcare, consumer and fintech</x:v>
      </x:c>
      <x:c r="E51" s="29" t="str">
        <x:v>Methodology and current ledger; Reuters; Associated Press; Kpler and LSEG shipping data; SEC and issuer records; USAspending and Defense.gov screens; public Motley Fool editorials; observable market data</x:v>
      </x:c>
      <x:c r="F51" s="29" t="n">
        <x:v>16</x:v>
      </x:c>
      <x:c r="G51" s="29" t="n">
        <x:v>10</x:v>
      </x:c>
      <x:c r="H51" s="29" t="n">
        <x:v>0</x:v>
      </x:c>
      <x:c r="I51" s="29" t="str">
        <x:v>Yes</x:v>
      </x:c>
      <x:c r="J51" s="29" t="str">
        <x:v>Qualifying update. EEI-2026-011 completed its scheduled formal review: the economic variable, direction and timing were correct as VLCC rates exceeded $1.2 million per day and Hormuz traffic fell to the lowest since July; FRO and DHT rose about 6.5% and 5.6% from September 21 through October 7, and Entry Window discipline scored Yes. The thesis remains Actionable 5/5, edge 1/5 and WAIT because alternate-coast exports keep total Middle East flow near prewar levels, policy barrels and a large orderbook strengthen normalization risk, and tanker equities remain near highs. EEI-2026-003 remains Strong 5/5 and WAIT: House-shift evidence remains strong, but Brent above $104, a 5.34% 10-year yield and weaker equal-weight/small-cap indications block the breadth expression. LULU recorded a primary-source leadership restructuring but no operating confirmation; BMY and AVAV had no thesis-changing primary evidence. New free Motley Fool ideas on GEV, SOFI and CRCL were fully checked against primary records and rejected as new theses because the catalysts were already public, valuation or rate sensitivity was high, or monetization remained unproven. No qualifying USAspending award with complete fields and a clean public-company mapping was found. No real trade was recommended or executed.</x:v>
      </x:c>
    </x:row>
    <x:row r="52">
      <x:c r="A52" s="27" t="str">
        <x:v>RUN-2026-10-09-0823</x:v>
      </x:c>
      <x:c r="B52" s="28" t="d">
        <x:v>2026-10-09T12:23:14.000Z</x:v>
      </x:c>
      <x:c r="C52" s="27" t="str">
        <x:v>Easy E Invest daily scan</x:v>
      </x:c>
      <x:c r="D52" s="29" t="str">
        <x:v>Separate reviews: energy market; 2026 midterm thesis; Motley Fool watch; plus USAspending and federal awards, defense and autonomous systems, rates, sanctions, shipping, supply chains, semiconductors, cloud infrastructure, healthcare and consumer</x:v>
      </x:c>
      <x:c r="E52" s="29" t="str">
        <x:v>Methodology and current ledger; Reuters; USAspending.gov; SEC and issuer records; public Motley Fool editorials; observable market and shipping data</x:v>
      </x:c>
      <x:c r="F52" s="29" t="n">
        <x:v>15</x:v>
      </x:c>
      <x:c r="G52" s="29" t="n">
        <x:v>8</x:v>
      </x:c>
      <x:c r="H52" s="29" t="n">
        <x:v>0</x:v>
      </x:c>
      <x:c r="I52" s="29" t="str">
        <x:v>Yes</x:v>
      </x:c>
      <x:c r="J52" s="29" t="str">
        <x:v>Qualifying update. EEI-2026-011 remains Actionable 5/5, edge 1/5 and WAIT after record U.S.-Asia VLCC freight closed the crude arbitrage and redirected Asian sourcing, materially confirming that tanker scarcity is changing delivered economics and physical trade flows; the extreme rate level, tanker equities near highs, de-escalation headlines, alternate routes and the vessel orderbook keep the Entry Window unattractive. EEI-2026-003 remains Strong 5/5 and WAIT: expanding Democratic House targets support a control shift, but Senate math is difficult, yields remain high and equity relief is technology-led rather than broad. AVAV's primary Navy prototype selection strengthens autonomous-systems demand but disclosed no obligation, workshare or revenue, so EEI-2026-007 remains Strong 4/5, edge 2/5 and WAIT. New free Motley Fool suggestions on AMD, PLTR, Everpure and AI hardware/software baskets were checked against primary records and rejected as new theses because catalysts were old or heavily priced, cash conversion or dilution was adverse, or no distinct new event existed. A Palantir Navy order observed in USAspending was a routine existing-order modification/data refresh rather than a new award and was immaterial relative to company scale. BMY and LULU had no thesis-changing primary evidence. No new thesis was opened, no Entry Window changed, no additional horizon matured, and no real trade was recommended or executed.</x:v>
      </x:c>
    </x:row>
    <x:row r="53">
      <x:c r="A53" s="27" t="str">
        <x:v>RUN-2026-10-10-0815</x:v>
      </x:c>
      <x:c r="B53" s="28" t="d">
        <x:v>2026-10-10T12:15:49.000Z</x:v>
      </x:c>
      <x:c r="C53" s="27" t="str">
        <x:v>Easy E Invest daily scan</x:v>
      </x:c>
      <x:c r="D53" s="29" t="str">
        <x:v>Separate reviews: energy market; 2026 midterm thesis; Motley Fool watch; plus USAspending and federal awards, defense, rates, sanctions, shipping, supply chains, semiconductors, fintech, healthcare and consumer</x:v>
      </x:c>
      <x:c r="E53" s="29" t="str">
        <x:v>Methodology and current ledger; Department of War; RTX; Reuters; USAspending.gov; SEC and issuer records; public Motley Fool editorials; observable market data</x:v>
      </x:c>
      <x:c r="F53" s="29" t="n">
        <x:v>16</x:v>
      </x:c>
      <x:c r="G53" s="29" t="n">
        <x:v>11</x:v>
      </x:c>
      <x:c r="H53" s="29" t="n">
        <x:v>0</x:v>
      </x:c>
      <x:c r="I53" s="29" t="str">
        <x:v>Yes</x:v>
      </x:c>
      <x:c r="J53" s="29" t="str">
        <x:v>Qualifying update. Department of War contract HQ0851-27-C-E001 is a new noncompetitive multiyear undefinitized Raytheon action with a $4.432 billion base, $6.342 billion potential value and $454.215 million obligated at award for SM-3 Block IB all-up rounds. It materially broadens the existing RTX missile-production ramp across AMRAAM, SM-6 and SM-3, but EEI-2026-012 remains Strong 5/5, edge 1/5 and WAIT because only about 7.2% of the potential ceiling was initially obligated, the award is undefinitized, the direction was partly anticipated and RTX's market response was modest. The midterm thesis remains Strong 5/5 and WAIT after Democrats expanded their House target list and cost-of-living surveys worsened; Senate control and market breadth/rates confirmation remain unresolved. Energy had no stage or Entry Window change; the proposed Hormuz-bypass pipeline is a multi-year study-stage normalization modifier, not present relief. New free Motley Fool suggestions on SOFI, an optical-networking basket, PYPL and TSM were reviewed and rejected as new theses because they reused public facts, lacked a new primary catalyst or relied on unsupported acquisition opinion after significant repricing. BMY, LULU and AVAV had no thesis-changing primary evidence. No new thesis was opened, no Entry Window changed, no horizon matured, and no real trade was recommended or executed.</x:v>
      </x:c>
    </x:row>
    <x:row r="54">
      <x:c r="A54" s="27" t="str">
        <x:v>RUN-2026-10-11-0847</x:v>
      </x:c>
      <x:c r="B54" s="28" t="d">
        <x:v>2026-10-11T12:47:29.000Z</x:v>
      </x:c>
      <x:c r="C54" s="27" t="str">
        <x:v>Easy E Invest daily scan</x:v>
      </x:c>
      <x:c r="D54" s="29" t="str">
        <x:v>Separate reviews: energy market; 2026 midterm thesis; Motley Fool watch; plus USAspending and federal awards, defense, rates, inflation, tariffs, sanctions, shipping, supply chains, semiconductors, streaming, robotics, healthcare and consumer</x:v>
      </x:c>
      <x:c r="E54" s="29" t="str">
        <x:v>Methodology and current ledger; Department of War; USAspending.gov; Reuters; Associated Press; SEC and issuer records; public Motley Fool editorials; observable market data</x:v>
      </x:c>
      <x:c r="F54" s="29" t="n">
        <x:v>18</x:v>
      </x:c>
      <x:c r="G54" s="29" t="n">
        <x:v>9</x:v>
      </x:c>
      <x:c r="H54" s="29" t="n">
        <x:v>0</x:v>
      </x:c>
      <x:c r="I54" s="29" t="str">
        <x:v>No</x:v>
      </x:c>
      <x:c r="J54" s="29" t="str">
        <x:v>No notification threshold met. EEI-2026-011 remains Actionable 5/5, edge 1/5 and WAIT after U.S. blockade enforcement against a commercial cargo vessel and two-month-low Hormuz transits confirmed severe route risk; the incident was continuation evidence, Sunday supplied no market confirmation, and alternate routes, guarded transit, stocks and diplomacy still block a favorable entry. EEI-2026-009 remains Actionable 5/5, edge 1/5 and WAIT: Ukraine's conditional offer to stop refinery strikes adds normalization risk, but there is no reciprocal agreement and proposed diesel volumes remain small. EEI-2026-003 remains Strong 5/5, edge 1/5 and WAIT after AP documented tariff backlash and manufacturing pain in battleground states; district outcomes, Senate math, high rates and market breadth remain unresolved. New free Motley Fool suggestions on MRVL, NFLX, SYM and ASML were independently checked and rejected as new theses because catalysts were already public and priced, depended on future results or long-range management targets, or had concentration, execution and valuation risks. October 9 federal awards were screened: the largest GD item was a routine modification, while new awards were immaterial to public parents and lacked an unexpected market response. BMY, LULU and AVAV had no thesis-changing primary evidence. No thesis, stage, confidence, trading edge or Entry Window changed; no horizon matured; no real trade was recommended or executed.</x:v>
      </x:c>
    </x:row>
    <x:row r="55">
      <x:c r="A55" s="27" t="str">
        <x:v>RUN-2026-10-12-0832</x:v>
      </x:c>
      <x:c r="B55" s="28" t="d">
        <x:v>2026-10-12T12:32:57.000Z</x:v>
      </x:c>
      <x:c r="C55" s="27" t="str">
        <x:v>Easy E Invest daily scan</x:v>
      </x:c>
      <x:c r="D55" s="29" t="str">
        <x:v>Separate reviews: energy market; 2026 midterm thesis; Motley Fool watch; plus USAspending and federal awards, rates, inflation, sanctions, shipping, LNG, supply chains, semiconductors, AI infrastructure, healthcare and consumer</x:v>
      </x:c>
      <x:c r="E55" s="29" t="str">
        <x:v>Methodology and current ledger; Department of War; USAspending.gov; Reuters; Washington Post; Polymarket; SEC and issuer records; public Motley Fool editorials; observable market and maritime data</x:v>
      </x:c>
      <x:c r="F55" s="29" t="n">
        <x:v>20</x:v>
      </x:c>
      <x:c r="G55" s="29" t="n">
        <x:v>10</x:v>
      </x:c>
      <x:c r="H55" s="29" t="n">
        <x:v>0</x:v>
      </x:c>
      <x:c r="I55" s="29" t="str">
        <x:v>Yes</x:v>
      </x:c>
      <x:c r="J55" s="29" t="str">
        <x:v>Qualifying update. Energy physical evidence strengthened materially: two more tanker attacks and the Riyadh airport strike restored the crude risk premium, while tracked Qatar LNG exports for October fell toward about 0.6 million tonnes. EEI-2026-011 remains Actionable 5/5, edge 1/5 and WAIT because crude's renewed headline move is already extended and producer-equity confirmation remains weaker; EEI-2026-002 remains Strong 4/5, edge 2/5 and WAIT because the LNG constraint is clearer but the coal expression remains indirect. EEI-2026-009 remains Actionable 5/5, edge 1/5 and WAIT: the small Russian diesel arrangement lowered gasoil 2.3%, but limited volumes, impaired refining and a disputed ceasefire do not resolve scarcity. EEI-2026-003 remains Strong 5/5, edge 1/5 and WAIT after a Democratic Senate became a serious branch and prediction-market positioning favored a sweep; four-seat Senate math, polling risk, high rates and missing breadth confirmation still prevent promotion. New free Motley Fool items on TSM, BE/VRT, CLX and NVDA/MU were independently checked and rejected as new theses because catalysts were old or already priced, valuation and execution risk were high, or the factual trigger was not material to issuer demand. No new weekend or federal-holiday public-company award qualified. BMY, LULU and AVAV had no thesis-changing primary evidence. No new thesis was opened, no Entry Window changed, no horizon matured, and no real trade was recommended or executed.</x:v>
      </x:c>
    </x:row>
    <x:row r="56">
      <x:c r="A56" s="27" t="str">
        <x:v>RUN-2026-10-13-0758</x:v>
      </x:c>
      <x:c r="B56" s="28" t="d">
        <x:v>2026-10-13T11:58:45.000Z</x:v>
      </x:c>
      <x:c r="C56" s="27" t="str">
        <x:v>Easy E Invest daily scan</x:v>
      </x:c>
      <x:c r="D56" s="29" t="str">
        <x:v>Separate reviews: energy market; 2026 midterm thesis; Motley Fool watch; plus USAspending and federal awards, rates, inflation, sanctions, shipping, LNG, supply chains, semiconductors, AI infrastructure, healthcare and consumer</x:v>
      </x:c>
      <x:c r="E56" s="29" t="str">
        <x:v>Methodology and current ledger; DARPA; Department of War; USAspending.gov; OFAC; Reuters; Associated Press; Financial Times; FERC/PJM; SEC and issuer records; public Motley Fool editorials; observable market data</x:v>
      </x:c>
      <x:c r="F56" s="29" t="n">
        <x:v>24</x:v>
      </x:c>
      <x:c r="G56" s="29" t="n">
        <x:v>18</x:v>
      </x:c>
      <x:c r="H56" s="29" t="n">
        <x:v>1</x:v>
      </x:c>
      <x:c r="I56" s="29" t="str">
        <x:v>Yes</x:v>
      </x:c>
      <x:c r="J56" s="29" t="str">
        <x:v>Qualifying update. A new distinct IonQ thesis, EEI-2026-019, opened Developing at 3/5 confidence, 1/5 trading edge and Entry Window WAIT after DARPA and IonQ confirmed QBI Stage C and a conditional agreement worth up to $300 million through 2029. The ceiling is not funded revenue: initial obligation, award identifier and milestone schedule are undisclosed; multiple architectures remain; IonQ's valuation, operating loss and up-to-$1.3 billion all-stock Elisity acquisition limit edge. Motley Fool was trigger only. EEI-2026-005 BMY confidence rose from 3/5 to 4/5 after Phase 3 successes for admilparant 60 mg and RYZ101, but the 120 mg admilparant miss, incomplete datasets, legacy-drug erosion and a 2.6% share decline keep the thesis Developing and WAIT. Energy remains two-sided: OFAC's Russian diesel authorization and a 3.0-3.5 million tonne monthly target pushed crude down about 2%, while refinery damage, very high shipping/insurance costs, European gas near a wartime high and low storage preserve physical scarcity. EEI-2026-009 and EEI-2026-011 remain Actionable 5/5, edge 1/5 and WAIT; EEI-2026-002 remains Strong 4/5, edge 2/5 and WAIT. EEI-2026-003 remains Strong 5/5, edge 1/5 and WAIT: Democratic chamber-control and oversight evidence strengthened, but Senate math, cash advantages, high rates and weak AI-led breadth block the conditional expression. Other free Motley Fool ideas were independently screened and rejected or held for primary results. No additional qualifying public-company award was found; LULU and AVAV were unchanged. No Entry Window changed, no horizon matured, and no real trade was recommended or executed.</x:v>
      </x:c>
    </x:row>
    <x:row r="57">
      <x:c r="A57" s="27" t="str">
        <x:v>RUN-2026-10-14-0801</x:v>
      </x:c>
      <x:c r="B57" s="28" t="d">
        <x:v>2026-10-14T12:01:57.000Z</x:v>
      </x:c>
      <x:c r="C57" s="27" t="str">
        <x:v>Easy E Invest daily scan</x:v>
      </x:c>
      <x:c r="D57" s="29" t="str">
        <x:v>Separate reviews: energy market; 2026 midterm thesis; Motley Fool watch; plus USAspending and federal awards, rates, inflation, sanctions, shipping, LNG, supply chains, semiconductors, AI infrastructure, healthcare and consumer</x:v>
      </x:c>
      <x:c r="E57" s="29" t="str">
        <x:v>Methodology and current ledger; ASML; Department of War; RTX; USAspending.gov; Reuters; Associated Press; IEA; SEC and issuer records; public Motley Fool editorials; observable market data</x:v>
      </x:c>
      <x:c r="F57" s="29" t="n">
        <x:v>21</x:v>
      </x:c>
      <x:c r="G57" s="29" t="n">
        <x:v>15</x:v>
      </x:c>
      <x:c r="H57" s="29" t="n">
        <x:v>1</x:v>
      </x:c>
      <x:c r="I57" s="29" t="str">
        <x:v>Yes</x:v>
      </x:c>
      <x:c r="J57" s="29" t="str">
        <x:v>Qualifying update. New thesis EEI-2026-020 opened Strong at confidence 4/5, trading edge 1/5 and Entry Window WAIT after ASML's primary Q3 results confirmed the AI-lithography demand, margin and capacity mechanism raised by a public Motley Fool editorial. The trigger source was not used as confirmation. Fundamental evidence is strong, but a roughly 65%-70% YTD rerating, about 53.5x trailing and 30x forward earnings, export-control risk and a modest mixed market reaction leave little unpriced edge. Energy physical evidence strengthened through new attacks and persistent gasoil constraints, while exports and policy relief keep EEI-2026-009 and EEI-2026-011 Actionable 5/5, edge 1/5 and WAIT. House-control and policy evidence strengthened for EEI-2026-003, but Senate math, veto risk, high rates, narrow breadth and concentrated prediction-market positioning keep it Strong 5/5, edge 1/5 and WAIT. RTX announced a new $8B strategic-communications IDIQ with only $800K initially obligated and $729M of counter-UAS awards; the former was not promoted to a thesis and the latter confirms both demand and competition for AVAV, which remains Strong 4/5, edge 2/5 and WAIT. BMY and LULU were unchanged. No Entry Window changed, no horizon matured, and no real trade was recommended or executed.</x:v>
      </x:c>
    </x:row>
    <x:row r="58">
      <x:c r="A58" s="27" t="str">
        <x:v>RUN-2026-10-15-0824</x:v>
      </x:c>
      <x:c r="B58" s="28" t="d">
        <x:v>2026-10-15T12:24:12.000Z</x:v>
      </x:c>
      <x:c r="C58" s="27" t="str">
        <x:v>Easy E Invest daily scan — revised methodology</x:v>
      </x:c>
      <x:c r="D58" s="29" t="str">
        <x:v>At least two thirds of research effort allocated outside the existing watchlist. Broad public-data screen covered major equity sectors, broad and sector ETFs, long and intermediate Treasuries, credit stress, gold, oil/refining, earnings and guidance, price/relative-strength changes, government awards, FDA/regulatory activity, corporate actions and accessible insider disclosures. Deep comparisons: TLT/IEF, TSM, TTE, FMC and current paper positions. Existing energy, election and newsletter ideas were optional competitors, not mandatory sections.</x:v>
      </x:c>
      <x:c r="E58" s="29" t="str">
        <x:v>Revised Methodology v2.0; BLS PPI; U.S. Census retail sales; Federal Reserve H.15; Department of War awards; TSMC; Reuters; public market data. No proprietary-flow feed, paid research, live consolidated order book or executable bid/ask was available; coverage was broad but not exhaustive.</x:v>
      </x:c>
      <x:c r="F58" s="29" t="n">
        <x:v>29</x:v>
      </x:c>
      <x:c r="G58" s="29" t="n">
        <x:v>8</x:v>
      </x:c>
      <x:c r="H58" s="29" t="n">
        <x:v>0</x:v>
      </x:c>
      <x:c r="I58" s="29" t="str">
        <x:v>No</x:v>
      </x:c>
      <x:c r="J58" s="29" t="str">
        <x:v>Methodology synchronized to the October 14 directive. No new paper entry or pending order qualified. TLT was the strongest fresh candidate after AI-credit stress produced safe-haven demand, but it was explicitly rejected at today's entry after September PPI rose 1.3% month over month and retail sales rose 0.8%; the only TLT quote ($78.89 at 8:14 a.m. ET) predated those releases and lacked bid/ask evidence. TSMC, TotalEnergies and FMC were also rejected rather than forced into trades; dated comparison prices and review checkpoints were logged. The October 14 defense screen contained two large private/nonprofit awards and public-company modifications, not a new listed-equity catalyst. Actual paper positions remain only PT-2026-001 through PT-2026-003; no proposal or rejected candidate was counted as a position. Their last verified official-close value remains $3,220.34, up $220.34 (+7.34%) on $3,000 of recorded starting amounts. Legacy WAIT labels in older theses are historical research classifications, not live orders. No horizon was scored early, no frozen prediction changed, no material portfolio change occurred, and no email was warranted.</x:v>
      </x:c>
    </x:row>
    <x:row r="59">
      <x:c r="A59" s="27" t="str">
        <x:v>RUN-2026-10-16-0905</x:v>
      </x:c>
      <x:c r="B59" s="28" t="d">
        <x:v>2026-10-16T13:05:19.000Z</x:v>
      </x:c>
      <x:c r="C59" s="27" t="str">
        <x:v>Easy E Invest daily scan — revised methodology</x:v>
      </x:c>
      <x:c r="D59" s="29" t="str">
        <x:v>More than two thirds of research effort was allocated outside the existing watchlist. Public-data coverage included all major equity sectors through earnings and market-mover screens; broad and sector ETFs; Treasuries and credit stress; oil, gold and energy; M&amp;A; SEC/insider filings; FDA/regulatory updates; import prices; federal awards; and observable price/volume and relative-strength changes. Deep comparisons: TRV, XOM, VRNS and TLT. Due legacy checkpoints for EEI-2026-002, EEI-2026-003 and EEI-2026-008 were resolved explicitly rather than renewed as WAIT.</x:v>
      </x:c>
      <x:c r="E59" s="29" t="str">
        <x:v>Travelers SEC filing; Varonis SEC filing; BLS import-price release; Department of War awards; ExxonMobil/Reuters; WSJ and public market data; StockAnalysis benchmark data. No proprietary-flow feed, paid research, complete insider-feed census, live consolidated order book or portfolio-capital rule was available; coverage was broad but not exhaustive.</x:v>
      </x:c>
      <x:c r="F59" s="29" t="n">
        <x:v>34</x:v>
      </x:c>
      <x:c r="G59" s="29" t="n">
        <x:v>10</x:v>
      </x:c>
      <x:c r="H59" s="29" t="n">
        <x:v>1</x:v>
      </x:c>
      <x:c r="I59" s="29" t="str">
        <x:v>Yes</x:v>
      </x:c>
      <x:c r="J59" s="29" t="str">
        <x:v>Opened EEI-2026-021 as Developing, confidence 4/5 and trading edge 3/5. Decision: PROPOSED pending paper order for $500 of TRV at a $365 limit expiring October 23, based on strong underwriting and investment-income results plus a 3.28% premarket decline. It is not live, not filled and not counted as a position because capital/sizing rules and executable bid/ask evidence are absent. XOM was rejected near its high despite a $4.5B refining-margin tailwind; VRNS was rejected because the roughly 2.1% gross merger spread did not compensate for timing and deal risk; TLT remained rejected after import prices rose 1.1% month over month. The October 15 federal screen contained two private-company awards and one immaterial Lockheed modification. Expired WAIT checkpoints for EEI-2026-002, EEI-2026-003 and EEI-2026-008 were converted to explicit current-entry rejections with dated rechecks. Actual paper positions remain PT-2026-001 through PT-2026-003 only. At October 15 closes they were worth $3,227.21, up $227.21 (+7.57%), versus about +0.35% for SPY from the September 8 open. No real trade was recommended or executed; a concise notification is warranted for the new proposed order.</x:v>
      </x:c>
    </x:row>
    <x:row r="60">
      <x:c r="A60" s="27" t="str">
        <x:v>RUN-2026-10-17-0806</x:v>
      </x:c>
      <x:c r="B60" s="28" t="d">
        <x:v>2026-10-17T12:06:36.000Z</x:v>
      </x:c>
      <x:c r="C60" s="27" t="str">
        <x:v>Easy E Invest daily scan — executable-alert discipline</x:v>
      </x:c>
      <x:c r="D60" s="29" t="str">
        <x:v>More than two thirds of research effort was allocated outside the existing watchlist. Weekend public-data coverage included Friday earnings and guidance across all major equity sectors; sector and broad ETFs; Treasuries, high-yield credit and gold; commodities and energy; mergers and SEC corporate actions; insider and financing disclosures; the October 16 Department of War contract release; policy and regulatory developments; and public Motley Fool idea pages. Deep comparisons: TRV execution status, AA, JBHT and the cross-asset technology-to-defensive rotation. Existing theses competed for attention rather than receiving mandatory sections.</x:v>
      </x:c>
      <x:c r="E60" s="29" t="str">
        <x:v>Methodology v2.1; Travelers investor relations; Alcoa and J.B. Hunt primary results; Department of War; Associated Press; SEC; Treasury; public market data; public Motley Fool pages. Markets were closed, so no Saturday quote was executable; no proprietary-flow feed, paid research, consolidated order book or complete insider-feed census was available. Coverage was broad but not exhaustive.</x:v>
      </x:c>
      <x:c r="F60" s="29" t="n">
        <x:v>31</x:v>
      </x:c>
      <x:c r="G60" s="29" t="n">
        <x:v>6</x:v>
      </x:c>
      <x:c r="H60" s="29" t="n">
        <x:v>0</x:v>
      </x:c>
      <x:c r="I60" s="29" t="str">
        <x:v>Yes</x:v>
      </x:c>
      <x:c r="J60" s="29" t="str">
        <x:v>No new paper entry qualified. The proposed TRV $365 order was explicitly withdrawn and changed to REJECT after the user chose manual market orders and TRV closed at $389.54, 6.72% above the proposed price. A stale entry will not be converted into a chase; future ACTIONABLE NOW alerts require a fresh regular-session quote and acceptable current-price risk/reward. AA and JBHT were rejected after primary earnings review because sequential/margin and balance-sheet risks outweighed the Friday prices, and Saturday quotes are not executable. The October 16 federal screen was led by a $5.4B private-company IDIQ with only $3,000 obligated; no public-equity thesis qualified. Actual paper positions remain BNO, USO and XOP only. Their October 16 close value was $3,326.86, up $326.86 (+10.90%), versus about -0.76% for SPY from the September 8 open. This material portfolio change and TRV decision change warrant one concise email. No real trade was recommended or executed.</x:v>
      </x:c>
    </x:row>
    <x:row r="61">
      <x:c r="A61" s="27"/>
      <x:c r="B61" s="28"/>
      <x:c r="C61" s="27"/>
      <x:c r="D61" s="29"/>
      <x:c r="E61" s="29"/>
      <x:c r="F61" s="29"/>
      <x:c r="G61" s="29"/>
      <x:c r="H61" s="29"/>
      <x:c r="I61" s="29"/>
      <x:c r="J61" s="29"/>
    </x:row>
    <x:row r="62">
      <x:c r="A62" s="27"/>
      <x:c r="B62" s="28"/>
      <x:c r="C62" s="27"/>
      <x:c r="D62" s="29"/>
      <x:c r="E62" s="29"/>
      <x:c r="F62" s="29"/>
      <x:c r="G62" s="29"/>
      <x:c r="H62" s="29"/>
      <x:c r="I62" s="29"/>
      <x:c r="J62" s="29"/>
    </x:row>
    <x:row r="63">
      <x:c r="A63" s="27"/>
      <x:c r="B63" s="28"/>
      <x:c r="C63" s="27"/>
      <x:c r="D63" s="29"/>
      <x:c r="E63" s="29"/>
      <x:c r="F63" s="29"/>
      <x:c r="G63" s="29"/>
      <x:c r="H63" s="29"/>
      <x:c r="I63" s="29"/>
      <x:c r="J63" s="29"/>
    </x:row>
    <x:row r="64">
      <x:c r="A64" s="27"/>
      <x:c r="B64" s="28"/>
      <x:c r="C64" s="27"/>
      <x:c r="D64" s="29"/>
      <x:c r="E64" s="29"/>
      <x:c r="F64" s="29"/>
      <x:c r="G64" s="29"/>
      <x:c r="H64" s="29"/>
      <x:c r="I64" s="29"/>
      <x:c r="J64" s="29"/>
    </x:row>
    <x:row r="65">
      <x:c r="A65" s="27"/>
      <x:c r="B65" s="28"/>
      <x:c r="C65" s="27"/>
      <x:c r="D65" s="29"/>
      <x:c r="E65" s="29"/>
      <x:c r="F65" s="29"/>
      <x:c r="G65" s="29"/>
      <x:c r="H65" s="29"/>
      <x:c r="I65" s="29"/>
      <x:c r="J65" s="29"/>
    </x:row>
    <x:row r="66">
      <x:c r="A66" s="27"/>
      <x:c r="B66" s="28"/>
      <x:c r="C66" s="27"/>
      <x:c r="D66" s="29"/>
      <x:c r="E66" s="29"/>
      <x:c r="F66" s="29"/>
      <x:c r="G66" s="29"/>
      <x:c r="H66" s="29"/>
      <x:c r="I66" s="29"/>
      <x:c r="J66" s="29"/>
    </x:row>
    <x:row r="67">
      <x:c r="A67" s="27"/>
      <x:c r="B67" s="28"/>
      <x:c r="C67" s="27"/>
      <x:c r="D67" s="29"/>
      <x:c r="E67" s="29"/>
      <x:c r="F67" s="29"/>
      <x:c r="G67" s="29"/>
      <x:c r="H67" s="29"/>
      <x:c r="I67" s="29"/>
      <x:c r="J67" s="29"/>
    </x:row>
    <x:row r="68">
      <x:c r="A68" s="27"/>
      <x:c r="B68" s="28"/>
      <x:c r="C68" s="27"/>
      <x:c r="D68" s="29"/>
      <x:c r="E68" s="29"/>
      <x:c r="F68" s="29"/>
      <x:c r="G68" s="29"/>
      <x:c r="H68" s="29"/>
      <x:c r="I68" s="29"/>
      <x:c r="J68" s="29"/>
    </x:row>
    <x:row r="69">
      <x:c r="A69" s="27"/>
      <x:c r="B69" s="28"/>
      <x:c r="C69" s="27"/>
      <x:c r="D69" s="29"/>
      <x:c r="E69" s="29"/>
      <x:c r="F69" s="29"/>
      <x:c r="G69" s="29"/>
      <x:c r="H69" s="29"/>
      <x:c r="I69" s="29"/>
      <x:c r="J69" s="29"/>
    </x:row>
    <x:row r="70">
      <x:c r="A70" s="27"/>
      <x:c r="B70" s="28"/>
      <x:c r="C70" s="27"/>
      <x:c r="D70" s="29"/>
      <x:c r="E70" s="29"/>
      <x:c r="F70" s="29"/>
      <x:c r="G70" s="29"/>
      <x:c r="H70" s="29"/>
      <x:c r="I70" s="29"/>
      <x:c r="J70" s="29"/>
    </x:row>
    <x:row r="71">
      <x:c r="A71" s="27"/>
      <x:c r="B71" s="28"/>
      <x:c r="C71" s="27"/>
      <x:c r="D71" s="29"/>
      <x:c r="E71" s="29"/>
      <x:c r="F71" s="29"/>
      <x:c r="G71" s="29"/>
      <x:c r="H71" s="29"/>
      <x:c r="I71" s="29"/>
      <x:c r="J71" s="29"/>
    </x:row>
    <x:row r="72">
      <x:c r="A72" s="27"/>
      <x:c r="B72" s="28"/>
      <x:c r="C72" s="27"/>
      <x:c r="D72" s="29"/>
      <x:c r="E72" s="29"/>
      <x:c r="F72" s="29"/>
      <x:c r="G72" s="29"/>
      <x:c r="H72" s="29"/>
      <x:c r="I72" s="29"/>
      <x:c r="J72" s="29"/>
    </x:row>
    <x:row r="73">
      <x:c r="A73" s="27"/>
      <x:c r="B73" s="28"/>
      <x:c r="C73" s="27"/>
      <x:c r="D73" s="29"/>
      <x:c r="E73" s="29"/>
      <x:c r="F73" s="29"/>
      <x:c r="G73" s="29"/>
      <x:c r="H73" s="29"/>
      <x:c r="I73" s="29"/>
      <x:c r="J73" s="29"/>
    </x:row>
    <x:row r="74">
      <x:c r="A74" s="27"/>
      <x:c r="B74" s="28"/>
      <x:c r="C74" s="27"/>
      <x:c r="D74" s="29"/>
      <x:c r="E74" s="29"/>
      <x:c r="F74" s="29"/>
      <x:c r="G74" s="29"/>
      <x:c r="H74" s="29"/>
      <x:c r="I74" s="29"/>
      <x:c r="J74" s="29"/>
    </x:row>
    <x:row r="75">
      <x:c r="A75" s="27"/>
      <x:c r="B75" s="28"/>
      <x:c r="C75" s="27"/>
      <x:c r="D75" s="29"/>
      <x:c r="E75" s="29"/>
      <x:c r="F75" s="29"/>
      <x:c r="G75" s="29"/>
      <x:c r="H75" s="29"/>
      <x:c r="I75" s="29"/>
      <x:c r="J75" s="29"/>
    </x:row>
    <x:row r="76">
      <x:c r="A76" s="27"/>
      <x:c r="B76" s="28"/>
      <x:c r="C76" s="27"/>
      <x:c r="D76" s="29"/>
      <x:c r="E76" s="29"/>
      <x:c r="F76" s="29"/>
      <x:c r="G76" s="29"/>
      <x:c r="H76" s="29"/>
      <x:c r="I76" s="29"/>
      <x:c r="J76" s="29"/>
    </x:row>
    <x:row r="77">
      <x:c r="A77" s="27"/>
      <x:c r="B77" s="28"/>
      <x:c r="C77" s="27"/>
      <x:c r="D77" s="29"/>
      <x:c r="E77" s="29"/>
      <x:c r="F77" s="29"/>
      <x:c r="G77" s="29"/>
      <x:c r="H77" s="29"/>
      <x:c r="I77" s="29"/>
      <x:c r="J77" s="29"/>
    </x:row>
    <x:row r="78">
      <x:c r="A78" s="27"/>
      <x:c r="B78" s="28"/>
      <x:c r="C78" s="27"/>
      <x:c r="D78" s="29"/>
      <x:c r="E78" s="29"/>
      <x:c r="F78" s="29"/>
      <x:c r="G78" s="29"/>
      <x:c r="H78" s="29"/>
      <x:c r="I78" s="29"/>
      <x:c r="J78" s="29"/>
    </x:row>
    <x:row r="79">
      <x:c r="A79" s="27"/>
      <x:c r="B79" s="28"/>
      <x:c r="C79" s="27"/>
      <x:c r="D79" s="29"/>
      <x:c r="E79" s="29"/>
      <x:c r="F79" s="29"/>
      <x:c r="G79" s="29"/>
      <x:c r="H79" s="29"/>
      <x:c r="I79" s="29"/>
      <x:c r="J79" s="29"/>
    </x:row>
    <x:row r="80">
      <x:c r="A80" s="27"/>
      <x:c r="B80" s="28"/>
      <x:c r="C80" s="27"/>
      <x:c r="D80" s="29"/>
      <x:c r="E80" s="29"/>
      <x:c r="F80" s="29"/>
      <x:c r="G80" s="29"/>
      <x:c r="H80" s="29"/>
      <x:c r="I80" s="29"/>
      <x:c r="J80" s="29"/>
    </x:row>
    <x:row r="81">
      <x:c r="A81" s="27"/>
      <x:c r="B81" s="28"/>
      <x:c r="C81" s="27"/>
      <x:c r="D81" s="29"/>
      <x:c r="E81" s="29"/>
      <x:c r="F81" s="29"/>
      <x:c r="G81" s="29"/>
      <x:c r="H81" s="29"/>
      <x:c r="I81" s="29"/>
      <x:c r="J81" s="29"/>
    </x:row>
    <x:row r="82">
      <x:c r="A82" s="27"/>
      <x:c r="B82" s="28"/>
      <x:c r="C82" s="27"/>
      <x:c r="D82" s="29"/>
      <x:c r="E82" s="29"/>
      <x:c r="F82" s="29"/>
      <x:c r="G82" s="29"/>
      <x:c r="H82" s="29"/>
      <x:c r="I82" s="29"/>
      <x:c r="J82" s="29"/>
    </x:row>
    <x:row r="83">
      <x:c r="A83" s="27"/>
      <x:c r="B83" s="28"/>
      <x:c r="C83" s="27"/>
      <x:c r="D83" s="29"/>
      <x:c r="E83" s="29"/>
      <x:c r="F83" s="29"/>
      <x:c r="G83" s="29"/>
      <x:c r="H83" s="29"/>
      <x:c r="I83" s="29"/>
      <x:c r="J83" s="29"/>
    </x:row>
    <x:row r="84">
      <x:c r="A84" s="27"/>
      <x:c r="B84" s="28"/>
      <x:c r="C84" s="27"/>
      <x:c r="D84" s="29"/>
      <x:c r="E84" s="29"/>
      <x:c r="F84" s="29"/>
      <x:c r="G84" s="29"/>
      <x:c r="H84" s="29"/>
      <x:c r="I84" s="29"/>
      <x:c r="J84" s="29"/>
    </x:row>
    <x:row r="85">
      <x:c r="A85" s="27"/>
      <x:c r="B85" s="28"/>
      <x:c r="C85" s="27"/>
      <x:c r="D85" s="29"/>
      <x:c r="E85" s="29"/>
      <x:c r="F85" s="29"/>
      <x:c r="G85" s="29"/>
      <x:c r="H85" s="29"/>
      <x:c r="I85" s="29"/>
      <x:c r="J85" s="29"/>
    </x:row>
    <x:row r="86">
      <x:c r="A86" s="27"/>
      <x:c r="B86" s="28"/>
      <x:c r="C86" s="27"/>
      <x:c r="D86" s="29"/>
      <x:c r="E86" s="29"/>
      <x:c r="F86" s="29"/>
      <x:c r="G86" s="29"/>
      <x:c r="H86" s="29"/>
      <x:c r="I86" s="29"/>
      <x:c r="J86" s="29"/>
    </x:row>
    <x:row r="87">
      <x:c r="A87" s="27"/>
      <x:c r="B87" s="28"/>
      <x:c r="C87" s="27"/>
      <x:c r="D87" s="29"/>
      <x:c r="E87" s="29"/>
      <x:c r="F87" s="29"/>
      <x:c r="G87" s="29"/>
      <x:c r="H87" s="29"/>
      <x:c r="I87" s="29"/>
      <x:c r="J87" s="29"/>
    </x:row>
    <x:row r="88">
      <x:c r="A88" s="27"/>
      <x:c r="B88" s="28"/>
      <x:c r="C88" s="27"/>
      <x:c r="D88" s="29"/>
      <x:c r="E88" s="29"/>
      <x:c r="F88" s="29"/>
      <x:c r="G88" s="29"/>
      <x:c r="H88" s="29"/>
      <x:c r="I88" s="29"/>
      <x:c r="J88" s="29"/>
    </x:row>
    <x:row r="89">
      <x:c r="A89" s="27"/>
      <x:c r="B89" s="28"/>
      <x:c r="C89" s="27"/>
      <x:c r="D89" s="29"/>
      <x:c r="E89" s="29"/>
      <x:c r="F89" s="29"/>
      <x:c r="G89" s="29"/>
      <x:c r="H89" s="29"/>
      <x:c r="I89" s="29"/>
      <x:c r="J89" s="29"/>
    </x:row>
    <x:row r="90">
      <x:c r="A90" s="27"/>
      <x:c r="B90" s="28"/>
      <x:c r="C90" s="27"/>
      <x:c r="D90" s="29"/>
      <x:c r="E90" s="29"/>
      <x:c r="F90" s="29"/>
      <x:c r="G90" s="29"/>
      <x:c r="H90" s="29"/>
      <x:c r="I90" s="29"/>
      <x:c r="J90" s="29"/>
    </x:row>
    <x:row r="91">
      <x:c r="A91" s="27"/>
      <x:c r="B91" s="28"/>
      <x:c r="C91" s="27"/>
      <x:c r="D91" s="29"/>
      <x:c r="E91" s="29"/>
      <x:c r="F91" s="29"/>
      <x:c r="G91" s="29"/>
      <x:c r="H91" s="29"/>
      <x:c r="I91" s="29"/>
      <x:c r="J91" s="29"/>
    </x:row>
    <x:row r="92">
      <x:c r="A92" s="27"/>
      <x:c r="B92" s="28"/>
      <x:c r="C92" s="27"/>
      <x:c r="D92" s="29"/>
      <x:c r="E92" s="29"/>
      <x:c r="F92" s="29"/>
      <x:c r="G92" s="29"/>
      <x:c r="H92" s="29"/>
      <x:c r="I92" s="29"/>
      <x:c r="J92" s="29"/>
    </x:row>
    <x:row r="93">
      <x:c r="A93" s="27"/>
      <x:c r="B93" s="28"/>
      <x:c r="C93" s="27"/>
      <x:c r="D93" s="29"/>
      <x:c r="E93" s="29"/>
      <x:c r="F93" s="29"/>
      <x:c r="G93" s="29"/>
      <x:c r="H93" s="29"/>
      <x:c r="I93" s="29"/>
      <x:c r="J93" s="29"/>
    </x:row>
    <x:row r="94">
      <x:c r="A94" s="27"/>
      <x:c r="B94" s="28"/>
      <x:c r="C94" s="27"/>
      <x:c r="D94" s="29"/>
      <x:c r="E94" s="29"/>
      <x:c r="F94" s="29"/>
      <x:c r="G94" s="29"/>
      <x:c r="H94" s="29"/>
      <x:c r="I94" s="29"/>
      <x:c r="J94" s="29"/>
    </x:row>
    <x:row r="95">
      <x:c r="A95" s="27"/>
      <x:c r="B95" s="28"/>
      <x:c r="C95" s="27"/>
      <x:c r="D95" s="29"/>
      <x:c r="E95" s="29"/>
      <x:c r="F95" s="29"/>
      <x:c r="G95" s="29"/>
      <x:c r="H95" s="29"/>
      <x:c r="I95" s="29"/>
      <x:c r="J95" s="29"/>
    </x:row>
    <x:row r="96">
      <x:c r="A96" s="27"/>
      <x:c r="B96" s="28"/>
      <x:c r="C96" s="27"/>
      <x:c r="D96" s="29"/>
      <x:c r="E96" s="29"/>
      <x:c r="F96" s="29"/>
      <x:c r="G96" s="29"/>
      <x:c r="H96" s="29"/>
      <x:c r="I96" s="29"/>
      <x:c r="J96" s="29"/>
    </x:row>
    <x:row r="97">
      <x:c r="A97" s="27"/>
      <x:c r="B97" s="28"/>
      <x:c r="C97" s="27"/>
      <x:c r="D97" s="29"/>
      <x:c r="E97" s="29"/>
      <x:c r="F97" s="29"/>
      <x:c r="G97" s="29"/>
      <x:c r="H97" s="29"/>
      <x:c r="I97" s="29"/>
      <x:c r="J97" s="29"/>
    </x:row>
    <x:row r="98">
      <x:c r="A98" s="27"/>
      <x:c r="B98" s="28"/>
      <x:c r="C98" s="27"/>
      <x:c r="D98" s="29"/>
      <x:c r="E98" s="29"/>
      <x:c r="F98" s="29"/>
      <x:c r="G98" s="29"/>
      <x:c r="H98" s="29"/>
      <x:c r="I98" s="29"/>
      <x:c r="J98" s="29"/>
    </x:row>
    <x:row r="99">
      <x:c r="A99" s="27"/>
      <x:c r="B99" s="28"/>
      <x:c r="C99" s="27"/>
      <x:c r="D99" s="29"/>
      <x:c r="E99" s="29"/>
      <x:c r="F99" s="29"/>
      <x:c r="G99" s="29"/>
      <x:c r="H99" s="29"/>
      <x:c r="I99" s="29"/>
      <x:c r="J99" s="29"/>
    </x:row>
    <x:row r="100">
      <x:c r="A100" s="27"/>
      <x:c r="B100" s="28"/>
      <x:c r="C100" s="27"/>
      <x:c r="D100" s="29"/>
      <x:c r="E100" s="29"/>
      <x:c r="F100" s="29"/>
      <x:c r="G100" s="29"/>
      <x:c r="H100" s="29"/>
      <x:c r="I100" s="29"/>
      <x:c r="J100" s="29"/>
    </x:row>
    <x:row r="101">
      <x:c r="A101"/>
      <x:c r="B101" s="21"/>
      <x:c r="C101"/>
      <x:c r="D101"/>
      <x:c r="E101"/>
      <x:c r="F101"/>
      <x:c r="G101"/>
      <x:c r="H101"/>
      <x:c r="I101"/>
      <x:c r="J101"/>
    </x:row>
    <x:row r="102">
      <x:c r="B102" s="21"/>
    </x:row>
    <x:row r="103">
      <x:c r="B103" s="21"/>
    </x:row>
    <x:row r="104">
      <x:c r="B104" s="21"/>
    </x:row>
    <x:row r="105">
      <x:c r="B105" s="21"/>
    </x:row>
    <x:row r="106">
      <x:c r="B106" s="21"/>
    </x:row>
    <x:row r="107">
      <x:c r="B107" s="21"/>
    </x:row>
    <x:row r="108">
      <x:c r="B108" s="21"/>
    </x:row>
    <x:row r="109">
      <x:c r="B109" s="21"/>
    </x:row>
    <x:row r="110">
      <x:c r="B110" s="21"/>
    </x:row>
    <x:row r="111">
      <x:c r="B111" s="21"/>
    </x:row>
    <x:row r="112">
      <x:c r="B112" s="21"/>
    </x:row>
    <x:row r="113">
      <x:c r="B113" s="21"/>
    </x:row>
    <x:row r="114">
      <x:c r="B114" s="21"/>
    </x:row>
    <x:row r="115">
      <x:c r="B115" s="21"/>
    </x:row>
    <x:row r="116">
      <x:c r="B116" s="21"/>
    </x:row>
    <x:row r="117">
      <x:c r="B117" s="21"/>
    </x:row>
    <x:row r="118">
      <x:c r="B118" s="21"/>
    </x:row>
    <x:row r="119">
      <x:c r="B119" s="21"/>
    </x:row>
    <x:row r="120">
      <x:c r="B120" s="21"/>
    </x:row>
    <x:row r="121">
      <x:c r="B121" s="21"/>
    </x:row>
    <x:row r="122">
      <x:c r="B122" s="21"/>
    </x:row>
    <x:row r="123">
      <x:c r="B123" s="21"/>
    </x:row>
    <x:row r="124">
      <x:c r="B124" s="21"/>
    </x:row>
    <x:row r="125">
      <x:c r="B125" s="21"/>
    </x:row>
    <x:row r="126">
      <x:c r="B126" s="21"/>
    </x:row>
    <x:row r="127">
      <x:c r="B127" s="21"/>
    </x:row>
    <x:row r="128">
      <x:c r="B128" s="21"/>
    </x:row>
    <x:row r="129">
      <x:c r="B129" s="21"/>
    </x:row>
    <x:row r="130">
      <x:c r="B130" s="21"/>
    </x:row>
    <x:row r="131">
      <x:c r="B131" s="21"/>
    </x:row>
    <x:row r="132">
      <x:c r="B132" s="21"/>
    </x:row>
    <x:row r="133">
      <x:c r="B133" s="21"/>
    </x:row>
    <x:row r="134">
      <x:c r="B134" s="21"/>
    </x:row>
    <x:row r="135">
      <x:c r="B135" s="21"/>
    </x:row>
    <x:row r="136">
      <x:c r="B136" s="21"/>
    </x:row>
    <x:row r="137">
      <x:c r="B137" s="21"/>
    </x:row>
    <x:row r="138">
      <x:c r="B138" s="21"/>
    </x:row>
    <x:row r="139">
      <x:c r="B139" s="21"/>
    </x:row>
    <x:row r="140">
      <x:c r="B140" s="21"/>
    </x:row>
    <x:row r="141">
      <x:c r="B141" s="21"/>
    </x:row>
    <x:row r="142">
      <x:c r="B142" s="21"/>
    </x:row>
    <x:row r="143">
      <x:c r="B143" s="21"/>
    </x:row>
    <x:row r="144">
      <x:c r="B144" s="21"/>
    </x:row>
    <x:row r="145">
      <x:c r="B145" s="21"/>
    </x:row>
    <x:row r="146">
      <x:c r="B146" s="21"/>
    </x:row>
    <x:row r="147">
      <x:c r="B147" s="21"/>
    </x:row>
    <x:row r="148">
      <x:c r="B148" s="21"/>
    </x:row>
    <x:row r="149">
      <x:c r="B149" s="21"/>
    </x:row>
    <x:row r="150">
      <x:c r="B150" s="21"/>
    </x:row>
    <x:row r="151">
      <x:c r="B151" s="21"/>
    </x:row>
    <x:row r="152">
      <x:c r="B152" s="21"/>
    </x:row>
    <x:row r="153">
      <x:c r="B153" s="21"/>
    </x:row>
    <x:row r="154">
      <x:c r="B154" s="21"/>
    </x:row>
    <x:row r="155">
      <x:c r="B155" s="21"/>
    </x:row>
    <x:row r="156">
      <x:c r="B156" s="21"/>
    </x:row>
    <x:row r="157">
      <x:c r="B157" s="21"/>
    </x:row>
    <x:row r="158">
      <x:c r="B158" s="21"/>
    </x:row>
    <x:row r="159">
      <x:c r="B159" s="21"/>
    </x:row>
    <x:row r="160">
      <x:c r="B160" s="21"/>
    </x:row>
    <x:row r="161">
      <x:c r="B161" s="21"/>
    </x:row>
    <x:row r="162">
      <x:c r="B162" s="21"/>
    </x:row>
    <x:row r="163">
      <x:c r="B163" s="21"/>
    </x:row>
    <x:row r="164">
      <x:c r="B164" s="21"/>
    </x:row>
    <x:row r="165">
      <x:c r="B165" s="21"/>
    </x:row>
    <x:row r="166">
      <x:c r="B166" s="21"/>
    </x:row>
    <x:row r="167">
      <x:c r="B167" s="21"/>
    </x:row>
    <x:row r="168">
      <x:c r="B168" s="21"/>
    </x:row>
    <x:row r="169">
      <x:c r="B169" s="21"/>
    </x:row>
    <x:row r="170">
      <x:c r="B170" s="21"/>
    </x:row>
    <x:row r="171">
      <x:c r="B171" s="21"/>
    </x:row>
    <x:row r="172">
      <x:c r="B172" s="21"/>
    </x:row>
    <x:row r="173">
      <x:c r="B173" s="21"/>
    </x:row>
    <x:row r="174">
      <x:c r="B174" s="21"/>
    </x:row>
    <x:row r="175">
      <x:c r="B175" s="21"/>
    </x:row>
    <x:row r="176">
      <x:c r="B176" s="21"/>
    </x:row>
    <x:row r="177">
      <x:c r="B177" s="21"/>
    </x:row>
    <x:row r="178">
      <x:c r="B178" s="21"/>
    </x:row>
    <x:row r="179">
      <x:c r="B179" s="21"/>
    </x:row>
    <x:row r="180">
      <x:c r="B180" s="21"/>
    </x:row>
    <x:row r="181">
      <x:c r="B181" s="21"/>
    </x:row>
    <x:row r="182">
      <x:c r="B182" s="21"/>
    </x:row>
    <x:row r="183">
      <x:c r="B183" s="21"/>
    </x:row>
    <x:row r="184">
      <x:c r="B184" s="21"/>
    </x:row>
    <x:row r="185">
      <x:c r="B185" s="21"/>
    </x:row>
    <x:row r="186">
      <x:c r="B186" s="21"/>
    </x:row>
    <x:row r="187">
      <x:c r="B187" s="21"/>
    </x:row>
    <x:row r="188">
      <x:c r="B188" s="21"/>
    </x:row>
    <x:row r="189">
      <x:c r="B189" s="21"/>
    </x:row>
    <x:row r="190">
      <x:c r="B190" s="21"/>
    </x:row>
    <x:row r="191">
      <x:c r="B191" s="21"/>
    </x:row>
    <x:row r="192">
      <x:c r="B192" s="21"/>
    </x:row>
    <x:row r="193">
      <x:c r="B193" s="21"/>
    </x:row>
    <x:row r="194">
      <x:c r="B194" s="21"/>
    </x:row>
    <x:row r="195">
      <x:c r="B195" s="21"/>
    </x:row>
    <x:row r="196">
      <x:c r="B196" s="21"/>
    </x:row>
    <x:row r="197">
      <x:c r="B197" s="21"/>
    </x:row>
    <x:row r="198">
      <x:c r="B198" s="21"/>
    </x:row>
    <x:row r="199">
      <x:c r="B199" s="21"/>
    </x:row>
    <x:row r="200">
      <x:c r="B200" s="21"/>
    </x:row>
    <x:row r="201">
      <x:c r="B201" s="21"/>
    </x:row>
    <x:row r="202">
      <x:c r="B202" s="21"/>
    </x:row>
    <x:row r="203">
      <x:c r="B203" s="21"/>
    </x:row>
    <x:row r="204">
      <x:c r="B204" s="21"/>
    </x:row>
    <x:row r="205">
      <x:c r="B205" s="21"/>
    </x:row>
    <x:row r="206">
      <x:c r="B206" s="21"/>
    </x:row>
    <x:row r="207">
      <x:c r="B207" s="21"/>
    </x:row>
    <x:row r="208">
      <x:c r="B208" s="21"/>
    </x:row>
    <x:row r="209">
      <x:c r="B209" s="21"/>
    </x:row>
    <x:row r="210">
      <x:c r="B210" s="21"/>
    </x:row>
    <x:row r="211">
      <x:c r="B211" s="21"/>
    </x:row>
    <x:row r="212">
      <x:c r="B212" s="21"/>
    </x:row>
    <x:row r="213">
      <x:c r="B213" s="21"/>
    </x:row>
    <x:row r="214">
      <x:c r="B214" s="21"/>
    </x:row>
    <x:row r="215">
      <x:c r="B215" s="21"/>
    </x:row>
    <x:row r="216">
      <x:c r="B216" s="21"/>
    </x:row>
    <x:row r="217">
      <x:c r="B217" s="21"/>
    </x:row>
    <x:row r="218">
      <x:c r="B218" s="21"/>
    </x:row>
    <x:row r="219">
      <x:c r="B219" s="21"/>
    </x:row>
    <x:row r="220">
      <x:c r="B220" s="21"/>
    </x:row>
    <x:row r="221">
      <x:c r="B221" s="21"/>
    </x:row>
    <x:row r="222">
      <x:c r="B222" s="21"/>
    </x:row>
    <x:row r="223">
      <x:c r="B223" s="21"/>
    </x:row>
    <x:row r="224">
      <x:c r="B224" s="21"/>
    </x:row>
    <x:row r="225">
      <x:c r="B225" s="21"/>
    </x:row>
    <x:row r="226">
      <x:c r="B226" s="21"/>
    </x:row>
    <x:row r="227">
      <x:c r="B227" s="21"/>
    </x:row>
    <x:row r="228">
      <x:c r="B228" s="21"/>
    </x:row>
    <x:row r="229">
      <x:c r="B229" s="21"/>
    </x:row>
    <x:row r="230">
      <x:c r="B230" s="21"/>
    </x:row>
    <x:row r="231">
      <x:c r="B231" s="21"/>
    </x:row>
    <x:row r="232">
      <x:c r="B232" s="21"/>
    </x:row>
    <x:row r="233">
      <x:c r="B233" s="21"/>
    </x:row>
    <x:row r="234">
      <x:c r="B234" s="21"/>
    </x:row>
    <x:row r="235">
      <x:c r="B235" s="21"/>
    </x:row>
    <x:row r="236">
      <x:c r="B236" s="21"/>
    </x:row>
    <x:row r="237">
      <x:c r="B237" s="21"/>
    </x:row>
    <x:row r="238">
      <x:c r="B238" s="21"/>
    </x:row>
    <x:row r="239">
      <x:c r="B239" s="21"/>
    </x:row>
    <x:row r="240">
      <x:c r="B240" s="21"/>
    </x:row>
    <x:row r="241">
      <x:c r="B241" s="21"/>
    </x:row>
    <x:row r="242">
      <x:c r="B242" s="21"/>
    </x:row>
    <x:row r="243">
      <x:c r="B243" s="21"/>
    </x:row>
    <x:row r="244">
      <x:c r="B244" s="21"/>
    </x:row>
    <x:row r="245">
      <x:c r="B245" s="21"/>
    </x:row>
    <x:row r="246">
      <x:c r="B246" s="21"/>
    </x:row>
    <x:row r="247">
      <x:c r="B247" s="21"/>
    </x:row>
    <x:row r="248">
      <x:c r="B248" s="21"/>
    </x:row>
    <x:row r="249">
      <x:c r="B249" s="21"/>
    </x:row>
    <x:row r="250">
      <x:c r="B250" s="21"/>
    </x:row>
    <x:row r="251">
      <x:c r="B251" s="21"/>
    </x:row>
    <x:row r="252">
      <x:c r="B252" s="21"/>
    </x:row>
    <x:row r="253">
      <x:c r="B253" s="21"/>
    </x:row>
    <x:row r="254">
      <x:c r="B254" s="21"/>
    </x:row>
    <x:row r="255">
      <x:c r="B255" s="21"/>
    </x:row>
    <x:row r="256">
      <x:c r="B256" s="21"/>
    </x:row>
    <x:row r="257">
      <x:c r="B257" s="21"/>
    </x:row>
    <x:row r="258">
      <x:c r="B258" s="21"/>
    </x:row>
    <x:row r="259">
      <x:c r="B259" s="21"/>
    </x:row>
    <x:row r="260">
      <x:c r="B260" s="21"/>
    </x:row>
    <x:row r="261">
      <x:c r="B261" s="21"/>
    </x:row>
    <x:row r="262">
      <x:c r="B262" s="21"/>
    </x:row>
    <x:row r="263">
      <x:c r="B263" s="21"/>
    </x:row>
    <x:row r="264">
      <x:c r="B264" s="21"/>
    </x:row>
    <x:row r="265">
      <x:c r="B265" s="21"/>
    </x:row>
    <x:row r="266">
      <x:c r="B266" s="21"/>
    </x:row>
    <x:row r="267">
      <x:c r="B267" s="21"/>
    </x:row>
    <x:row r="268">
      <x:c r="B268" s="21"/>
    </x:row>
    <x:row r="269">
      <x:c r="B269" s="21"/>
    </x:row>
    <x:row r="270">
      <x:c r="B270" s="21"/>
    </x:row>
    <x:row r="271">
      <x:c r="B271" s="21"/>
    </x:row>
    <x:row r="272">
      <x:c r="B272" s="21"/>
    </x:row>
    <x:row r="273">
      <x:c r="B273" s="21"/>
    </x:row>
    <x:row r="274">
      <x:c r="B274" s="21"/>
    </x:row>
    <x:row r="275">
      <x:c r="B275" s="21"/>
    </x:row>
    <x:row r="276">
      <x:c r="B276" s="21"/>
    </x:row>
    <x:row r="277">
      <x:c r="B277" s="21"/>
    </x:row>
    <x:row r="278">
      <x:c r="B278" s="21"/>
    </x:row>
    <x:row r="279">
      <x:c r="B279" s="21"/>
    </x:row>
    <x:row r="280">
      <x:c r="B280" s="21"/>
    </x:row>
    <x:row r="281">
      <x:c r="B281" s="21"/>
    </x:row>
    <x:row r="282">
      <x:c r="B282" s="21"/>
    </x:row>
    <x:row r="283">
      <x:c r="B283" s="21"/>
    </x:row>
    <x:row r="284">
      <x:c r="B284" s="21"/>
    </x:row>
    <x:row r="285">
      <x:c r="B285" s="21"/>
    </x:row>
    <x:row r="286">
      <x:c r="B286" s="21"/>
    </x:row>
    <x:row r="287">
      <x:c r="B287" s="21"/>
    </x:row>
    <x:row r="288">
      <x:c r="B288" s="21"/>
    </x:row>
    <x:row r="289">
      <x:c r="B289" s="21"/>
    </x:row>
    <x:row r="290">
      <x:c r="B290" s="21"/>
    </x:row>
    <x:row r="291">
      <x:c r="B291" s="21"/>
    </x:row>
    <x:row r="292">
      <x:c r="B292" s="21"/>
    </x:row>
    <x:row r="293">
      <x:c r="B293" s="21"/>
    </x:row>
    <x:row r="294">
      <x:c r="B294" s="21"/>
    </x:row>
    <x:row r="295">
      <x:c r="B295" s="21"/>
    </x:row>
    <x:row r="296">
      <x:c r="B296" s="21"/>
    </x:row>
    <x:row r="297">
      <x:c r="B297" s="21"/>
    </x:row>
    <x:row r="298">
      <x:c r="B298" s="21"/>
    </x:row>
    <x:row r="299">
      <x:c r="B299" s="21"/>
    </x:row>
    <x:row r="300">
      <x:c r="B300" s="21"/>
    </x:row>
    <x:row r="301">
      <x:c r="B301" s="21"/>
    </x:row>
    <x:row r="302">
      <x:c r="B302" s="21"/>
    </x:row>
    <x:row r="303">
      <x:c r="B303" s="21"/>
    </x:row>
    <x:row r="304">
      <x:c r="B304" s="21"/>
    </x:row>
    <x:row r="305">
      <x:c r="B305" s="21"/>
    </x:row>
    <x:row r="306">
      <x:c r="B306" s="21"/>
    </x:row>
    <x:row r="307">
      <x:c r="B307" s="21"/>
    </x:row>
    <x:row r="308">
      <x:c r="B308" s="21"/>
    </x:row>
    <x:row r="309">
      <x:c r="B309" s="21"/>
    </x:row>
    <x:row r="310">
      <x:c r="B310" s="21"/>
    </x:row>
    <x:row r="311">
      <x:c r="B311" s="21"/>
    </x:row>
    <x:row r="312">
      <x:c r="B312" s="21"/>
    </x:row>
    <x:row r="313">
      <x:c r="B313" s="21"/>
    </x:row>
    <x:row r="314">
      <x:c r="B314" s="21"/>
    </x:row>
    <x:row r="315">
      <x:c r="B315" s="21"/>
    </x:row>
    <x:row r="316">
      <x:c r="B316" s="21"/>
    </x:row>
    <x:row r="317">
      <x:c r="B317" s="21"/>
    </x:row>
    <x:row r="318">
      <x:c r="B318" s="21"/>
    </x:row>
    <x:row r="319">
      <x:c r="B319" s="21"/>
    </x:row>
    <x:row r="320">
      <x:c r="B320" s="21"/>
    </x:row>
    <x:row r="321">
      <x:c r="B321" s="21"/>
    </x:row>
    <x:row r="322">
      <x:c r="B322" s="21"/>
    </x:row>
    <x:row r="323">
      <x:c r="B323" s="21"/>
    </x:row>
    <x:row r="324">
      <x:c r="B324" s="21"/>
    </x:row>
    <x:row r="325">
      <x:c r="B325" s="21"/>
    </x:row>
    <x:row r="326">
      <x:c r="B326" s="21"/>
    </x:row>
    <x:row r="327">
      <x:c r="B327" s="21"/>
    </x:row>
    <x:row r="328">
      <x:c r="B328" s="21"/>
    </x:row>
    <x:row r="329">
      <x:c r="B329" s="21"/>
    </x:row>
    <x:row r="330">
      <x:c r="B330" s="21"/>
    </x:row>
    <x:row r="331">
      <x:c r="B331" s="21"/>
    </x:row>
    <x:row r="332">
      <x:c r="B332" s="21"/>
    </x:row>
    <x:row r="333">
      <x:c r="B333" s="21"/>
    </x:row>
    <x:row r="334">
      <x:c r="B334" s="21"/>
    </x:row>
    <x:row r="335">
      <x:c r="B335" s="21"/>
    </x:row>
    <x:row r="336">
      <x:c r="B336" s="21"/>
    </x:row>
    <x:row r="337">
      <x:c r="B337" s="21"/>
    </x:row>
    <x:row r="338">
      <x:c r="B338" s="21"/>
    </x:row>
    <x:row r="339">
      <x:c r="B339" s="21"/>
    </x:row>
    <x:row r="340">
      <x:c r="B340" s="21"/>
    </x:row>
    <x:row r="341">
      <x:c r="B341" s="21"/>
    </x:row>
    <x:row r="342">
      <x:c r="B342" s="21"/>
    </x:row>
    <x:row r="343">
      <x:c r="B343" s="21"/>
    </x:row>
    <x:row r="344">
      <x:c r="B344" s="21"/>
    </x:row>
    <x:row r="345">
      <x:c r="B345" s="21"/>
    </x:row>
    <x:row r="346">
      <x:c r="B346" s="21"/>
    </x:row>
    <x:row r="347">
      <x:c r="B347" s="21"/>
    </x:row>
    <x:row r="348">
      <x:c r="B348" s="21"/>
    </x:row>
    <x:row r="349">
      <x:c r="B349" s="21"/>
    </x:row>
    <x:row r="350">
      <x:c r="B350" s="21"/>
    </x:row>
    <x:row r="351">
      <x:c r="B351" s="21"/>
    </x:row>
    <x:row r="352">
      <x:c r="B352" s="21"/>
    </x:row>
    <x:row r="353">
      <x:c r="B353" s="21"/>
    </x:row>
    <x:row r="354">
      <x:c r="B354" s="21"/>
    </x:row>
    <x:row r="355">
      <x:c r="B355" s="21"/>
    </x:row>
    <x:row r="356">
      <x:c r="B356" s="21"/>
    </x:row>
    <x:row r="357">
      <x:c r="B357" s="21"/>
    </x:row>
    <x:row r="358">
      <x:c r="B358" s="21"/>
    </x:row>
    <x:row r="359">
      <x:c r="B359" s="21"/>
    </x:row>
    <x:row r="360">
      <x:c r="B360" s="21"/>
    </x:row>
    <x:row r="361">
      <x:c r="B361" s="21"/>
    </x:row>
    <x:row r="362">
      <x:c r="B362" s="21"/>
    </x:row>
    <x:row r="363">
      <x:c r="B363" s="21"/>
    </x:row>
    <x:row r="364">
      <x:c r="B364" s="21"/>
    </x:row>
    <x:row r="365">
      <x:c r="B365" s="21"/>
    </x:row>
    <x:row r="366">
      <x:c r="B366" s="21"/>
    </x:row>
    <x:row r="367">
      <x:c r="B367" s="21"/>
    </x:row>
    <x:row r="368">
      <x:c r="B368" s="21"/>
    </x:row>
    <x:row r="369">
      <x:c r="B369" s="21"/>
    </x:row>
    <x:row r="370">
      <x:c r="B370" s="21"/>
    </x:row>
    <x:row r="371">
      <x:c r="B371" s="21"/>
    </x:row>
    <x:row r="372">
      <x:c r="B372" s="21"/>
    </x:row>
    <x:row r="373">
      <x:c r="B373" s="21"/>
    </x:row>
    <x:row r="374">
      <x:c r="B374" s="21"/>
    </x:row>
    <x:row r="375">
      <x:c r="B375" s="21"/>
    </x:row>
    <x:row r="376">
      <x:c r="B376" s="21"/>
    </x:row>
    <x:row r="377">
      <x:c r="B377" s="21"/>
    </x:row>
    <x:row r="378">
      <x:c r="B378" s="21"/>
    </x:row>
    <x:row r="379">
      <x:c r="B379" s="21"/>
    </x:row>
    <x:row r="380">
      <x:c r="B380" s="21"/>
    </x:row>
    <x:row r="381">
      <x:c r="B381" s="21"/>
    </x:row>
    <x:row r="382">
      <x:c r="B382" s="21"/>
    </x:row>
    <x:row r="383">
      <x:c r="B383" s="21"/>
    </x:row>
    <x:row r="384">
      <x:c r="B384" s="21"/>
    </x:row>
    <x:row r="385">
      <x:c r="B385" s="21"/>
    </x:row>
    <x:row r="386">
      <x:c r="B386" s="21"/>
    </x:row>
    <x:row r="387">
      <x:c r="B387" s="21"/>
    </x:row>
    <x:row r="388">
      <x:c r="B388" s="21"/>
    </x:row>
    <x:row r="389">
      <x:c r="B389" s="21"/>
    </x:row>
    <x:row r="390">
      <x:c r="B390" s="21"/>
    </x:row>
    <x:row r="391">
      <x:c r="B391" s="21"/>
    </x:row>
    <x:row r="392">
      <x:c r="B392" s="21"/>
    </x:row>
    <x:row r="393">
      <x:c r="B393" s="21"/>
    </x:row>
    <x:row r="394">
      <x:c r="B394" s="21"/>
    </x:row>
    <x:row r="395">
      <x:c r="B395" s="21"/>
    </x:row>
    <x:row r="396">
      <x:c r="B396" s="21"/>
    </x:row>
    <x:row r="397">
      <x:c r="B397" s="21"/>
    </x:row>
    <x:row r="398">
      <x:c r="B398" s="21"/>
    </x:row>
    <x:row r="399">
      <x:c r="B399" s="21"/>
    </x:row>
    <x:row r="400">
      <x:c r="B400" s="21"/>
    </x:row>
    <x:row r="401">
      <x:c r="B401" s="21"/>
    </x:row>
    <x:row r="402">
      <x:c r="B402" s="21"/>
    </x:row>
    <x:row r="403">
      <x:c r="B403" s="21"/>
    </x:row>
    <x:row r="404">
      <x:c r="B404" s="21"/>
    </x:row>
    <x:row r="405">
      <x:c r="B405" s="21"/>
    </x:row>
    <x:row r="406">
      <x:c r="B406" s="21"/>
    </x:row>
    <x:row r="407">
      <x:c r="B407" s="21"/>
    </x:row>
    <x:row r="408">
      <x:c r="B408" s="21"/>
    </x:row>
    <x:row r="409">
      <x:c r="B409" s="21"/>
    </x:row>
    <x:row r="410">
      <x:c r="B410" s="21"/>
    </x:row>
    <x:row r="411">
      <x:c r="B411" s="21"/>
    </x:row>
    <x:row r="412">
      <x:c r="B412" s="21"/>
    </x:row>
    <x:row r="413">
      <x:c r="B413" s="21"/>
    </x:row>
    <x:row r="414">
      <x:c r="B414" s="21"/>
    </x:row>
    <x:row r="415">
      <x:c r="B415" s="21"/>
    </x:row>
    <x:row r="416">
      <x:c r="B416" s="21"/>
    </x:row>
    <x:row r="417">
      <x:c r="B417" s="21"/>
    </x:row>
    <x:row r="418">
      <x:c r="B418" s="21"/>
    </x:row>
    <x:row r="419">
      <x:c r="B419" s="21"/>
    </x:row>
    <x:row r="420">
      <x:c r="B420" s="21"/>
    </x:row>
    <x:row r="421">
      <x:c r="B421" s="21"/>
    </x:row>
    <x:row r="422">
      <x:c r="B422" s="21"/>
    </x:row>
    <x:row r="423">
      <x:c r="B423" s="21"/>
    </x:row>
    <x:row r="424">
      <x:c r="B424" s="21"/>
    </x:row>
    <x:row r="425">
      <x:c r="B425" s="21"/>
    </x:row>
    <x:row r="426">
      <x:c r="B426" s="21"/>
    </x:row>
    <x:row r="427">
      <x:c r="B427" s="21"/>
    </x:row>
    <x:row r="428">
      <x:c r="B428" s="21"/>
    </x:row>
    <x:row r="429">
      <x:c r="B429" s="21"/>
    </x:row>
    <x:row r="430">
      <x:c r="B430" s="21"/>
    </x:row>
    <x:row r="431">
      <x:c r="B431" s="21"/>
    </x:row>
    <x:row r="432">
      <x:c r="B432" s="21"/>
    </x:row>
    <x:row r="433">
      <x:c r="B433" s="21"/>
    </x:row>
    <x:row r="434">
      <x:c r="B434" s="21"/>
    </x:row>
    <x:row r="435">
      <x:c r="B435" s="21"/>
    </x:row>
    <x:row r="436">
      <x:c r="B436" s="21"/>
    </x:row>
    <x:row r="437">
      <x:c r="B437" s="21"/>
    </x:row>
    <x:row r="438">
      <x:c r="B438" s="21"/>
    </x:row>
    <x:row r="439">
      <x:c r="B439" s="21"/>
    </x:row>
    <x:row r="440">
      <x:c r="B440" s="21"/>
    </x:row>
    <x:row r="441">
      <x:c r="B441" s="21"/>
    </x:row>
    <x:row r="442">
      <x:c r="B442" s="21"/>
    </x:row>
    <x:row r="443">
      <x:c r="B443" s="21"/>
    </x:row>
    <x:row r="444">
      <x:c r="B444" s="21"/>
    </x:row>
    <x:row r="445">
      <x:c r="B445" s="21"/>
    </x:row>
    <x:row r="446">
      <x:c r="B446" s="21"/>
    </x:row>
    <x:row r="447">
      <x:c r="B447" s="21"/>
    </x:row>
    <x:row r="448">
      <x:c r="B448" s="21"/>
    </x:row>
    <x:row r="449">
      <x:c r="B449" s="21"/>
    </x:row>
    <x:row r="450">
      <x:c r="B450" s="21"/>
    </x:row>
    <x:row r="451">
      <x:c r="B451" s="21"/>
    </x:row>
    <x:row r="452">
      <x:c r="B452" s="21"/>
    </x:row>
    <x:row r="453">
      <x:c r="B453" s="21"/>
    </x:row>
    <x:row r="454">
      <x:c r="B454" s="21"/>
    </x:row>
    <x:row r="455">
      <x:c r="B455" s="21"/>
    </x:row>
    <x:row r="456">
      <x:c r="B456" s="21"/>
    </x:row>
    <x:row r="457">
      <x:c r="B457" s="21"/>
    </x:row>
    <x:row r="458">
      <x:c r="B458" s="21"/>
    </x:row>
    <x:row r="459">
      <x:c r="B459" s="21"/>
    </x:row>
    <x:row r="460">
      <x:c r="B460" s="21"/>
    </x:row>
    <x:row r="461">
      <x:c r="B461" s="21"/>
    </x:row>
    <x:row r="462">
      <x:c r="B462" s="21"/>
    </x:row>
    <x:row r="463">
      <x:c r="B463" s="21"/>
    </x:row>
    <x:row r="464">
      <x:c r="B464" s="21"/>
    </x:row>
    <x:row r="465">
      <x:c r="B465" s="21"/>
    </x:row>
    <x:row r="466">
      <x:c r="B466" s="21"/>
    </x:row>
    <x:row r="467">
      <x:c r="B467" s="21"/>
    </x:row>
    <x:row r="468">
      <x:c r="B468" s="21"/>
    </x:row>
    <x:row r="469">
      <x:c r="B469" s="21"/>
    </x:row>
    <x:row r="470">
      <x:c r="B470" s="21"/>
    </x:row>
    <x:row r="471">
      <x:c r="B471" s="21"/>
    </x:row>
    <x:row r="472">
      <x:c r="B472" s="21"/>
    </x:row>
    <x:row r="473">
      <x:c r="B473" s="21"/>
    </x:row>
    <x:row r="474">
      <x:c r="B474" s="21"/>
    </x:row>
    <x:row r="475">
      <x:c r="B475" s="21"/>
    </x:row>
    <x:row r="476">
      <x:c r="B476" s="21"/>
    </x:row>
    <x:row r="477">
      <x:c r="B477" s="21"/>
    </x:row>
    <x:row r="478">
      <x:c r="B478" s="21"/>
    </x:row>
    <x:row r="479">
      <x:c r="B479" s="21"/>
    </x:row>
    <x:row r="480">
      <x:c r="B480" s="21"/>
    </x:row>
    <x:row r="481">
      <x:c r="B481" s="21"/>
    </x:row>
    <x:row r="482">
      <x:c r="B482" s="21"/>
    </x:row>
    <x:row r="483">
      <x:c r="B483" s="21"/>
    </x:row>
    <x:row r="484">
      <x:c r="B484" s="21"/>
    </x:row>
    <x:row r="485">
      <x:c r="B485" s="21"/>
    </x:row>
    <x:row r="486">
      <x:c r="B486" s="21"/>
    </x:row>
    <x:row r="487">
      <x:c r="B487" s="21"/>
    </x:row>
    <x:row r="488">
      <x:c r="B488" s="21"/>
    </x:row>
    <x:row r="489">
      <x:c r="B489" s="21"/>
    </x:row>
    <x:row r="490">
      <x:c r="B490" s="21"/>
    </x:row>
    <x:row r="491">
      <x:c r="B491" s="21"/>
    </x:row>
    <x:row r="492">
      <x:c r="B492" s="21"/>
    </x:row>
    <x:row r="493">
      <x:c r="B493" s="21"/>
    </x:row>
    <x:row r="494">
      <x:c r="B494" s="21"/>
    </x:row>
    <x:row r="495">
      <x:c r="B495" s="21"/>
    </x:row>
    <x:row r="496">
      <x:c r="B496" s="21"/>
    </x:row>
    <x:row r="497">
      <x:c r="B497" s="21"/>
    </x:row>
    <x:row r="498">
      <x:c r="B498" s="21"/>
    </x:row>
    <x:row r="499">
      <x:c r="B499" s="21"/>
    </x:row>
    <x:row r="500">
      <x:c r="B500" s="21"/>
    </x:row>
    <x:row r="501">
      <x:c r="B501" s="21"/>
    </x:row>
    <x:row r="502">
      <x:c r="B502" s="21"/>
    </x:row>
    <x:row r="503">
      <x:c r="B503" s="21"/>
    </x:row>
    <x:row r="504">
      <x:c r="B504" s="21"/>
    </x:row>
    <x:row r="505">
      <x:c r="B505" s="21"/>
    </x:row>
  </x:sheetData>
  <x:mergeCells>
    <x:mergeCell ref="A2:J2"/>
  </x:mergeCells>
  <x:pageMargins left="0.7" right="0.7" top="0.75" bottom="0.75" header="0.3" footer="0.3"/>
  <x:tableParts count="1">
    <x:tablePart xmlns:r="http://schemas.openxmlformats.org/officeDocument/2006/relationships" r:id="R2d416651e0a14cf1"/>
  </x:tableParts>
</x:worksheet>
</file>