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8df0db8e4984c66" /></Relationships>
</file>

<file path=xl/workbook.xml><?xml version="1.0" encoding="utf-8"?>
<x:workbook xmlns:x="http://schemas.openxmlformats.org/spreadsheetml/2006/main">
  <x:sheets>
    <x:sheet xmlns:r="http://schemas.openxmlformats.org/officeDocument/2006/relationships" name="Summary" sheetId="1" r:id="Rdc034e8230524cca"/>
    <x:sheet xmlns:r="http://schemas.openxmlformats.org/officeDocument/2006/relationships" name="Thesis Ledger" sheetId="2" r:id="R4e2fbd32b7c24358"/>
    <x:sheet xmlns:r="http://schemas.openxmlformats.org/officeDocument/2006/relationships" name="Evidence Log" sheetId="3" r:id="Rd7c8279320984e82"/>
    <x:sheet xmlns:r="http://schemas.openxmlformats.org/officeDocument/2006/relationships" name="Source Registry" sheetId="4" r:id="R5bb92fb4591e472b"/>
    <x:sheet xmlns:r="http://schemas.openxmlformats.org/officeDocument/2006/relationships" name="Paper Trades" sheetId="5" r:id="Rb3c1577b27f243c2"/>
    <x:sheet xmlns:r="http://schemas.openxmlformats.org/officeDocument/2006/relationships" name="Scan Runs" sheetId="6" r:id="R1e8fe34ace3b41f7"/>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6">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917b9d22d70415a" /><Relationship Type="http://schemas.openxmlformats.org/officeDocument/2006/relationships/theme" Target="/xl/theme/theme1.xml" Id="R2f0db56d5fb64eb0" /><Relationship Type="http://schemas.openxmlformats.org/officeDocument/2006/relationships/sharedStrings" Target="/xl/sharedStrings.xml" Id="R7a8f62a3b4774a8b" /><Relationship Type="http://schemas.openxmlformats.org/officeDocument/2006/relationships/worksheet" Target="/xl/worksheets/sheet1.xml" Id="Rdc034e8230524cca" /><Relationship Type="http://schemas.openxmlformats.org/officeDocument/2006/relationships/worksheet" Target="/xl/worksheets/sheet2.xml" Id="R4e2fbd32b7c24358" /><Relationship Type="http://schemas.openxmlformats.org/officeDocument/2006/relationships/worksheet" Target="/xl/worksheets/sheet3.xml" Id="Rd7c8279320984e82" /><Relationship Type="http://schemas.openxmlformats.org/officeDocument/2006/relationships/worksheet" Target="/xl/worksheets/sheet4.xml" Id="R5bb92fb4591e472b" /><Relationship Type="http://schemas.openxmlformats.org/officeDocument/2006/relationships/worksheet" Target="/xl/worksheets/sheet5.xml" Id="Rb3c1577b27f243c2" /><Relationship Type="http://schemas.openxmlformats.org/officeDocument/2006/relationships/worksheet" Target="/xl/worksheets/sheet6.xml" Id="R1e8fe34ace3b41f7"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c8697fe45674552" /></Relationships>
</file>

<file path=xl/worksheets/_rels/sheet3.xml.rels>&#65279;<?xml version="1.0" encoding="utf-8"?><Relationships xmlns="http://schemas.openxmlformats.org/package/2006/relationships"><Relationship Type="http://schemas.openxmlformats.org/officeDocument/2006/relationships/table" Target="/xl/tables/table2.xml" Id="Rcb31c4ec5ec14caa" /></Relationships>
</file>

<file path=xl/worksheets/_rels/sheet4.xml.rels>&#65279;<?xml version="1.0" encoding="utf-8"?><Relationships xmlns="http://schemas.openxmlformats.org/package/2006/relationships"><Relationship Type="http://schemas.openxmlformats.org/officeDocument/2006/relationships/table" Target="/xl/tables/table3.xml" Id="R2658afc751e94114" /></Relationships>
</file>

<file path=xl/worksheets/_rels/sheet5.xml.rels>&#65279;<?xml version="1.0" encoding="utf-8"?><Relationships xmlns="http://schemas.openxmlformats.org/package/2006/relationships"><Relationship Type="http://schemas.openxmlformats.org/officeDocument/2006/relationships/table" Target="/xl/tables/table4.xml" Id="Rbba313a57f754f60" /></Relationships>
</file>

<file path=xl/worksheets/_rels/sheet6.xml.rels>&#65279;<?xml version="1.0" encoding="utf-8"?><Relationships xmlns="http://schemas.openxmlformats.org/package/2006/relationships"><Relationship Type="http://schemas.openxmlformats.org/officeDocument/2006/relationships/table" Target="/xl/tables/table5.xml" Id="R380e1fad7f564cb8"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10</x:v>
      </x:c>
      <x:c r="C6" s="1"/>
      <x:c r="D6" s="1"/>
      <x:c r="E6" s="1"/>
      <x:c r="F6" s="1"/>
      <x:c r="G6" s="1"/>
      <x:c r="H6" s="1"/>
      <x:c r="I6" s="1"/>
      <x:c r="J6" s="1"/>
    </x:row>
    <x:row r="7">
      <x:c r="A7" s="1" t="str">
        <x:v>Open theses</x:v>
      </x:c>
      <x:c r="B7" s="40" t="n">
        <x:f>COUNTIFS('Thesis Ledger'!A6:A200,"&lt;&gt;",'Thesis Ledger'!F6:F200,"&lt;&gt;Closed",'Thesis Ledger'!F6:F200,"&lt;&gt;Invalidated")</x:f>
        <x:v>8</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Congressional control remains unsettled. September 18 reporting on a major advertising escalation in a competitive Ohio Senate race confirms that the contest is active and consequential, but it does not establish Senate control or a specific investable policy outcome.</x:v>
      </x:c>
      <x:c r="O8" s="29" t="str">
        <x:v>Expected changes in fiscal, regulatory and sector policy could alter risk appetite and relative performance.</x:v>
      </x:c>
      <x:c r="P8" s="29" t="str">
        <x:v>The September 17 post-Fed session supplied the strongest breadth confirmation of the review, and FactSet's earnings work continues to show rising aggregate Q3 and full-year 2026 S&amp;P 500 estimates. Weekly fund-flow data also showed $568 million of small-cap inflows despite broad U.S. equity redemptions.</x:v>
      </x:c>
      <x:c r="Q8" s="29" t="str">
        <x:v>Friday failed to extend Thursday's broadening. Reuters reported negative NYSE and Nasdaq breadth, materials down about 1.4% and the 10-year Treasury yield near 5%. At about 10:50 a.m. ET, RSP lagged SPY, while IWM and XBI fell more sharply; U.S. equity funds also recorded a fourth weekly outflow. The move is not election-specific, and congressional control remains unresolved.</x:v>
      </x:c>
      <x:c r="R8" s="29"/>
      <x:c r="S8" s="29" t="str">
        <x:v>At about 10:50 a.m. ET on September 18, SPY was down 0.41%, RSP 0.46%, IWM 0.76%, XLI 0.09%, XLB 1.33%, XLV 0.41%, XBI 0.72% and XLF 0.28%; CPER was up 0.68%. Reuters reported decliners ahead on both major exchanges, materials leading sector losses and the 10-year yield near 5%. This reverses much of Thursday's breadth improvement and leaves no durable market confirmation.</x:v>
      </x:c>
      <x:c r="T8" s="29" t="str">
        <x:v>RSP versus SPY remains the core breadth test. XLI is the most resilient conditional cyclical watch today, but needs sustained relative strength. CPER is positive while XLB is weak, a divergence that argues against chasing a broad materials expression. IWM and XBI failed to follow through; XLF and XLV remain unconfirmed. SPY remains conditional on sustained participation rather than technology-only leadership.</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September 18 reversed much of the prior session's breadth improvement: exchange breadth was negative, equal weight still lagged, and small caps and biotech failed to follow through as the 10-year yield approached 5%. The election trigger remains unresolved and the market move is not election-specific. Classification remains Developing; confidence stays 3/5 and trading edge 1/5. Entry Window remains WAIT and inactive until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Disrupted Middle East and Russian product flows, low European inventories and constrained Hormuz traffic remain the core physical support. ExxonMobil's 275,000-bpd Joliet refinery remained offline after flooding and a power outage. On September 18, Saudi Aramco also halted October term crude deliveries to at least two European refiners after the East-West pipeline attack, forcing replacement-barrel searches and adding feedstock uncertainty to an already tight refined-products market.</x:v>
      </x:c>
      <x:c r="Q14" s="29" t="str">
        <x:v>Crude-supply adaptation through Saudi rerouting and expected pipeline repair could normalize feedstock availability. Aramco plans to restore roughly 1.0-1.5 million bpd of Gulf exports through ship-to-ship transfers near Oman, while Chinese refined-product exports rose 12.7% year over year in August. France also called for a G7 energy meeting that may consider additional strategic-reserve releases or restriction relief. Demand destruction, subsidies, policy intervention, exports and refinery restarts can compress cracks quickly.</x:v>
      </x:c>
      <x:c r="R14" s="29"/>
      <x:c r="S14" s="29" t="str">
        <x:v>Strong cross-market confirmation remained in place through Friday: record diesel and gasoil futures, record Asian cracks, very low European inventories, refinery outages and regional export rationing all point to a product-specific shortage even as crude eased. Weekend delivery-cancellation and policy headlines have not yet received a new market session.</x:v>
      </x:c>
      <x:c r="T14" s="29" t="str">
        <x:v>Conditional only after an orderly consolidation or retracement while physical shortages and crack spreads remain elevated. CRAK is the diversified refining expression; VLO, MPC and PSX add company-specific execution and valuation risk. Direct diesel/gasoil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September 19 strengthened the physical mechanism but not the entry: Aramco halted October term deliveries to at least two European refiners after the East-West pipeline attack, while North Sea replacement sourcing underscored feedstock scarcity. Countervailing evidence also strengthened because a planned G7 energy meeting may consider reserve releases or restriction relief. The thesis remains Actionable at confidence 5/5, trading edge 1/5 and Entry Window WAIT. No weekend market session has confirmed a better reward-to-invalidation setup.</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4c8697fe45674552"/>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C129" s="21"/>
      <x:c r="G129" s="44"/>
      <x:c r="H129" s="44"/>
      <x:c r="I129" s="44"/>
      <x:c r="J129" s="44"/>
      <x:c r="K129" s="44"/>
    </x:row>
    <x:row r="130">
      <x:c r="C130" s="21"/>
      <x:c r="G130" s="44"/>
      <x:c r="H130" s="44"/>
      <x:c r="I130" s="44"/>
      <x:c r="J130" s="44"/>
      <x:c r="K130" s="44"/>
    </x:row>
    <x:row r="131">
      <x:c r="C131" s="21"/>
      <x:c r="G131" s="44"/>
      <x:c r="H131" s="44"/>
      <x:c r="I131" s="44"/>
      <x:c r="J131" s="44"/>
      <x:c r="K131" s="44"/>
    </x:row>
    <x:row r="132">
      <x:c r="C132" s="21"/>
      <x:c r="G132" s="44"/>
      <x:c r="H132" s="44"/>
      <x:c r="I132" s="44"/>
      <x:c r="J132" s="44"/>
      <x:c r="K132" s="44"/>
    </x:row>
    <x:row r="133">
      <x:c r="C133" s="21"/>
      <x:c r="G133" s="44"/>
      <x:c r="H133" s="44"/>
      <x:c r="I133" s="44"/>
      <x:c r="J133" s="44"/>
      <x:c r="K133" s="44"/>
    </x:row>
    <x:row r="134">
      <x:c r="C134" s="21"/>
      <x:c r="G134" s="44"/>
      <x:c r="H134" s="44"/>
      <x:c r="I134" s="44"/>
      <x:c r="J134" s="44"/>
      <x:c r="K134" s="44"/>
    </x:row>
    <x:row r="135">
      <x:c r="C135" s="21"/>
      <x:c r="G135" s="44"/>
      <x:c r="H135" s="44"/>
      <x:c r="I135" s="44"/>
      <x:c r="J135" s="44"/>
      <x:c r="K135" s="44"/>
    </x:row>
    <x:row r="136">
      <x:c r="C136" s="21"/>
      <x:c r="G136" s="44"/>
      <x:c r="H136" s="44"/>
      <x:c r="I136" s="44"/>
      <x:c r="J136" s="44"/>
      <x:c r="K136" s="44"/>
    </x:row>
    <x:row r="137">
      <x:c r="C137" s="21"/>
      <x:c r="G137" s="44"/>
      <x:c r="H137" s="44"/>
      <x:c r="I137" s="44"/>
      <x:c r="J137" s="44"/>
      <x:c r="K137" s="44"/>
    </x:row>
    <x:row r="138">
      <x:c r="C138" s="21"/>
      <x:c r="G138" s="44"/>
      <x:c r="H138" s="44"/>
      <x:c r="I138" s="44"/>
      <x:c r="J138" s="44"/>
      <x:c r="K138" s="44"/>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cb31c4ec5ec14caa"/>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2658afc751e94114"/>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60.55</x:v>
      </x:c>
      <x:c r="K6" s="46" t="n">
        <x:f>I6*J6</x:f>
        <x:v>1058.381401852823</x:v>
      </x:c>
      <x:c r="L6" s="46" t="n">
        <x:f>K6-H6</x:f>
        <x:v>58.381401852823046</x:v>
      </x:c>
      <x:c r="M6" s="48" t="n">
        <x:f>L6/H6</x:f>
        <x:v>0.05838140185282305</x:v>
      </x:c>
      <x:c r="N6" s="30"/>
      <x:c r="O6" s="32"/>
      <x:c r="P6" s="32" t="str">
        <x:f>IF(OR(I6="",O6=""),"",I6*O6)</x:f>
      </x:c>
      <x:c r="Q6" s="32" t="str">
        <x:f>IF(P6="","",P6-H6)</x:f>
      </x:c>
      <x:c r="R6" s="29" t="str">
        <x:v>09/18/26 close: $60.55; position value $1,058.38; +$58.38 (+5.84%). BNO remained the cleanest Brent-linked expression and finished the evaluation horizon profitably. It declined 0.59% today as China pressed Iran to curb Houthi attacks and Saudi Arabia pursued partial pipeline restoration, while Hormuz traffic remained severely restricted.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153.87</x:v>
      </x:c>
      <x:c r="K7" s="46" t="n">
        <x:f>I7*J7</x:f>
        <x:v>1064.1078838174274</x:v>
      </x:c>
      <x:c r="L7" s="46" t="n">
        <x:f>K7-H7</x:f>
        <x:v>64.10788381742736</x:v>
      </x:c>
      <x:c r="M7" s="48" t="n">
        <x:f>L7/H7</x:f>
        <x:v>0.06410788381742737</x:v>
      </x:c>
      <x:c r="N7" s="30"/>
      <x:c r="O7" s="32"/>
      <x:c r="P7" s="32" t="str">
        <x:f>IF(OR(I7="",O7=""),"",I7*O7)</x:f>
      </x:c>
      <x:c r="Q7" s="32" t="str">
        <x:f>IF(P7="","",P7-H7)</x:f>
      </x:c>
      <x:c r="R7" s="29" t="str">
        <x:v>09/18/26 close: $153.87; position value $1,064.11; +$64.11 (+6.41%). USO confirmed the predicted crude-price direction over the evaluation horizon. It declined 0.93% today as repair and diplomatic developments reduced part of the immediate scarcity premium.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190.65</x:v>
      </x:c>
      <x:c r="K8" s="46" t="n">
        <x:f>I8*J8</x:f>
        <x:v>983.5431283532811</x:v>
      </x:c>
      <x:c r="L8" s="46" t="n">
        <x:f>K8-H8</x:f>
        <x:v>-16.456871646718923</x:v>
      </x:c>
      <x:c r="M8" s="48" t="n">
        <x:f>L8/H8</x:f>
        <x:v>-0.016456871646718923</x:v>
      </x:c>
      <x:c r="N8" s="30"/>
      <x:c r="O8" s="32"/>
      <x:c r="P8" s="32" t="str">
        <x:f>IF(OR(I8="",O8=""),"",I8*O8)</x:f>
      </x:c>
      <x:c r="Q8" s="32" t="str">
        <x:f>IF(P8="","",P8-H8)</x:f>
      </x:c>
      <x:c r="R8" s="29" t="str">
        <x:v>09/18/26 close: $190.65; position value $983.54; -$16.46 (-1.65%). XOP failed to confirm the thesis as an indirect producer-equity expression and materially trailed BNO and USO, reinforcing the clean-expression rule.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bba313a57f754f60"/>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x:c r="B23" s="28"/>
      <x:c r="C23" s="27"/>
      <x:c r="D23" s="29"/>
      <x:c r="E23" s="29"/>
      <x:c r="F23" s="29"/>
      <x:c r="G23" s="29"/>
      <x:c r="H23" s="29"/>
      <x:c r="I23" s="29"/>
      <x:c r="J23" s="29"/>
    </x:row>
    <x:row r="24">
      <x:c r="A24" s="27"/>
      <x:c r="B24" s="28"/>
      <x:c r="C24" s="27"/>
      <x:c r="D24" s="29"/>
      <x:c r="E24" s="29"/>
      <x:c r="F24" s="29"/>
      <x:c r="G24" s="29"/>
      <x:c r="H24" s="29"/>
      <x:c r="I24" s="29"/>
      <x:c r="J24" s="29"/>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380e1fad7f564cb8"/>
  </x:tableParts>
</x:worksheet>
</file>