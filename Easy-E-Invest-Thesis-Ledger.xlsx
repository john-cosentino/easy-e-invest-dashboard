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51ff8075c2746ea" /></Relationships>
</file>

<file path=xl/workbook.xml><?xml version="1.0" encoding="utf-8"?>
<x:workbook xmlns:x="http://schemas.openxmlformats.org/spreadsheetml/2006/main">
  <x:sheets>
    <x:sheet xmlns:r="http://schemas.openxmlformats.org/officeDocument/2006/relationships" name="Summary" sheetId="1" r:id="R7a44e788c597411e"/>
    <x:sheet xmlns:r="http://schemas.openxmlformats.org/officeDocument/2006/relationships" name="Thesis Ledger" sheetId="2" r:id="Rb000f14f60124206"/>
    <x:sheet xmlns:r="http://schemas.openxmlformats.org/officeDocument/2006/relationships" name="Evidence Log" sheetId="3" r:id="Rbddb765a2b9c41ef"/>
    <x:sheet xmlns:r="http://schemas.openxmlformats.org/officeDocument/2006/relationships" name="Source Registry" sheetId="4" r:id="Re36b7eebd62f4bde"/>
    <x:sheet xmlns:r="http://schemas.openxmlformats.org/officeDocument/2006/relationships" name="Paper Trades" sheetId="5" r:id="R6c6372ffc6294c18"/>
    <x:sheet xmlns:r="http://schemas.openxmlformats.org/officeDocument/2006/relationships" name="Scan Runs" sheetId="6" r:id="R7dcc57e8ae0b4456"/>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2">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683cb10a7494b93" /><Relationship Type="http://schemas.openxmlformats.org/officeDocument/2006/relationships/theme" Target="/xl/theme/theme1.xml" Id="Re6031ce09b9f419e" /><Relationship Type="http://schemas.openxmlformats.org/officeDocument/2006/relationships/sharedStrings" Target="/xl/sharedStrings.xml" Id="R90bbdd3efd8a4194" /><Relationship Type="http://schemas.openxmlformats.org/officeDocument/2006/relationships/worksheet" Target="/xl/worksheets/sheet1.xml" Id="R7a44e788c597411e" /><Relationship Type="http://schemas.openxmlformats.org/officeDocument/2006/relationships/worksheet" Target="/xl/worksheets/sheet2.xml" Id="Rb000f14f60124206" /><Relationship Type="http://schemas.openxmlformats.org/officeDocument/2006/relationships/worksheet" Target="/xl/worksheets/sheet3.xml" Id="Rbddb765a2b9c41ef" /><Relationship Type="http://schemas.openxmlformats.org/officeDocument/2006/relationships/worksheet" Target="/xl/worksheets/sheet4.xml" Id="Re36b7eebd62f4bde" /><Relationship Type="http://schemas.openxmlformats.org/officeDocument/2006/relationships/worksheet" Target="/xl/worksheets/sheet5.xml" Id="R6c6372ffc6294c18" /><Relationship Type="http://schemas.openxmlformats.org/officeDocument/2006/relationships/worksheet" Target="/xl/worksheets/sheet6.xml" Id="R7dcc57e8ae0b4456"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ef9fcf85db1427a" /></Relationships>
</file>

<file path=xl/worksheets/_rels/sheet3.xml.rels>&#65279;<?xml version="1.0" encoding="utf-8"?><Relationships xmlns="http://schemas.openxmlformats.org/package/2006/relationships"><Relationship Type="http://schemas.openxmlformats.org/officeDocument/2006/relationships/table" Target="/xl/tables/table2.xml" Id="R86bd0cff397c4be9" /></Relationships>
</file>

<file path=xl/worksheets/_rels/sheet4.xml.rels>&#65279;<?xml version="1.0" encoding="utf-8"?><Relationships xmlns="http://schemas.openxmlformats.org/package/2006/relationships"><Relationship Type="http://schemas.openxmlformats.org/officeDocument/2006/relationships/table" Target="/xl/tables/table3.xml" Id="R1d83771c37eb4a60" /></Relationships>
</file>

<file path=xl/worksheets/_rels/sheet5.xml.rels>&#65279;<?xml version="1.0" encoding="utf-8"?><Relationships xmlns="http://schemas.openxmlformats.org/package/2006/relationships"><Relationship Type="http://schemas.openxmlformats.org/officeDocument/2006/relationships/table" Target="/xl/tables/table4.xml" Id="Rcb8868452d0e4562" /></Relationships>
</file>

<file path=xl/worksheets/_rels/sheet6.xml.rels>&#65279;<?xml version="1.0" encoding="utf-8"?><Relationships xmlns="http://schemas.openxmlformats.org/package/2006/relationships"><Relationship Type="http://schemas.openxmlformats.org/officeDocument/2006/relationships/table" Target="/xl/tables/table5.xml" Id="R1ff1bd1110d54f11"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Ledger'!$A$6:$A$205)</x:f>
        <x:v>8</x:v>
      </x:c>
      <x:c r="C6" s="1"/>
      <x:c r="D6" s="1"/>
      <x:c r="E6" s="1"/>
      <x:c r="F6" s="1"/>
      <x:c r="G6" s="1"/>
      <x:c r="H6" s="1"/>
      <x:c r="I6" s="1"/>
      <x:c r="J6" s="1"/>
    </x:row>
    <x:row r="7">
      <x:c r="A7" s="1" t="str">
        <x:v>Open theses</x:v>
      </x:c>
      <x:c r="B7" s="40" t="n">
        <x:f>COUNTIFS('Thesis Ledger'!$F$6:$F$205,"&lt;&gt;Closed",'Thesis Ledger'!$F$6:$F$205,"&lt;&gt;Invalidated",'Thesis Ledger'!$A$6:$A$205,"&lt;&gt;")</x:f>
        <x:v>8</x:v>
      </x:c>
      <x:c r="C7" s="1"/>
      <x:c r="D7" s="1"/>
      <x:c r="E7" s="1"/>
      <x:c r="F7" s="1"/>
      <x:c r="G7" s="1"/>
      <x:c r="H7" s="1"/>
      <x:c r="I7" s="1"/>
      <x:c r="J7" s="1"/>
    </x:row>
    <x:row r="8">
      <x:c r="A8" s="1" t="str">
        <x:v>Evaluated theses</x:v>
      </x:c>
      <x:c r="B8" s="40" t="n">
        <x:f>COUNT('Thesis Ledger'!$AD$6:$AD$205)</x:f>
        <x:v>0</x:v>
      </x:c>
      <x:c r="C8" s="1"/>
      <x:c r="D8" s="1"/>
      <x:c r="E8" s="1"/>
      <x:c r="F8" s="1"/>
      <x:c r="G8" s="1"/>
      <x:c r="H8" s="1"/>
      <x:c r="I8" s="1"/>
      <x:c r="J8" s="1"/>
    </x:row>
    <x:row r="9">
      <x:c r="A9" s="1" t="str">
        <x:v>Average prediction score</x:v>
      </x:c>
      <x:c r="B9" s="41" t="str">
        <x:f>IFERROR(AVERAGE('Thesis Ledger'!$AD$6:$AD$205),"")</x:f>
      </x:c>
      <x:c r="C9" s="1"/>
      <x:c r="D9" s="1"/>
      <x:c r="E9" s="1"/>
      <x:c r="F9" s="1"/>
      <x:c r="G9" s="1"/>
      <x:c r="H9" s="1"/>
      <x:c r="I9" s="1"/>
      <x:c r="J9" s="1"/>
    </x:row>
    <x:row r="10">
      <x:c r="A10" s="35" t="str">
        <x:v>Preferred entry theses</x:v>
      </x:c>
      <x:c r="B10" s="42" t="n">
        <x:f>COUNTIF('Thesis Ledger'!$M$6:$M$205,"PREFERRED")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Actionable</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46283</x:v>
      </x:c>
    </x:row>
    <x:row r="14">
      <x:c r="A14" s="1" t="str">
        <x:f>'Thesis Ledger'!A7</x:f>
        <x:v>EEI-2026-002</x:v>
      </x:c>
      <x:c r="B14" s="1" t="str">
        <x:f>'Thesis Ledger'!B7</x:f>
        <x:v>Gas disruption and coal substitution</x:v>
      </x:c>
      <x:c r="C14" s="1" t="str">
        <x:f>'Thesis Ledger'!C7</x:f>
        <x:v>Energy and materials</x:v>
      </x:c>
      <x:c r="D14" s="1" t="str">
        <x:f>'Thesis Ledger'!F7</x:f>
        <x:v>Developing</x:v>
      </x:c>
      <x:c r="E14" s="1" t="n">
        <x:f>'Thesis Ledger'!K7</x:f>
        <x:v>3</x:v>
      </x:c>
      <x:c r="F14" s="1" t="n">
        <x:f>'Thesis Ledger'!L7</x:f>
        <x:v>3</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Developing</x:v>
      </x:c>
      <x:c r="E15" s="1" t="n">
        <x:f>'Thesis Ledger'!K8</x:f>
        <x:v>3</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Actionable</x:v>
      </x:c>
      <x:c r="E16" s="1" t="n">
        <x:f>'Thesis Ledger'!K9</x:f>
        <x:v>4</x:v>
      </x:c>
      <x:c r="F16" s="1" t="n">
        <x:f>'Thesis Ledger'!L9</x:f>
        <x:v>2</x:v>
      </x:c>
      <x:c r="G16" s="1" t="str">
        <x:f>'Thesis Ledger'!M9</x:f>
        <x:v>WAIT</x:v>
      </x:c>
      <x:c r="H16" s="1" t="n">
        <x:f>'Thesis Ledger'!D9</x:f>
        <x:v>46276.51043981482</x:v>
      </x:c>
      <x:c r="I16" s="1" t="str">
        <x:f>'Thesis Ledger'!H9</x:f>
        <x:v>U.S. producer inflation, Fed policy expectations and long-term Treasury yields</x:v>
      </x:c>
      <x:c r="J16" s="1" t="n">
        <x:f>'Thesis Ledger'!W9</x:f>
        <x:v>46283.5</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Actionable</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Reuters reported on September 15 that Brent traded above $107 while Saudi Arabia's East-West pipeline remained out of service and attacks continued. Earlier physical-market premiums and constrained Hormuz flows remain supportive.</x:v>
      </x:c>
      <x:c r="Q6" s="29" t="str">
        <x:v>Saudi Civil Defence said the immediate danger had passed in six cities including Yanbu. Negotiations and any rapid pipeline restoration remain the strongest reversal risks.</x:v>
      </x:c>
      <x:c r="R6" s="29" t="str">
        <x:v>Mr Global remains an enhancer only; no new independently logged enhancer changed the thesis.</x:v>
      </x:c>
      <x:c r="S6" s="29" t="str">
        <x:v>Brent remained above $107 on September 15 and Gulf equities weakened, confirming event sensitivity. The large prior rally and repeated headline gaps leave little unpriced edge.</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t="n">
        <x:v>46283</x:v>
      </x:c>
      <x:c r="X6" s="43"/>
      <x:c r="Y6" s="29"/>
      <x:c r="Z6" s="29"/>
      <x:c r="AA6" s="29"/>
      <x:c r="AB6" s="29"/>
      <x:c r="AC6" s="29"/>
      <x:c r="AD6" s="29" t="str">
        <x:v>Open. September 15 evidence kept the physical thesis intact and confidence at 5/5, but the large prior oil move, headline gaps and mixed de-escalation evidence keep trading edge at 1/5 and Entry Window WAIT. Formal outcome evaluation remains due September 18.</x:v>
      </x:c>
      <x:c r="AE6" s="31" t="str">
        <x:f>IF(COUNTA(Y6:AC6)=0,"",COUNTIF(Y6:AC6,"Yes")/COUNTA(Y6:AC6))</x:f>
      </x:c>
    </x:row>
    <x:row r="7">
      <x:c r="A7" s="27" t="str">
        <x:v>EEI-2026-002</x:v>
      </x:c>
      <x:c r="B7" s="27" t="str">
        <x:v>Gas disruption and coal substitution</x:v>
      </x:c>
      <x:c r="C7" s="27" t="str">
        <x:v>Energy and materials</x:v>
      </x:c>
      <x:c r="D7" s="30" t="n">
        <x:v>46275</x:v>
      </x:c>
      <x:c r="E7" s="30" t="n">
        <x:v>46275.5</x:v>
      </x:c>
      <x:c r="F7" s="27" t="str">
        <x:v>Developing</x:v>
      </x:c>
      <x:c r="G7" s="27" t="str">
        <x:v>Supply chain</x:v>
      </x:c>
      <x:c r="H7" s="27" t="str">
        <x:v>Coal demand from fuel switching</x:v>
      </x:c>
      <x:c r="I7" s="27" t="str">
        <x:v>Up</x:v>
      </x:c>
      <x:c r="J7" s="27" t="str">
        <x:v>Weeks to months</x:v>
      </x:c>
      <x:c r="K7" s="27" t="n">
        <x:v>3</x:v>
      </x:c>
      <x:c r="L7" s="27" t="n">
        <x:v>3</x:v>
      </x:c>
      <x:c r="M7" s="27" t="str">
        <x:v>WAIT</x:v>
      </x:c>
      <x:c r="N7" s="29" t="str">
        <x:v>Gas and LNG disruption may cause utilities or industrial users to substitute coal.</x:v>
      </x:c>
      <x:c r="O7" s="29" t="str">
        <x:v>Constrained gas availability and higher gas prices improve the relative economics of coal where switching is feasible.</x:v>
      </x:c>
      <x:c r="P7" s="29" t="str">
        <x:v>IEA demand revisions and gas or LNG disruption evidence.</x:v>
      </x:c>
      <x:c r="Q7" s="29" t="str">
        <x:v>De-escalation, restored gas supply, emissions restrictions, limited switching capacity, or coal already repriced.</x:v>
      </x:c>
      <x:c r="R7" s="29" t="str"/>
      <x:c r="S7" s="29" t="str">
        <x:v>Needs continuing coal-price, producer and utility-demand confirmation.</x:v>
      </x:c>
      <x:c r="T7" s="29" t="str">
        <x:v>Direct coal exposure where available; coal producers after mapping review</x:v>
      </x:c>
      <x:c r="U7" s="29" t="str">
        <x:v>Gas normalization or demand data failing to show substitution.</x:v>
      </x:c>
      <x:c r="V7" s="43" t="n">
        <x:v>46275</x:v>
      </x:c>
      <x:c r="W7" s="43" t="n">
        <x:v>46296</x:v>
      </x:c>
      <x:c r="X7" s="43"/>
      <x:c r="Y7" s="29"/>
      <x:c r="Z7" s="29"/>
      <x:c r="AA7" s="29"/>
      <x:c r="AB7" s="29"/>
      <x:c r="AC7" s="29"/>
      <x:c r="AD7" s="29" t="str">
        <x:v>Second-order thesis; instrument mapping remains incomplete.</x:v>
      </x:c>
      <x:c r="AE7" s="31" t="str">
        <x:f>IF(COUNTA(Y7:AC7)=0,"",COUNTIF(Y7:AC7,"Yes")/COUNTA(Y7:AC7))</x:f>
      </x:c>
    </x:row>
    <x:row r="8">
      <x:c r="A8" s="27" t="str">
        <x:v>EEI-2026-003</x:v>
      </x:c>
      <x:c r="B8" s="27" t="str">
        <x:v>2026 midterm political shift</x:v>
      </x:c>
      <x:c r="C8" s="27" t="str">
        <x:v>Multi-sector</x:v>
      </x:c>
      <x:c r="D8" s="30" t="n">
        <x:v>46274</x:v>
      </x:c>
      <x:c r="E8" s="30" t="n">
        <x:v>46274.5</x:v>
      </x:c>
      <x:c r="F8" s="27" t="str">
        <x:v>Developing</x:v>
      </x:c>
      <x:c r="G8" s="27" t="str">
        <x:v>Political and policy</x:v>
      </x:c>
      <x:c r="H8" s="27" t="str">
        <x:v>Market breadth, policy expectations and sector leadership</x:v>
      </x:c>
      <x:c r="I8" s="27" t="str">
        <x:v>Mixed to up</x:v>
      </x:c>
      <x:c r="J8" s="27" t="str">
        <x:v>Weeks to months</x:v>
      </x:c>
      <x:c r="K8" s="27" t="n">
        <x:v>3</x:v>
      </x:c>
      <x:c r="L8" s="27" t="n">
        <x:v>1</x:v>
      </x:c>
      <x:c r="M8" s="27" t="str">
        <x:v>WAIT</x:v>
      </x:c>
      <x:c r="N8" s="29" t="str">
        <x:v>A potential shift in congressional control may change policy expectations and market leadership around the November midterms.</x:v>
      </x:c>
      <x:c r="O8" s="29" t="str">
        <x:v>Expected changes in fiscal, regulatory and sector policy could alter risk appetite and relative performance.</x:v>
      </x:c>
      <x:c r="P8" s="29" t="str">
        <x:v>Corporate earnings remain supportive: Oracle beat quarterly estimates and raised its fiscal 2027 earnings forecast. Friday's advance showed equity demand can persist despite inflation, but one session is not enough to confirm a pre-election broadening trend.</x:v>
      </x:c>
      <x:c r="Q8" s="29" t="str">
        <x:v>August CPI rose 0.4% month over month and 3.4% year over year; energy rose 2.1% and gasoline 3.9%. Treasury yields remain near 5%, consumer sentiment weakened and inflation expectations rose. On September 13, Reuters reported that the Saudi East-West pipeline had been carrying about 4 million barrels per day, with Yanbu export stocks estimated at only five to seven days and repair estimates ranging up to five or six weeks. Saudi Arabia has not confirmed the repair duration. The risk of a prolonged energy shock can delay or overwhelm an election-related uncertainty-relief effect.</x:v>
      </x:c>
      <x:c r="R8" s="29"/>
      <x:c r="S8" s="29" t="str">
        <x:v>Friday's U.S. close still provides only partial confirmation: SPY rose 0.87%, RSP 0.79%, IWM 0.40% and XLI 1.07%, while XLV and XBI fell. On Sunday, Saudi Arabia's benchmark fell 1.3%, Aramco 1.6% and Saudi Arabian Mining 3.2% after the pipeline and shipping attacks. This confirms regional risk aversion, but U.S. equities, volatility, Treasury yields and the tracked candidate funds have not traded since the latest disruptions.</x:v>
      </x:c>
      <x:c r="T8" s="29" t="str">
        <x:v>XLI remains the clearest conditional sector watch, but not an entry signal. SPY is watch-only. RSP and IWM require sustained relative strength; XLB and copper remain vulnerable to an extended-price reversal; XLV and XBI need independent leadership; XLF needs stable rates and credit.</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Open. The September 13 pipeline-duration and export-stock reports materially worsen the energy-inflation-rates modifier without changing the election mechanism. Classification remains Developing and thesis confidence remains 3/5, but trading edge falls from 2/5 to 1/5 because the macro contradiction has intensified and no U.S. post-trigger market confirmation exists. Entry Window remains WAIT and inactive until the thesis becomes Actionable.</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Actionable</x:v>
      </x:c>
      <x:c r="G9" s="27" t="str">
        <x:v>Economic data and market repricing</x:v>
      </x:c>
      <x:c r="H9" s="27" t="str">
        <x:v>U.S. producer inflation, Fed policy expectations and long-term Treasury yields</x:v>
      </x:c>
      <x:c r="I9" s="27" t="str">
        <x:v>Up</x:v>
      </x:c>
      <x:c r="J9" s="27" t="str">
        <x:v>Days to weeks</x:v>
      </x:c>
      <x:c r="K9" s="27" t="n">
        <x:v>4</x:v>
      </x:c>
      <x:c r="L9" s="27" t="n">
        <x:v>2</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Reuters reported Brent above $107 and WTI above $102 on September 14, with Asian refiners paying sharply higher premiums for alternative crude. Bond markets remained under pressure ahead of the Fed decision.</x:v>
      </x:c>
      <x:c r="Q9" s="29" t="str">
        <x:v>A rapid supply restoration or demand destruction could reverse oil; the Fed can look through a temporary supply shock; fiscal supply also affects yields; and the rates expression has not accelerated in proportion to oil.</x:v>
      </x:c>
      <x:c r="R9" s="29"/>
      <x:c r="S9" s="29" t="str">
        <x:v>Energy prices confirmed further, but the long-duration rates expression had only limited same-morning confirmation. The September 16 Fed decision remains a binary event and chasing inverse-duration exposure ahead of it remains unattractive.</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t="n">
        <x:v>46283.5</x:v>
      </x:c>
      <x:c r="X9" s="43"/>
      <x:c r="Y9" s="29"/>
      <x:c r="Z9" s="29"/>
      <x:c r="AA9" s="29"/>
      <x:c r="AB9" s="29"/>
      <x:c r="AC9" s="29"/>
      <x:c r="AD9" s="29" t="str">
        <x:v>Open. Oil and physical premiums strengthened the inflation mechanism on September 14, but rate-market confirmation remained incomplete ahead of the September 16 Fed decision. Status remains Actionable, confidence 4/5, trading edge 2/5 and Entry Window WAIT. No outcome fields were completed.</x:v>
      </x:c>
      <x:c r="AE9" s="31" t="str">
        <x:f>IF(COUNTA(Y9:AC9)=0,"",COUNTIF(Y9:AC9,"Yes")/COUNTA(Y9:AC9))</x:f>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46283</x:v>
      </x:c>
      <x:c r="X13" s="43"/>
      <x:c r="Y13" s="29"/>
      <x:c r="Z13" s="29"/>
      <x:c r="AA13" s="29"/>
      <x:c r="AB13" s="29"/>
      <x:c r="AC13" s="29"/>
      <x:c r="AD13" s="29" t="str">
        <x:v>Open. Primary government confirmation strengthened the economic mechanism, but ELMT's roughly 33% September 14 jump reduced trading edge from 2/5 to 1/5. Entry Window remains WAIT pending consolidation or retracement, primary award indexing, full capital terms and milestone visibility. Formal first evaluation remains due September 18.</x:v>
      </x:c>
      <x:c r="AE13" s="31" t="str">
        <x:f>IF(COUNTA(Y13:AC13)=0,"",COUNTIF(Y13:AC13,"Yes")/COUNTA(Y13:AC13))</x:f>
      </x:c>
    </x:row>
    <x:row r="14">
      <x:c r="A14" s="27"/>
      <x:c r="B14" s="27"/>
      <x:c r="C14" s="27"/>
      <x:c r="D14" s="30"/>
      <x:c r="E14" s="30"/>
      <x:c r="F14" s="27"/>
      <x:c r="G14" s="27"/>
      <x:c r="H14" s="27"/>
      <x:c r="I14" s="27"/>
      <x:c r="J14" s="27"/>
      <x:c r="K14" s="27"/>
      <x:c r="L14" s="27"/>
      <x:c r="M14" s="27"/>
      <x:c r="N14" s="29"/>
      <x:c r="O14" s="29"/>
      <x:c r="P14" s="29"/>
      <x:c r="Q14" s="29"/>
      <x:c r="R14" s="29"/>
      <x:c r="S14" s="29"/>
      <x:c r="T14" s="29"/>
      <x:c r="U14" s="29"/>
      <x:c r="V14" s="43"/>
      <x:c r="W14" s="43"/>
      <x:c r="X14" s="43"/>
      <x:c r="Y14" s="29"/>
      <x:c r="Z14" s="29"/>
      <x:c r="AA14" s="29"/>
      <x:c r="AB14" s="29"/>
      <x:c r="AC14" s="29"/>
      <x:c r="AD14" s="29"/>
      <x:c r="AE14" s="31" t="str">
        <x:f>IF(COUNTA(Y14:AC14)=0,"",COUNTIF(Y14:AC14,"Yes")/COUNTA(Y14:AC14))</x:f>
      </x:c>
    </x:row>
    <x:row r="15">
      <x:c r="A15" s="27"/>
      <x:c r="B15" s="27"/>
      <x:c r="C15" s="27"/>
      <x:c r="D15" s="30"/>
      <x:c r="E15" s="30"/>
      <x:c r="F15" s="27"/>
      <x:c r="G15" s="27"/>
      <x:c r="H15" s="27"/>
      <x:c r="I15" s="27"/>
      <x:c r="J15" s="27"/>
      <x:c r="K15" s="27"/>
      <x:c r="L15" s="27"/>
      <x:c r="M15" s="27"/>
      <x:c r="N15" s="29"/>
      <x:c r="O15" s="29"/>
      <x:c r="P15" s="29"/>
      <x:c r="Q15" s="29"/>
      <x:c r="R15" s="29"/>
      <x:c r="S15" s="29"/>
      <x:c r="T15" s="29"/>
      <x:c r="U15" s="29"/>
      <x:c r="V15" s="43"/>
      <x:c r="W15" s="43"/>
      <x:c r="X15" s="43"/>
      <x:c r="Y15" s="29"/>
      <x:c r="Z15" s="29"/>
      <x:c r="AA15" s="29"/>
      <x:c r="AB15" s="29"/>
      <x:c r="AC15" s="29"/>
      <x:c r="AD15" s="29"/>
      <x:c r="AE15" s="31" t="str">
        <x:f>IF(COUNTA(Y15:AC15)=0,"",COUNTIF(Y15:AC15,"Yes")/COUNTA(Y15:AC15))</x:f>
      </x:c>
    </x:row>
    <x:row r="16">
      <x:c r="A16" s="27"/>
      <x:c r="B16" s="27"/>
      <x:c r="C16" s="27"/>
      <x:c r="D16" s="30"/>
      <x:c r="E16" s="30"/>
      <x:c r="F16" s="27"/>
      <x:c r="G16" s="27"/>
      <x:c r="H16" s="27"/>
      <x:c r="I16" s="27"/>
      <x:c r="J16" s="27"/>
      <x:c r="K16" s="27"/>
      <x:c r="L16" s="27"/>
      <x:c r="M16" s="27"/>
      <x:c r="N16" s="29"/>
      <x:c r="O16" s="29"/>
      <x:c r="P16" s="29"/>
      <x:c r="Q16" s="29"/>
      <x:c r="R16" s="29"/>
      <x:c r="S16" s="29"/>
      <x:c r="T16" s="29"/>
      <x:c r="U16" s="29"/>
      <x:c r="V16" s="43"/>
      <x:c r="W16" s="43"/>
      <x:c r="X16" s="43"/>
      <x:c r="Y16" s="29"/>
      <x:c r="Z16" s="29"/>
      <x:c r="AA16" s="29"/>
      <x:c r="AB16" s="29"/>
      <x:c r="AC16" s="29"/>
      <x:c r="AD16" s="29"/>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8ef9fcf85db1427a"/>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x:c r="B61" s="27"/>
      <x:c r="C61" s="28"/>
      <x:c r="D61" s="27"/>
      <x:c r="E61" s="27"/>
      <x:c r="F61" s="27"/>
      <x:c r="G61" s="29"/>
      <x:c r="H61" s="29"/>
      <x:c r="I61" s="29"/>
      <x:c r="J61" s="29"/>
      <x:c r="K61" s="29"/>
    </x:row>
    <x:row r="62">
      <x:c r="A62" s="27"/>
      <x:c r="B62" s="27"/>
      <x:c r="C62" s="28"/>
      <x:c r="D62" s="27"/>
      <x:c r="E62" s="27"/>
      <x:c r="F62" s="27"/>
      <x:c r="G62" s="29"/>
      <x:c r="H62" s="29"/>
      <x:c r="I62" s="29"/>
      <x:c r="J62" s="29"/>
      <x:c r="K62" s="29"/>
    </x:row>
    <x:row r="63">
      <x:c r="A63" s="27"/>
      <x:c r="B63" s="27"/>
      <x:c r="C63" s="28"/>
      <x:c r="D63" s="27"/>
      <x:c r="E63" s="27"/>
      <x:c r="F63" s="27"/>
      <x:c r="G63" s="29"/>
      <x:c r="H63" s="29"/>
      <x:c r="I63" s="29"/>
      <x:c r="J63" s="29"/>
      <x:c r="K63" s="29"/>
    </x:row>
    <x:row r="64">
      <x:c r="A64" s="27"/>
      <x:c r="B64" s="27"/>
      <x:c r="C64" s="28"/>
      <x:c r="D64" s="27"/>
      <x:c r="E64" s="27"/>
      <x:c r="F64" s="27"/>
      <x:c r="G64" s="29"/>
      <x:c r="H64" s="29"/>
      <x:c r="I64" s="29"/>
      <x:c r="J64" s="29"/>
      <x:c r="K64" s="29"/>
    </x:row>
    <x:row r="65">
      <x:c r="A65" s="27"/>
      <x:c r="B65" s="27"/>
      <x:c r="C65" s="28"/>
      <x:c r="D65" s="27"/>
      <x:c r="E65" s="27"/>
      <x:c r="F65" s="27"/>
      <x:c r="G65" s="29"/>
      <x:c r="H65" s="29"/>
      <x:c r="I65" s="29"/>
      <x:c r="J65" s="29"/>
      <x:c r="K65" s="29"/>
    </x:row>
    <x:row r="66">
      <x:c r="A66" s="27"/>
      <x:c r="B66" s="27"/>
      <x:c r="C66" s="28"/>
      <x:c r="D66" s="27"/>
      <x:c r="E66" s="27"/>
      <x:c r="F66" s="27"/>
      <x:c r="G66" s="29"/>
      <x:c r="H66" s="29"/>
      <x:c r="I66" s="29"/>
      <x:c r="J66" s="29"/>
      <x:c r="K66" s="29"/>
    </x:row>
    <x:row r="67">
      <x:c r="A67" s="27"/>
      <x:c r="B67" s="27"/>
      <x:c r="C67" s="28"/>
      <x:c r="D67" s="27"/>
      <x:c r="E67" s="27"/>
      <x:c r="F67" s="27"/>
      <x:c r="G67" s="29"/>
      <x:c r="H67" s="29"/>
      <x:c r="I67" s="29"/>
      <x:c r="J67" s="29"/>
      <x:c r="K67" s="29"/>
    </x:row>
    <x:row r="68">
      <x:c r="A68" s="27"/>
      <x:c r="B68" s="27"/>
      <x:c r="C68" s="28"/>
      <x:c r="D68" s="27"/>
      <x:c r="E68" s="27"/>
      <x:c r="F68" s="27"/>
      <x:c r="G68" s="29"/>
      <x:c r="H68" s="29"/>
      <x:c r="I68" s="29"/>
      <x:c r="J68" s="29"/>
      <x:c r="K68" s="29"/>
    </x:row>
    <x:row r="69">
      <x:c r="A69" s="27"/>
      <x:c r="B69" s="27"/>
      <x:c r="C69" s="28"/>
      <x:c r="D69" s="27"/>
      <x:c r="E69" s="27"/>
      <x:c r="F69" s="27"/>
      <x:c r="G69" s="29"/>
      <x:c r="H69" s="29"/>
      <x:c r="I69" s="29"/>
      <x:c r="J69" s="29"/>
      <x:c r="K69" s="29"/>
    </x:row>
    <x:row r="70">
      <x:c r="A70" s="27"/>
      <x:c r="B70" s="27"/>
      <x:c r="C70" s="28"/>
      <x:c r="D70" s="27"/>
      <x:c r="E70" s="27"/>
      <x:c r="F70" s="27"/>
      <x:c r="G70" s="29"/>
      <x:c r="H70" s="29"/>
      <x:c r="I70" s="29"/>
      <x:c r="J70" s="29"/>
      <x:c r="K70" s="29"/>
    </x:row>
    <x:row r="71">
      <x:c r="A71" s="27"/>
      <x:c r="B71" s="27"/>
      <x:c r="C71" s="28"/>
      <x:c r="D71" s="27"/>
      <x:c r="E71" s="27"/>
      <x:c r="F71" s="27"/>
      <x:c r="G71" s="29"/>
      <x:c r="H71" s="29"/>
      <x:c r="I71" s="29"/>
      <x:c r="J71" s="29"/>
      <x:c r="K71" s="29"/>
    </x:row>
    <x:row r="72">
      <x:c r="A72" s="27"/>
      <x:c r="B72" s="27"/>
      <x:c r="C72" s="28"/>
      <x:c r="D72" s="27"/>
      <x:c r="E72" s="27"/>
      <x:c r="F72" s="27"/>
      <x:c r="G72" s="29"/>
      <x:c r="H72" s="29"/>
      <x:c r="I72" s="29"/>
      <x:c r="J72" s="29"/>
      <x:c r="K72" s="29"/>
    </x:row>
    <x:row r="73">
      <x:c r="A73" s="27"/>
      <x:c r="B73" s="27"/>
      <x:c r="C73" s="28"/>
      <x:c r="D73" s="27"/>
      <x:c r="E73" s="27"/>
      <x:c r="F73" s="27"/>
      <x:c r="G73" s="29"/>
      <x:c r="H73" s="29"/>
      <x:c r="I73" s="29"/>
      <x:c r="J73" s="29"/>
      <x:c r="K73" s="29"/>
    </x:row>
    <x:row r="74">
      <x:c r="A74" s="27"/>
      <x:c r="B74" s="27"/>
      <x:c r="C74" s="28"/>
      <x:c r="D74" s="27"/>
      <x:c r="E74" s="27"/>
      <x:c r="F74" s="27"/>
      <x:c r="G74" s="29"/>
      <x:c r="H74" s="29"/>
      <x:c r="I74" s="29"/>
      <x:c r="J74" s="29"/>
      <x:c r="K74" s="29"/>
    </x:row>
    <x:row r="75">
      <x:c r="A75" s="27"/>
      <x:c r="B75" s="27"/>
      <x:c r="C75" s="28"/>
      <x:c r="D75" s="27"/>
      <x:c r="E75" s="27"/>
      <x:c r="F75" s="27"/>
      <x:c r="G75" s="29"/>
      <x:c r="H75" s="29"/>
      <x:c r="I75" s="29"/>
      <x:c r="J75" s="29"/>
      <x:c r="K75" s="29"/>
    </x:row>
    <x:row r="76">
      <x:c r="A76" s="27"/>
      <x:c r="B76" s="27"/>
      <x:c r="C76" s="28"/>
      <x:c r="D76" s="27"/>
      <x:c r="E76" s="27"/>
      <x:c r="F76" s="27"/>
      <x:c r="G76" s="29"/>
      <x:c r="H76" s="29"/>
      <x:c r="I76" s="29"/>
      <x:c r="J76" s="29"/>
      <x:c r="K76" s="29"/>
    </x:row>
    <x:row r="77">
      <x:c r="A77" s="27"/>
      <x:c r="B77" s="27"/>
      <x:c r="C77" s="28"/>
      <x:c r="D77" s="27"/>
      <x:c r="E77" s="27"/>
      <x:c r="F77" s="27"/>
      <x:c r="G77" s="29"/>
      <x:c r="H77" s="29"/>
      <x:c r="I77" s="29"/>
      <x:c r="J77" s="29"/>
      <x:c r="K77" s="29"/>
    </x:row>
    <x:row r="78">
      <x:c r="A78" s="27"/>
      <x:c r="B78" s="27"/>
      <x:c r="C78" s="28"/>
      <x:c r="D78" s="27"/>
      <x:c r="E78" s="27"/>
      <x:c r="F78" s="27"/>
      <x:c r="G78" s="29"/>
      <x:c r="H78" s="29"/>
      <x:c r="I78" s="29"/>
      <x:c r="J78" s="29"/>
      <x:c r="K78" s="29"/>
    </x:row>
    <x:row r="79">
      <x:c r="A79" s="27"/>
      <x:c r="B79" s="27"/>
      <x:c r="C79" s="28"/>
      <x:c r="D79" s="27"/>
      <x:c r="E79" s="27"/>
      <x:c r="F79" s="27"/>
      <x:c r="G79" s="29"/>
      <x:c r="H79" s="29"/>
      <x:c r="I79" s="29"/>
      <x:c r="J79" s="29"/>
      <x:c r="K79" s="29"/>
    </x:row>
    <x:row r="80">
      <x:c r="A80" s="27"/>
      <x:c r="B80" s="27"/>
      <x:c r="C80" s="28"/>
      <x:c r="D80" s="27"/>
      <x:c r="E80" s="27"/>
      <x:c r="F80" s="27"/>
      <x:c r="G80" s="29"/>
      <x:c r="H80" s="29"/>
      <x:c r="I80" s="29"/>
      <x:c r="J80" s="29"/>
      <x:c r="K80" s="29"/>
    </x:row>
    <x:row r="81">
      <x:c r="A81" s="27"/>
      <x:c r="B81" s="27"/>
      <x:c r="C81" s="28"/>
      <x:c r="D81" s="27"/>
      <x:c r="E81" s="27"/>
      <x:c r="F81" s="27"/>
      <x:c r="G81" s="29"/>
      <x:c r="H81" s="29"/>
      <x:c r="I81" s="29"/>
      <x:c r="J81" s="29"/>
      <x:c r="K81" s="29"/>
    </x:row>
    <x:row r="82">
      <x:c r="A82" s="27"/>
      <x:c r="B82" s="27"/>
      <x:c r="C82" s="28"/>
      <x:c r="D82" s="27"/>
      <x:c r="E82" s="27"/>
      <x:c r="F82" s="27"/>
      <x:c r="G82" s="29"/>
      <x:c r="H82" s="29"/>
      <x:c r="I82" s="29"/>
      <x:c r="J82" s="29"/>
      <x:c r="K82" s="29"/>
    </x:row>
    <x:row r="83">
      <x:c r="A83" s="27"/>
      <x:c r="B83" s="27"/>
      <x:c r="C83" s="28"/>
      <x:c r="D83" s="27"/>
      <x:c r="E83" s="27"/>
      <x:c r="F83" s="27"/>
      <x:c r="G83" s="29"/>
      <x:c r="H83" s="29"/>
      <x:c r="I83" s="29"/>
      <x:c r="J83" s="29"/>
      <x:c r="K83" s="29"/>
    </x:row>
    <x:row r="84">
      <x:c r="A84" s="27"/>
      <x:c r="B84" s="27"/>
      <x:c r="C84" s="28"/>
      <x:c r="D84" s="27"/>
      <x:c r="E84" s="27"/>
      <x:c r="F84" s="27"/>
      <x:c r="G84" s="29"/>
      <x:c r="H84" s="29"/>
      <x:c r="I84" s="29"/>
      <x:c r="J84" s="29"/>
      <x:c r="K84" s="29"/>
    </x:row>
    <x:row r="85">
      <x:c r="A85" s="27"/>
      <x:c r="B85" s="27"/>
      <x:c r="C85" s="28"/>
      <x:c r="D85" s="27"/>
      <x:c r="E85" s="27"/>
      <x:c r="F85" s="27"/>
      <x:c r="G85" s="29"/>
      <x:c r="H85" s="29"/>
      <x:c r="I85" s="29"/>
      <x:c r="J85" s="29"/>
      <x:c r="K85" s="29"/>
    </x:row>
    <x:row r="86">
      <x:c r="A86" s="27"/>
      <x:c r="B86" s="27"/>
      <x:c r="C86" s="28"/>
      <x:c r="D86" s="27"/>
      <x:c r="E86" s="27"/>
      <x:c r="F86" s="27"/>
      <x:c r="G86" s="29"/>
      <x:c r="H86" s="29"/>
      <x:c r="I86" s="29"/>
      <x:c r="J86" s="29"/>
      <x:c r="K86" s="29"/>
    </x:row>
    <x:row r="87">
      <x:c r="A87" s="27"/>
      <x:c r="B87" s="27"/>
      <x:c r="C87" s="28"/>
      <x:c r="D87" s="27"/>
      <x:c r="E87" s="27"/>
      <x:c r="F87" s="27"/>
      <x:c r="G87" s="29"/>
      <x:c r="H87" s="29"/>
      <x:c r="I87" s="29"/>
      <x:c r="J87" s="29"/>
      <x:c r="K87" s="29"/>
    </x:row>
    <x:row r="88">
      <x:c r="A88" s="27"/>
      <x:c r="B88" s="27"/>
      <x:c r="C88" s="28"/>
      <x:c r="D88" s="27"/>
      <x:c r="E88" s="27"/>
      <x:c r="F88" s="27"/>
      <x:c r="G88" s="29"/>
      <x:c r="H88" s="29"/>
      <x:c r="I88" s="29"/>
      <x:c r="J88" s="29"/>
      <x:c r="K88" s="29"/>
    </x:row>
    <x:row r="89">
      <x:c r="A89" s="27"/>
      <x:c r="B89" s="27"/>
      <x:c r="C89" s="28"/>
      <x:c r="D89" s="27"/>
      <x:c r="E89" s="27"/>
      <x:c r="F89" s="27"/>
      <x:c r="G89" s="29"/>
      <x:c r="H89" s="29"/>
      <x:c r="I89" s="29"/>
      <x:c r="J89" s="29"/>
      <x:c r="K89" s="29"/>
    </x:row>
    <x:row r="90">
      <x:c r="A90" s="27"/>
      <x:c r="B90" s="27"/>
      <x:c r="C90" s="28"/>
      <x:c r="D90" s="27"/>
      <x:c r="E90" s="27"/>
      <x:c r="F90" s="27"/>
      <x:c r="G90" s="29"/>
      <x:c r="H90" s="29"/>
      <x:c r="I90" s="29"/>
      <x:c r="J90" s="29"/>
      <x:c r="K90" s="29"/>
    </x:row>
    <x:row r="91">
      <x:c r="A91" s="27"/>
      <x:c r="B91" s="27"/>
      <x:c r="C91" s="28"/>
      <x:c r="D91" s="27"/>
      <x:c r="E91" s="27"/>
      <x:c r="F91" s="27"/>
      <x:c r="G91" s="29"/>
      <x:c r="H91" s="29"/>
      <x:c r="I91" s="29"/>
      <x:c r="J91" s="29"/>
      <x:c r="K91" s="29"/>
    </x:row>
    <x:row r="92">
      <x:c r="A92" s="27"/>
      <x:c r="B92" s="27"/>
      <x:c r="C92" s="28"/>
      <x:c r="D92" s="27"/>
      <x:c r="E92" s="27"/>
      <x:c r="F92" s="27"/>
      <x:c r="G92" s="29"/>
      <x:c r="H92" s="29"/>
      <x:c r="I92" s="29"/>
      <x:c r="J92" s="29"/>
      <x:c r="K92" s="29"/>
    </x:row>
    <x:row r="93">
      <x:c r="A93" s="27"/>
      <x:c r="B93" s="27"/>
      <x:c r="C93" s="28"/>
      <x:c r="D93" s="27"/>
      <x:c r="E93" s="27"/>
      <x:c r="F93" s="27"/>
      <x:c r="G93" s="29"/>
      <x:c r="H93" s="29"/>
      <x:c r="I93" s="29"/>
      <x:c r="J93" s="29"/>
      <x:c r="K93" s="29"/>
    </x:row>
    <x:row r="94">
      <x:c r="A94" s="27"/>
      <x:c r="B94" s="27"/>
      <x:c r="C94" s="28"/>
      <x:c r="D94" s="27"/>
      <x:c r="E94" s="27"/>
      <x:c r="F94" s="27"/>
      <x:c r="G94" s="29"/>
      <x:c r="H94" s="29"/>
      <x:c r="I94" s="29"/>
      <x:c r="J94" s="29"/>
      <x:c r="K94" s="29"/>
    </x:row>
    <x:row r="95">
      <x:c r="A95" s="27"/>
      <x:c r="B95" s="27"/>
      <x:c r="C95" s="28"/>
      <x:c r="D95" s="27"/>
      <x:c r="E95" s="27"/>
      <x:c r="F95" s="27"/>
      <x:c r="G95" s="29"/>
      <x:c r="H95" s="29"/>
      <x:c r="I95" s="29"/>
      <x:c r="J95" s="29"/>
      <x:c r="K95" s="29"/>
    </x:row>
    <x:row r="96">
      <x:c r="A96" s="27"/>
      <x:c r="B96" s="27"/>
      <x:c r="C96" s="28"/>
      <x:c r="D96" s="27"/>
      <x:c r="E96" s="27"/>
      <x:c r="F96" s="27"/>
      <x:c r="G96" s="29"/>
      <x:c r="H96" s="29"/>
      <x:c r="I96" s="29"/>
      <x:c r="J96" s="29"/>
      <x:c r="K96" s="29"/>
    </x:row>
    <x:row r="97">
      <x:c r="A97" s="27"/>
      <x:c r="B97" s="27"/>
      <x:c r="C97" s="28"/>
      <x:c r="D97" s="27"/>
      <x:c r="E97" s="27"/>
      <x:c r="F97" s="27"/>
      <x:c r="G97" s="29"/>
      <x:c r="H97" s="29"/>
      <x:c r="I97" s="29"/>
      <x:c r="J97" s="29"/>
      <x:c r="K97" s="29"/>
    </x:row>
    <x:row r="98">
      <x:c r="A98" s="27"/>
      <x:c r="B98" s="27"/>
      <x:c r="C98" s="28"/>
      <x:c r="D98" s="27"/>
      <x:c r="E98" s="27"/>
      <x:c r="F98" s="27"/>
      <x:c r="G98" s="29"/>
      <x:c r="H98" s="29"/>
      <x:c r="I98" s="29"/>
      <x:c r="J98" s="29"/>
      <x:c r="K98" s="29"/>
    </x:row>
    <x:row r="99">
      <x:c r="A99" s="27"/>
      <x:c r="B99" s="27"/>
      <x:c r="C99" s="28"/>
      <x:c r="D99" s="27"/>
      <x:c r="E99" s="27"/>
      <x:c r="F99" s="27"/>
      <x:c r="G99" s="29"/>
      <x:c r="H99" s="29"/>
      <x:c r="I99" s="29"/>
      <x:c r="J99" s="29"/>
      <x:c r="K99" s="29"/>
    </x:row>
    <x:row r="100">
      <x:c r="A100" s="27"/>
      <x:c r="B100" s="27"/>
      <x:c r="C100" s="28"/>
      <x:c r="D100" s="27"/>
      <x:c r="E100" s="27"/>
      <x:c r="F100" s="27"/>
      <x:c r="G100" s="29"/>
      <x:c r="H100" s="29"/>
      <x:c r="I100" s="29"/>
      <x:c r="J100" s="29"/>
      <x:c r="K100" s="29"/>
    </x:row>
    <x:row r="101">
      <x:c r="A101"/>
      <x:c r="B101"/>
      <x:c r="C101" s="21"/>
      <x:c r="D101"/>
      <x:c r="E101"/>
      <x:c r="F101"/>
      <x:c r="G101" s="44"/>
      <x:c r="H101" s="44"/>
      <x:c r="I101" s="44"/>
      <x:c r="J101" s="44"/>
      <x:c r="K101" s="44"/>
    </x:row>
    <x:row r="102">
      <x:c r="A102"/>
      <x:c r="B102"/>
      <x:c r="C102" s="21"/>
      <x:c r="D102"/>
      <x:c r="E102"/>
      <x:c r="F102"/>
      <x:c r="G102" s="44"/>
      <x:c r="H102" s="44"/>
      <x:c r="I102" s="44"/>
      <x:c r="J102" s="44"/>
      <x:c r="K102" s="44"/>
    </x:row>
    <x:row r="103">
      <x:c r="A103"/>
      <x:c r="B103"/>
      <x:c r="C103" s="21"/>
      <x:c r="D103"/>
      <x:c r="E103"/>
      <x:c r="F103"/>
      <x:c r="G103" s="44"/>
      <x:c r="H103" s="44"/>
      <x:c r="I103" s="44"/>
      <x:c r="J103" s="44"/>
      <x:c r="K103" s="44"/>
    </x:row>
    <x:row r="104">
      <x:c r="A104"/>
      <x:c r="B104"/>
      <x:c r="C104" s="21"/>
      <x:c r="D104"/>
      <x:c r="E104"/>
      <x:c r="F104"/>
      <x:c r="G104" s="44"/>
      <x:c r="H104" s="44"/>
      <x:c r="I104" s="44"/>
      <x:c r="J104" s="44"/>
      <x:c r="K104" s="44"/>
    </x:row>
    <x:row r="105">
      <x:c r="C105" s="21"/>
      <x:c r="G105" s="44"/>
      <x:c r="H105" s="44"/>
      <x:c r="I105" s="44"/>
      <x:c r="J105" s="44"/>
      <x:c r="K105" s="44"/>
    </x:row>
    <x:row r="106">
      <x:c r="C106" s="21"/>
      <x:c r="G106" s="44"/>
      <x:c r="H106" s="44"/>
      <x:c r="I106" s="44"/>
      <x:c r="J106" s="44"/>
      <x:c r="K106" s="44"/>
    </x:row>
    <x:row r="107">
      <x:c r="C107" s="21"/>
      <x:c r="G107" s="44"/>
      <x:c r="H107" s="44"/>
      <x:c r="I107" s="44"/>
      <x:c r="J107" s="44"/>
      <x:c r="K107" s="44"/>
    </x:row>
    <x:row r="108">
      <x:c r="C108" s="21"/>
      <x:c r="G108" s="44"/>
      <x:c r="H108" s="44"/>
      <x:c r="I108" s="44"/>
      <x:c r="J108" s="44"/>
      <x:c r="K108" s="44"/>
    </x:row>
    <x:row r="109">
      <x:c r="C109" s="21"/>
      <x:c r="G109" s="44"/>
      <x:c r="H109" s="44"/>
      <x:c r="I109" s="44"/>
      <x:c r="J109" s="44"/>
      <x:c r="K109" s="44"/>
    </x:row>
    <x:row r="110">
      <x:c r="C110" s="21"/>
      <x:c r="G110" s="44"/>
      <x:c r="H110" s="44"/>
      <x:c r="I110" s="44"/>
      <x:c r="J110" s="44"/>
      <x:c r="K110" s="44"/>
    </x:row>
    <x:row r="111">
      <x:c r="C111" s="21"/>
      <x:c r="G111" s="44"/>
      <x:c r="H111" s="44"/>
      <x:c r="I111" s="44"/>
      <x:c r="J111" s="44"/>
      <x:c r="K111" s="44"/>
    </x:row>
    <x:row r="112">
      <x:c r="C112" s="21"/>
      <x:c r="G112" s="44"/>
      <x:c r="H112" s="44"/>
      <x:c r="I112" s="44"/>
      <x:c r="J112" s="44"/>
      <x:c r="K112" s="44"/>
    </x:row>
    <x:row r="113">
      <x:c r="C113" s="21"/>
      <x:c r="G113" s="44"/>
      <x:c r="H113" s="44"/>
      <x:c r="I113" s="44"/>
      <x:c r="J113" s="44"/>
      <x:c r="K113" s="44"/>
    </x:row>
    <x:row r="114">
      <x:c r="C114" s="21"/>
      <x:c r="G114" s="44"/>
      <x:c r="H114" s="44"/>
      <x:c r="I114" s="44"/>
      <x:c r="J114" s="44"/>
      <x:c r="K114" s="44"/>
    </x:row>
    <x:row r="115">
      <x:c r="C115" s="21"/>
      <x:c r="G115" s="44"/>
      <x:c r="H115" s="44"/>
      <x:c r="I115" s="44"/>
      <x:c r="J115" s="44"/>
      <x:c r="K115" s="44"/>
    </x:row>
    <x:row r="116">
      <x:c r="C116" s="21"/>
      <x:c r="G116" s="44"/>
      <x:c r="H116" s="44"/>
      <x:c r="I116" s="44"/>
      <x:c r="J116" s="44"/>
      <x:c r="K116" s="44"/>
    </x:row>
    <x:row r="117">
      <x:c r="C117" s="21"/>
      <x:c r="G117" s="44"/>
      <x:c r="H117" s="44"/>
      <x:c r="I117" s="44"/>
      <x:c r="J117" s="44"/>
      <x:c r="K117" s="44"/>
    </x:row>
    <x:row r="118">
      <x:c r="C118" s="21"/>
      <x:c r="G118" s="44"/>
      <x:c r="H118" s="44"/>
      <x:c r="I118" s="44"/>
      <x:c r="J118" s="44"/>
      <x:c r="K118" s="44"/>
    </x:row>
    <x:row r="119">
      <x:c r="C119" s="21"/>
      <x:c r="G119" s="44"/>
      <x:c r="H119" s="44"/>
      <x:c r="I119" s="44"/>
      <x:c r="J119" s="44"/>
      <x:c r="K119" s="44"/>
    </x:row>
    <x:row r="120">
      <x:c r="C120" s="21"/>
      <x:c r="G120" s="44"/>
      <x:c r="H120" s="44"/>
      <x:c r="I120" s="44"/>
      <x:c r="J120" s="44"/>
      <x:c r="K120" s="44"/>
    </x:row>
    <x:row r="121">
      <x:c r="C121" s="21"/>
      <x:c r="G121" s="44"/>
      <x:c r="H121" s="44"/>
      <x:c r="I121" s="44"/>
      <x:c r="J121" s="44"/>
      <x:c r="K121" s="44"/>
    </x:row>
    <x:row r="122">
      <x:c r="C122" s="21"/>
      <x:c r="G122" s="44"/>
      <x:c r="H122" s="44"/>
      <x:c r="I122" s="44"/>
      <x:c r="J122" s="44"/>
      <x:c r="K122" s="44"/>
    </x:row>
    <x:row r="123">
      <x:c r="C123" s="21"/>
      <x:c r="G123" s="44"/>
      <x:c r="H123" s="44"/>
      <x:c r="I123" s="44"/>
      <x:c r="J123" s="44"/>
      <x:c r="K123" s="44"/>
    </x:row>
    <x:row r="124">
      <x:c r="C124" s="21"/>
      <x:c r="G124" s="44"/>
      <x:c r="H124" s="44"/>
      <x:c r="I124" s="44"/>
      <x:c r="J124" s="44"/>
      <x:c r="K124" s="44"/>
    </x:row>
    <x:row r="125">
      <x:c r="C125" s="21"/>
      <x:c r="G125" s="44"/>
      <x:c r="H125" s="44"/>
      <x:c r="I125" s="44"/>
      <x:c r="J125" s="44"/>
      <x:c r="K125" s="44"/>
    </x:row>
    <x:row r="126">
      <x:c r="C126" s="21"/>
      <x:c r="G126" s="44"/>
      <x:c r="H126" s="44"/>
      <x:c r="I126" s="44"/>
      <x:c r="J126" s="44"/>
      <x:c r="K126" s="44"/>
    </x:row>
    <x:row r="127">
      <x:c r="C127" s="21"/>
      <x:c r="G127" s="44"/>
      <x:c r="H127" s="44"/>
      <x:c r="I127" s="44"/>
      <x:c r="J127" s="44"/>
      <x:c r="K127" s="44"/>
    </x:row>
    <x:row r="128">
      <x:c r="C128" s="21"/>
      <x:c r="G128" s="44"/>
      <x:c r="H128" s="44"/>
      <x:c r="I128" s="44"/>
      <x:c r="J128" s="44"/>
      <x:c r="K128" s="44"/>
    </x:row>
    <x:row r="129">
      <x:c r="C129" s="21"/>
      <x:c r="G129" s="44"/>
      <x:c r="H129" s="44"/>
      <x:c r="I129" s="44"/>
      <x:c r="J129" s="44"/>
      <x:c r="K129" s="44"/>
    </x:row>
    <x:row r="130">
      <x:c r="C130" s="21"/>
      <x:c r="G130" s="44"/>
      <x:c r="H130" s="44"/>
      <x:c r="I130" s="44"/>
      <x:c r="J130" s="44"/>
      <x:c r="K130" s="44"/>
    </x:row>
    <x:row r="131">
      <x:c r="C131" s="21"/>
      <x:c r="G131" s="44"/>
      <x:c r="H131" s="44"/>
      <x:c r="I131" s="44"/>
      <x:c r="J131" s="44"/>
      <x:c r="K131" s="44"/>
    </x:row>
    <x:row r="132">
      <x:c r="C132" s="21"/>
      <x:c r="G132" s="44"/>
      <x:c r="H132" s="44"/>
      <x:c r="I132" s="44"/>
      <x:c r="J132" s="44"/>
      <x:c r="K132" s="44"/>
    </x:row>
    <x:row r="133">
      <x:c r="C133" s="21"/>
      <x:c r="G133" s="44"/>
      <x:c r="H133" s="44"/>
      <x:c r="I133" s="44"/>
      <x:c r="J133" s="44"/>
      <x:c r="K133" s="44"/>
    </x:row>
    <x:row r="134">
      <x:c r="C134" s="21"/>
      <x:c r="G134" s="44"/>
      <x:c r="H134" s="44"/>
      <x:c r="I134" s="44"/>
      <x:c r="J134" s="44"/>
      <x:c r="K134" s="44"/>
    </x:row>
    <x:row r="135">
      <x:c r="C135" s="21"/>
      <x:c r="G135" s="44"/>
      <x:c r="H135" s="44"/>
      <x:c r="I135" s="44"/>
      <x:c r="J135" s="44"/>
      <x:c r="K135" s="44"/>
    </x:row>
    <x:row r="136">
      <x:c r="C136" s="21"/>
      <x:c r="G136" s="44"/>
      <x:c r="H136" s="44"/>
      <x:c r="I136" s="44"/>
      <x:c r="J136" s="44"/>
      <x:c r="K136" s="44"/>
    </x:row>
    <x:row r="137">
      <x:c r="C137" s="21"/>
      <x:c r="G137" s="44"/>
      <x:c r="H137" s="44"/>
      <x:c r="I137" s="44"/>
      <x:c r="J137" s="44"/>
      <x:c r="K137" s="44"/>
    </x:row>
    <x:row r="138">
      <x:c r="C138" s="21"/>
      <x:c r="G138" s="44"/>
      <x:c r="H138" s="44"/>
      <x:c r="I138" s="44"/>
      <x:c r="J138" s="44"/>
      <x:c r="K138" s="44"/>
    </x:row>
    <x:row r="139">
      <x:c r="C139" s="21"/>
      <x:c r="G139" s="44"/>
      <x:c r="H139" s="44"/>
      <x:c r="I139" s="44"/>
      <x:c r="J139" s="44"/>
      <x:c r="K139" s="44"/>
    </x:row>
    <x:row r="140">
      <x:c r="C140" s="21"/>
      <x:c r="G140" s="44"/>
      <x:c r="H140" s="44"/>
      <x:c r="I140" s="44"/>
      <x:c r="J140" s="44"/>
      <x:c r="K140" s="44"/>
    </x:row>
    <x:row r="141">
      <x:c r="C141" s="21"/>
      <x:c r="G141" s="44"/>
      <x:c r="H141" s="44"/>
      <x:c r="I141" s="44"/>
      <x:c r="J141" s="44"/>
      <x:c r="K141" s="44"/>
    </x:row>
    <x:row r="142">
      <x:c r="C142" s="21"/>
      <x:c r="G142" s="44"/>
      <x:c r="H142" s="44"/>
      <x:c r="I142" s="44"/>
      <x:c r="J142" s="44"/>
      <x:c r="K142" s="44"/>
    </x:row>
    <x:row r="143">
      <x:c r="C143" s="21"/>
      <x:c r="G143" s="44"/>
      <x:c r="H143" s="44"/>
      <x:c r="I143" s="44"/>
      <x:c r="J143" s="44"/>
      <x:c r="K143" s="44"/>
    </x:row>
    <x:row r="144">
      <x:c r="C144" s="21"/>
      <x:c r="G144" s="44"/>
      <x:c r="H144" s="44"/>
      <x:c r="I144" s="44"/>
      <x:c r="J144" s="44"/>
      <x:c r="K144" s="44"/>
    </x:row>
    <x:row r="145">
      <x:c r="C145" s="21"/>
      <x:c r="G145" s="44"/>
      <x:c r="H145" s="44"/>
      <x:c r="I145" s="44"/>
      <x:c r="J145" s="44"/>
      <x:c r="K145" s="44"/>
    </x:row>
    <x:row r="146">
      <x:c r="C146" s="21"/>
      <x:c r="G146" s="44"/>
      <x:c r="H146" s="44"/>
      <x:c r="I146" s="44"/>
      <x:c r="J146" s="44"/>
      <x:c r="K146" s="44"/>
    </x:row>
    <x:row r="147">
      <x:c r="C147" s="21"/>
      <x:c r="G147" s="44"/>
      <x:c r="H147" s="44"/>
      <x:c r="I147" s="44"/>
      <x:c r="J147" s="44"/>
      <x:c r="K147" s="44"/>
    </x:row>
    <x:row r="148">
      <x:c r="C148" s="21"/>
      <x:c r="G148" s="44"/>
      <x:c r="H148" s="44"/>
      <x:c r="I148" s="44"/>
      <x:c r="J148" s="44"/>
      <x:c r="K148" s="44"/>
    </x:row>
    <x:row r="149">
      <x:c r="C149" s="21"/>
      <x:c r="G149" s="44"/>
      <x:c r="H149" s="44"/>
      <x:c r="I149" s="44"/>
      <x:c r="J149" s="44"/>
      <x:c r="K149" s="44"/>
    </x:row>
    <x:row r="150">
      <x:c r="C150" s="21"/>
      <x:c r="G150" s="44"/>
      <x:c r="H150" s="44"/>
      <x:c r="I150" s="44"/>
      <x:c r="J150" s="44"/>
      <x:c r="K150" s="44"/>
    </x:row>
    <x:row r="151">
      <x:c r="C151" s="21"/>
      <x:c r="G151" s="44"/>
      <x:c r="H151" s="44"/>
      <x:c r="I151" s="44"/>
      <x:c r="J151" s="44"/>
      <x:c r="K151" s="44"/>
    </x:row>
    <x:row r="152">
      <x:c r="C152" s="21"/>
      <x:c r="G152" s="44"/>
      <x:c r="H152" s="44"/>
      <x:c r="I152" s="44"/>
      <x:c r="J152" s="44"/>
      <x:c r="K152" s="44"/>
    </x:row>
    <x:row r="153">
      <x:c r="C153" s="21"/>
      <x:c r="G153" s="44"/>
      <x:c r="H153" s="44"/>
      <x:c r="I153" s="44"/>
      <x:c r="J153" s="44"/>
      <x:c r="K153" s="44"/>
    </x:row>
    <x:row r="154">
      <x:c r="C154" s="21"/>
      <x:c r="G154" s="44"/>
      <x:c r="H154" s="44"/>
      <x:c r="I154" s="44"/>
      <x:c r="J154" s="44"/>
      <x:c r="K154" s="44"/>
    </x:row>
    <x:row r="155">
      <x:c r="C155" s="21"/>
      <x:c r="G155" s="44"/>
      <x:c r="H155" s="44"/>
      <x:c r="I155" s="44"/>
      <x:c r="J155" s="44"/>
      <x:c r="K155" s="44"/>
    </x:row>
    <x:row r="156">
      <x:c r="C156" s="21"/>
      <x:c r="G156" s="44"/>
      <x:c r="H156" s="44"/>
      <x:c r="I156" s="44"/>
      <x:c r="J156" s="44"/>
      <x:c r="K156" s="44"/>
    </x:row>
    <x:row r="157">
      <x:c r="C157" s="21"/>
      <x:c r="G157" s="44"/>
      <x:c r="H157" s="44"/>
      <x:c r="I157" s="44"/>
      <x:c r="J157" s="44"/>
      <x:c r="K157" s="44"/>
    </x:row>
    <x:row r="158">
      <x:c r="C158" s="21"/>
      <x:c r="G158" s="44"/>
      <x:c r="H158" s="44"/>
      <x:c r="I158" s="44"/>
      <x:c r="J158" s="44"/>
      <x:c r="K158" s="44"/>
    </x:row>
    <x:row r="159">
      <x:c r="C159" s="21"/>
      <x:c r="G159" s="44"/>
      <x:c r="H159" s="44"/>
      <x:c r="I159" s="44"/>
      <x:c r="J159" s="44"/>
      <x:c r="K159" s="44"/>
    </x:row>
    <x:row r="160">
      <x:c r="C160" s="21"/>
      <x:c r="G160" s="44"/>
      <x:c r="H160" s="44"/>
      <x:c r="I160" s="44"/>
      <x:c r="J160" s="44"/>
      <x:c r="K160" s="44"/>
    </x:row>
    <x:row r="161">
      <x:c r="C161" s="21"/>
      <x:c r="G161" s="44"/>
      <x:c r="H161" s="44"/>
      <x:c r="I161" s="44"/>
      <x:c r="J161" s="44"/>
      <x:c r="K161" s="44"/>
    </x:row>
    <x:row r="162">
      <x:c r="C162" s="21"/>
      <x:c r="G162" s="44"/>
      <x:c r="H162" s="44"/>
      <x:c r="I162" s="44"/>
      <x:c r="J162" s="44"/>
      <x:c r="K162" s="44"/>
    </x:row>
    <x:row r="163">
      <x:c r="C163" s="21"/>
      <x:c r="G163" s="44"/>
      <x:c r="H163" s="44"/>
      <x:c r="I163" s="44"/>
      <x:c r="J163" s="44"/>
      <x:c r="K163" s="44"/>
    </x:row>
    <x:row r="164">
      <x:c r="C164" s="21"/>
      <x:c r="G164" s="44"/>
      <x:c r="H164" s="44"/>
      <x:c r="I164" s="44"/>
      <x:c r="J164" s="44"/>
      <x:c r="K164" s="44"/>
    </x:row>
    <x:row r="165">
      <x:c r="C165" s="21"/>
      <x:c r="G165" s="44"/>
      <x:c r="H165" s="44"/>
      <x:c r="I165" s="44"/>
      <x:c r="J165" s="44"/>
      <x:c r="K165" s="44"/>
    </x:row>
    <x:row r="166">
      <x:c r="C166" s="21"/>
      <x:c r="G166" s="44"/>
      <x:c r="H166" s="44"/>
      <x:c r="I166" s="44"/>
      <x:c r="J166" s="44"/>
      <x:c r="K166" s="44"/>
    </x:row>
    <x:row r="167">
      <x:c r="C167" s="21"/>
      <x:c r="G167" s="44"/>
      <x:c r="H167" s="44"/>
      <x:c r="I167" s="44"/>
      <x:c r="J167" s="44"/>
      <x:c r="K167" s="44"/>
    </x:row>
    <x:row r="168">
      <x:c r="C168" s="21"/>
      <x:c r="G168" s="44"/>
      <x:c r="H168" s="44"/>
      <x:c r="I168" s="44"/>
      <x:c r="J168" s="44"/>
      <x:c r="K168" s="44"/>
    </x:row>
    <x:row r="169">
      <x:c r="C169" s="21"/>
      <x:c r="G169" s="44"/>
      <x:c r="H169" s="44"/>
      <x:c r="I169" s="44"/>
      <x:c r="J169" s="44"/>
      <x:c r="K169" s="44"/>
    </x:row>
    <x:row r="170">
      <x:c r="C170" s="21"/>
      <x:c r="G170" s="44"/>
      <x:c r="H170" s="44"/>
      <x:c r="I170" s="44"/>
      <x:c r="J170" s="44"/>
      <x:c r="K170" s="44"/>
    </x:row>
    <x:row r="171">
      <x:c r="C171" s="21"/>
      <x:c r="G171" s="44"/>
      <x:c r="H171" s="44"/>
      <x:c r="I171" s="44"/>
      <x:c r="J171" s="44"/>
      <x:c r="K171" s="44"/>
    </x:row>
    <x:row r="172">
      <x:c r="C172" s="21"/>
      <x:c r="G172" s="44"/>
      <x:c r="H172" s="44"/>
      <x:c r="I172" s="44"/>
      <x:c r="J172" s="44"/>
      <x:c r="K172" s="44"/>
    </x:row>
    <x:row r="173">
      <x:c r="C173" s="21"/>
      <x:c r="G173" s="44"/>
      <x:c r="H173" s="44"/>
      <x:c r="I173" s="44"/>
      <x:c r="J173" s="44"/>
      <x:c r="K173" s="44"/>
    </x:row>
    <x:row r="174">
      <x:c r="C174" s="21"/>
      <x:c r="G174" s="44"/>
      <x:c r="H174" s="44"/>
      <x:c r="I174" s="44"/>
      <x:c r="J174" s="44"/>
      <x:c r="K174" s="44"/>
    </x:row>
    <x:row r="175">
      <x:c r="C175" s="21"/>
      <x:c r="G175" s="44"/>
      <x:c r="H175" s="44"/>
      <x:c r="I175" s="44"/>
      <x:c r="J175" s="44"/>
      <x:c r="K175" s="44"/>
    </x:row>
    <x:row r="176">
      <x:c r="C176" s="21"/>
      <x:c r="G176" s="44"/>
      <x:c r="H176" s="44"/>
      <x:c r="I176" s="44"/>
      <x:c r="J176" s="44"/>
      <x:c r="K176" s="44"/>
    </x:row>
    <x:row r="177">
      <x:c r="C177" s="21"/>
      <x:c r="G177" s="44"/>
      <x:c r="H177" s="44"/>
      <x:c r="I177" s="44"/>
      <x:c r="J177" s="44"/>
      <x:c r="K177" s="44"/>
    </x:row>
    <x:row r="178">
      <x:c r="C178" s="21"/>
      <x:c r="G178" s="44"/>
      <x:c r="H178" s="44"/>
      <x:c r="I178" s="44"/>
      <x:c r="J178" s="44"/>
      <x:c r="K178" s="44"/>
    </x:row>
    <x:row r="179">
      <x:c r="C179" s="21"/>
      <x:c r="G179" s="44"/>
      <x:c r="H179" s="44"/>
      <x:c r="I179" s="44"/>
      <x:c r="J179" s="44"/>
      <x:c r="K179" s="44"/>
    </x:row>
    <x:row r="180">
      <x:c r="C180" s="21"/>
      <x:c r="G180" s="44"/>
      <x:c r="H180" s="44"/>
      <x:c r="I180" s="44"/>
      <x:c r="J180" s="44"/>
      <x:c r="K180" s="44"/>
    </x:row>
    <x:row r="181">
      <x:c r="C181" s="21"/>
      <x:c r="G181" s="44"/>
      <x:c r="H181" s="44"/>
      <x:c r="I181" s="44"/>
      <x:c r="J181" s="44"/>
      <x:c r="K181" s="44"/>
    </x:row>
    <x:row r="182">
      <x:c r="C182" s="21"/>
      <x:c r="G182" s="44"/>
      <x:c r="H182" s="44"/>
      <x:c r="I182" s="44"/>
      <x:c r="J182" s="44"/>
      <x:c r="K182" s="44"/>
    </x:row>
    <x:row r="183">
      <x:c r="C183" s="21"/>
      <x:c r="G183" s="44"/>
      <x:c r="H183" s="44"/>
      <x:c r="I183" s="44"/>
      <x:c r="J183" s="44"/>
      <x:c r="K183" s="44"/>
    </x:row>
    <x:row r="184">
      <x:c r="C184" s="21"/>
      <x:c r="G184" s="44"/>
      <x:c r="H184" s="44"/>
      <x:c r="I184" s="44"/>
      <x:c r="J184" s="44"/>
      <x:c r="K184" s="44"/>
    </x:row>
    <x:row r="185">
      <x:c r="C185" s="21"/>
      <x:c r="G185" s="44"/>
      <x:c r="H185" s="44"/>
      <x:c r="I185" s="44"/>
      <x:c r="J185" s="44"/>
      <x:c r="K185" s="44"/>
    </x:row>
    <x:row r="186">
      <x:c r="C186" s="21"/>
      <x:c r="G186" s="44"/>
      <x:c r="H186" s="44"/>
      <x:c r="I186" s="44"/>
      <x:c r="J186" s="44"/>
      <x:c r="K186" s="44"/>
    </x:row>
    <x:row r="187">
      <x:c r="C187" s="21"/>
      <x:c r="G187" s="44"/>
      <x:c r="H187" s="44"/>
      <x:c r="I187" s="44"/>
      <x:c r="J187" s="44"/>
      <x:c r="K187" s="44"/>
    </x:row>
    <x:row r="188">
      <x:c r="C188" s="21"/>
      <x:c r="G188" s="44"/>
      <x:c r="H188" s="44"/>
      <x:c r="I188" s="44"/>
      <x:c r="J188" s="44"/>
      <x:c r="K188" s="44"/>
    </x:row>
    <x:row r="189">
      <x:c r="C189" s="21"/>
      <x:c r="G189" s="44"/>
      <x:c r="H189" s="44"/>
      <x:c r="I189" s="44"/>
      <x:c r="J189" s="44"/>
      <x:c r="K189" s="44"/>
    </x:row>
    <x:row r="190">
      <x:c r="C190" s="21"/>
      <x:c r="G190" s="44"/>
      <x:c r="H190" s="44"/>
      <x:c r="I190" s="44"/>
      <x:c r="J190" s="44"/>
      <x:c r="K190" s="44"/>
    </x:row>
    <x:row r="191">
      <x:c r="C191" s="21"/>
      <x:c r="G191" s="44"/>
      <x:c r="H191" s="44"/>
      <x:c r="I191" s="44"/>
      <x:c r="J191" s="44"/>
      <x:c r="K191" s="44"/>
    </x:row>
    <x:row r="192">
      <x:c r="C192" s="21"/>
      <x:c r="G192" s="44"/>
      <x:c r="H192" s="44"/>
      <x:c r="I192" s="44"/>
      <x:c r="J192" s="44"/>
      <x:c r="K192" s="44"/>
    </x:row>
    <x:row r="193">
      <x:c r="C193" s="21"/>
      <x:c r="G193" s="44"/>
      <x:c r="H193" s="44"/>
      <x:c r="I193" s="44"/>
      <x:c r="J193" s="44"/>
      <x:c r="K193" s="44"/>
    </x:row>
    <x:row r="194">
      <x:c r="C194" s="21"/>
      <x:c r="G194" s="44"/>
      <x:c r="H194" s="44"/>
      <x:c r="I194" s="44"/>
      <x:c r="J194" s="44"/>
      <x:c r="K194" s="44"/>
    </x:row>
    <x:row r="195">
      <x:c r="C195" s="21"/>
      <x:c r="G195" s="44"/>
      <x:c r="H195" s="44"/>
      <x:c r="I195" s="44"/>
      <x:c r="J195" s="44"/>
      <x:c r="K195" s="44"/>
    </x:row>
    <x:row r="196">
      <x:c r="C196" s="21"/>
      <x:c r="G196" s="44"/>
      <x:c r="H196" s="44"/>
      <x:c r="I196" s="44"/>
      <x:c r="J196" s="44"/>
      <x:c r="K196" s="44"/>
    </x:row>
    <x:row r="197">
      <x:c r="C197" s="21"/>
      <x:c r="G197" s="44"/>
      <x:c r="H197" s="44"/>
      <x:c r="I197" s="44"/>
      <x:c r="J197" s="44"/>
      <x:c r="K197" s="44"/>
    </x:row>
    <x:row r="198">
      <x:c r="C198" s="21"/>
      <x:c r="G198" s="44"/>
      <x:c r="H198" s="44"/>
      <x:c r="I198" s="44"/>
      <x:c r="J198" s="44"/>
      <x:c r="K198" s="44"/>
    </x:row>
    <x:row r="199">
      <x:c r="C199" s="21"/>
      <x:c r="G199" s="44"/>
      <x:c r="H199" s="44"/>
      <x:c r="I199" s="44"/>
      <x:c r="J199" s="44"/>
      <x:c r="K199" s="44"/>
    </x:row>
    <x:row r="200">
      <x:c r="C200" s="21"/>
      <x:c r="G200" s="44"/>
      <x:c r="H200" s="44"/>
      <x:c r="I200" s="44"/>
      <x:c r="J200" s="44"/>
      <x:c r="K200" s="44"/>
    </x:row>
    <x:row r="201">
      <x:c r="C201" s="21"/>
      <x:c r="G201" s="44"/>
      <x:c r="H201" s="44"/>
      <x:c r="I201" s="44"/>
      <x:c r="J201" s="44"/>
      <x:c r="K201" s="44"/>
    </x:row>
    <x:row r="202">
      <x:c r="C202" s="21"/>
      <x:c r="G202" s="44"/>
      <x:c r="H202" s="44"/>
      <x:c r="I202" s="44"/>
      <x:c r="J202" s="44"/>
      <x:c r="K202" s="44"/>
    </x:row>
    <x:row r="203">
      <x:c r="C203" s="21"/>
      <x:c r="G203" s="44"/>
      <x:c r="H203" s="44"/>
      <x:c r="I203" s="44"/>
      <x:c r="J203" s="44"/>
      <x:c r="K203" s="44"/>
    </x:row>
    <x:row r="204">
      <x:c r="C204" s="21"/>
      <x:c r="G204" s="44"/>
      <x:c r="H204" s="44"/>
      <x:c r="I204" s="44"/>
      <x:c r="J204" s="44"/>
      <x:c r="K204" s="44"/>
    </x:row>
    <x:row r="205">
      <x:c r="C205" s="21"/>
      <x:c r="G205" s="44"/>
      <x:c r="H205" s="44"/>
      <x:c r="I205" s="44"/>
      <x:c r="J205" s="44"/>
      <x:c r="K205" s="44"/>
    </x:row>
    <x:row r="206">
      <x:c r="C206" s="21"/>
      <x:c r="G206" s="44"/>
      <x:c r="H206" s="44"/>
      <x:c r="I206" s="44"/>
      <x:c r="J206" s="44"/>
      <x:c r="K206" s="44"/>
    </x:row>
    <x:row r="207">
      <x:c r="C207" s="21"/>
      <x:c r="G207" s="44"/>
      <x:c r="H207" s="44"/>
      <x:c r="I207" s="44"/>
      <x:c r="J207" s="44"/>
      <x:c r="K207" s="44"/>
    </x:row>
    <x:row r="208">
      <x:c r="C208" s="21"/>
      <x:c r="G208" s="44"/>
      <x:c r="H208" s="44"/>
      <x:c r="I208" s="44"/>
      <x:c r="J208" s="44"/>
      <x:c r="K208" s="44"/>
    </x:row>
    <x:row r="209">
      <x:c r="C209" s="21"/>
      <x:c r="G209" s="44"/>
      <x:c r="H209" s="44"/>
      <x:c r="I209" s="44"/>
      <x:c r="J209" s="44"/>
      <x:c r="K209" s="44"/>
    </x:row>
    <x:row r="210">
      <x:c r="C210" s="21"/>
      <x:c r="G210" s="44"/>
      <x:c r="H210" s="44"/>
      <x:c r="I210" s="44"/>
      <x:c r="J210" s="44"/>
      <x:c r="K210" s="44"/>
    </x:row>
    <x:row r="211">
      <x:c r="C211" s="21"/>
      <x:c r="G211" s="44"/>
      <x:c r="H211" s="44"/>
      <x:c r="I211" s="44"/>
      <x:c r="J211" s="44"/>
      <x:c r="K211" s="44"/>
    </x:row>
    <x:row r="212">
      <x:c r="C212" s="21"/>
      <x:c r="G212" s="44"/>
      <x:c r="H212" s="44"/>
      <x:c r="I212" s="44"/>
      <x:c r="J212" s="44"/>
      <x:c r="K212" s="44"/>
    </x:row>
    <x:row r="213">
      <x:c r="C213" s="21"/>
      <x:c r="G213" s="44"/>
      <x:c r="H213" s="44"/>
      <x:c r="I213" s="44"/>
      <x:c r="J213" s="44"/>
      <x:c r="K213" s="44"/>
    </x:row>
    <x:row r="214">
      <x:c r="C214" s="21"/>
      <x:c r="G214" s="44"/>
      <x:c r="H214" s="44"/>
      <x:c r="I214" s="44"/>
      <x:c r="J214" s="44"/>
      <x:c r="K214" s="44"/>
    </x:row>
    <x:row r="215">
      <x:c r="C215" s="21"/>
      <x:c r="G215" s="44"/>
      <x:c r="H215" s="44"/>
      <x:c r="I215" s="44"/>
      <x:c r="J215" s="44"/>
      <x:c r="K215" s="44"/>
    </x:row>
    <x:row r="216">
      <x:c r="C216" s="21"/>
      <x:c r="G216" s="44"/>
      <x:c r="H216" s="44"/>
      <x:c r="I216" s="44"/>
      <x:c r="J216" s="44"/>
      <x:c r="K216" s="44"/>
    </x:row>
    <x:row r="217">
      <x:c r="C217" s="21"/>
      <x:c r="G217" s="44"/>
      <x:c r="H217" s="44"/>
      <x:c r="I217" s="44"/>
      <x:c r="J217" s="44"/>
      <x:c r="K217" s="44"/>
    </x:row>
    <x:row r="218">
      <x:c r="C218" s="21"/>
      <x:c r="G218" s="44"/>
      <x:c r="H218" s="44"/>
      <x:c r="I218" s="44"/>
      <x:c r="J218" s="44"/>
      <x:c r="K218" s="44"/>
    </x:row>
    <x:row r="219">
      <x:c r="C219" s="21"/>
      <x:c r="G219" s="44"/>
      <x:c r="H219" s="44"/>
      <x:c r="I219" s="44"/>
      <x:c r="J219" s="44"/>
      <x:c r="K219" s="44"/>
    </x:row>
    <x:row r="220">
      <x:c r="C220" s="21"/>
      <x:c r="G220" s="44"/>
      <x:c r="H220" s="44"/>
      <x:c r="I220" s="44"/>
      <x:c r="J220" s="44"/>
      <x:c r="K220" s="44"/>
    </x:row>
    <x:row r="221">
      <x:c r="C221" s="21"/>
      <x:c r="G221" s="44"/>
      <x:c r="H221" s="44"/>
      <x:c r="I221" s="44"/>
      <x:c r="J221" s="44"/>
      <x:c r="K221" s="44"/>
    </x:row>
    <x:row r="222">
      <x:c r="C222" s="21"/>
      <x:c r="G222" s="44"/>
      <x:c r="H222" s="44"/>
      <x:c r="I222" s="44"/>
      <x:c r="J222" s="44"/>
      <x:c r="K222" s="44"/>
    </x:row>
    <x:row r="223">
      <x:c r="C223" s="21"/>
      <x:c r="G223" s="44"/>
      <x:c r="H223" s="44"/>
      <x:c r="I223" s="44"/>
      <x:c r="J223" s="44"/>
      <x:c r="K223" s="44"/>
    </x:row>
    <x:row r="224">
      <x:c r="C224" s="21"/>
      <x:c r="G224" s="44"/>
      <x:c r="H224" s="44"/>
      <x:c r="I224" s="44"/>
      <x:c r="J224" s="44"/>
      <x:c r="K224" s="44"/>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86bd0cff397c4be9"/>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0</x:v>
      </x:c>
      <x:c r="J14" s="27" t="n">
        <x:v>0</x:v>
      </x:c>
      <x:c r="K14" s="27" t="n">
        <x:f>I14+J14</x:f>
        <x:v>0</x:v>
      </x:c>
      <x:c r="L14" s="31" t="str">
        <x:f>IF(K14=0,"",I14/K14)</x:f>
      </x:c>
      <x:c r="M14" s="29" t="str">
        <x:v>Expert enhancer only; never originating proof.</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1d83771c37eb4a60"/>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62.15</x:v>
      </x:c>
      <x:c r="K6" s="46" t="n">
        <x:f>I6*J6</x:f>
        <x:v>1086.3485404649537</x:v>
      </x:c>
      <x:c r="L6" s="46" t="n">
        <x:f>K6-H6</x:f>
        <x:v>86.34854046495366</x:v>
      </x:c>
      <x:c r="M6" s="48" t="n">
        <x:f>L6/H6</x:f>
        <x:v>0.08634854046495366</x:v>
      </x:c>
      <x:c r="N6" s="30"/>
      <x:c r="O6" s="32"/>
      <x:c r="P6" s="32" t="str">
        <x:f>IF(OR(I6="",O6=""),"",I6*O6)</x:f>
      </x:c>
      <x:c r="Q6" s="32" t="str">
        <x:f>IF(P6="","",P6-H6)</x:f>
      </x:c>
      <x:c r="R6" s="29" t="str">
        <x:v>09/14/26: +8.63%. BNO remains the strongest direct expression. The thesis was confirmed again, but the formal Entry Window stays WAIT because the paper entry followed a large headline move.</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156.67</x:v>
      </x:c>
      <x:c r="K7" s="46" t="n">
        <x:f>I7*J7</x:f>
        <x:v>1083.4716459197787</x:v>
      </x:c>
      <x:c r="L7" s="46" t="n">
        <x:f>K7-H7</x:f>
        <x:v>83.47164591977867</x:v>
      </x:c>
      <x:c r="M7" s="48" t="n">
        <x:f>L7/H7</x:f>
        <x:v>0.08347164591977867</x:v>
      </x:c>
      <x:c r="N7" s="30"/>
      <x:c r="O7" s="32"/>
      <x:c r="P7" s="32" t="str">
        <x:f>IF(OR(I7="",O7=""),"",I7*O7)</x:f>
      </x:c>
      <x:c r="Q7" s="32" t="str">
        <x:f>IF(P7="","",P7-H7)</x:f>
      </x:c>
      <x:c r="R7" s="29" t="str">
        <x:v>09/14/26: +8.35%. USO continues to confirm the crude-price direction. The formal Entry Window stays WAIT because the paper entry chased an already-extended move.</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193.55</x:v>
      </x:c>
      <x:c r="K8" s="46" t="n">
        <x:f>I8*J8</x:f>
        <x:v>998.5039207593892</x:v>
      </x:c>
      <x:c r="L8" s="46" t="n">
        <x:f>K8-H8</x:f>
        <x:v>-1.4960792406108112</x:v>
      </x:c>
      <x:c r="M8" s="48" t="n">
        <x:f>L8/H8</x:f>
        <x:v>-0.0014960792406108112</x:v>
      </x:c>
      <x:c r="N8" s="30"/>
      <x:c r="O8" s="32"/>
      <x:c r="P8" s="32" t="str">
        <x:f>IF(OR(I8="",O8=""),"",I8*O8)</x:f>
      </x:c>
      <x:c r="Q8" s="32" t="str">
        <x:f>IF(P8="","",P8-H8)</x:f>
      </x:c>
      <x:c r="R8" s="29" t="str">
        <x:v>09/14/26: -0.15%. XOP has now given back its small gain while direct crude funds remain up more than 8%, reinforcing the risk of using producer equities as an indirect expression.</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cb8868452d0e4562"/>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x:c r="B14" s="28"/>
      <x:c r="C14" s="27"/>
      <x:c r="D14" s="29"/>
      <x:c r="E14" s="29"/>
      <x:c r="F14" s="29"/>
      <x:c r="G14" s="29"/>
      <x:c r="H14" s="29"/>
      <x:c r="I14" s="29"/>
      <x:c r="J14" s="29"/>
    </x:row>
    <x:row r="15">
      <x:c r="A15" s="27"/>
      <x:c r="B15" s="28"/>
      <x:c r="C15" s="27"/>
      <x:c r="D15" s="29"/>
      <x:c r="E15" s="29"/>
      <x:c r="F15" s="29"/>
      <x:c r="G15" s="29"/>
      <x:c r="H15" s="29"/>
      <x:c r="I15" s="29"/>
      <x:c r="J15" s="29"/>
    </x:row>
    <x:row r="16">
      <x:c r="A16" s="27"/>
      <x:c r="B16" s="28"/>
      <x:c r="C16" s="27"/>
      <x:c r="D16" s="29"/>
      <x:c r="E16" s="29"/>
      <x:c r="F16" s="29"/>
      <x:c r="G16" s="29"/>
      <x:c r="H16" s="29"/>
      <x:c r="I16" s="29"/>
      <x:c r="J16" s="29"/>
    </x:row>
    <x:row r="17">
      <x:c r="A17" s="27"/>
      <x:c r="B17" s="28"/>
      <x:c r="C17" s="27"/>
      <x:c r="D17" s="29"/>
      <x:c r="E17" s="29"/>
      <x:c r="F17" s="29"/>
      <x:c r="G17" s="29"/>
      <x:c r="H17" s="29"/>
      <x:c r="I17" s="29"/>
      <x:c r="J17" s="29"/>
    </x:row>
    <x:row r="18">
      <x:c r="A18" s="27"/>
      <x:c r="B18" s="28"/>
      <x:c r="C18" s="27"/>
      <x:c r="D18" s="29"/>
      <x:c r="E18" s="29"/>
      <x:c r="F18" s="29"/>
      <x:c r="G18" s="29"/>
      <x:c r="H18" s="29"/>
      <x:c r="I18" s="29"/>
      <x:c r="J18" s="29"/>
    </x:row>
    <x:row r="19">
      <x:c r="A19" s="27"/>
      <x:c r="B19" s="28"/>
      <x:c r="C19" s="27"/>
      <x:c r="D19" s="29"/>
      <x:c r="E19" s="29"/>
      <x:c r="F19" s="29"/>
      <x:c r="G19" s="29"/>
      <x:c r="H19" s="29"/>
      <x:c r="I19" s="29"/>
      <x:c r="J19" s="29"/>
    </x:row>
    <x:row r="20">
      <x:c r="A20" s="27"/>
      <x:c r="B20" s="28"/>
      <x:c r="C20" s="27"/>
      <x:c r="D20" s="29"/>
      <x:c r="E20" s="29"/>
      <x:c r="F20" s="29"/>
      <x:c r="G20" s="29"/>
      <x:c r="H20" s="29"/>
      <x:c r="I20" s="29"/>
      <x:c r="J20" s="29"/>
    </x:row>
    <x:row r="21">
      <x:c r="A21" s="27"/>
      <x:c r="B21" s="28"/>
      <x:c r="C21" s="27"/>
      <x:c r="D21" s="29"/>
      <x:c r="E21" s="29"/>
      <x:c r="F21" s="29"/>
      <x:c r="G21" s="29"/>
      <x:c r="H21" s="29"/>
      <x:c r="I21" s="29"/>
      <x:c r="J21" s="29"/>
    </x:row>
    <x:row r="22">
      <x:c r="A22" s="27"/>
      <x:c r="B22" s="28"/>
      <x:c r="C22" s="27"/>
      <x:c r="D22" s="29"/>
      <x:c r="E22" s="29"/>
      <x:c r="F22" s="29"/>
      <x:c r="G22" s="29"/>
      <x:c r="H22" s="29"/>
      <x:c r="I22" s="29"/>
      <x:c r="J22" s="29"/>
    </x:row>
    <x:row r="23">
      <x:c r="A23" s="27"/>
      <x:c r="B23" s="28"/>
      <x:c r="C23" s="27"/>
      <x:c r="D23" s="29"/>
      <x:c r="E23" s="29"/>
      <x:c r="F23" s="29"/>
      <x:c r="G23" s="29"/>
      <x:c r="H23" s="29"/>
      <x:c r="I23" s="29"/>
      <x:c r="J23" s="29"/>
    </x:row>
    <x:row r="24">
      <x:c r="A24" s="27"/>
      <x:c r="B24" s="28"/>
      <x:c r="C24" s="27"/>
      <x:c r="D24" s="29"/>
      <x:c r="E24" s="29"/>
      <x:c r="F24" s="29"/>
      <x:c r="G24" s="29"/>
      <x:c r="H24" s="29"/>
      <x:c r="I24" s="29"/>
      <x:c r="J24" s="29"/>
    </x:row>
    <x:row r="25">
      <x:c r="A25" s="27"/>
      <x:c r="B25" s="28"/>
      <x:c r="C25" s="27"/>
      <x:c r="D25" s="29"/>
      <x:c r="E25" s="29"/>
      <x:c r="F25" s="29"/>
      <x:c r="G25" s="29"/>
      <x:c r="H25" s="29"/>
      <x:c r="I25" s="29"/>
      <x:c r="J25" s="29"/>
    </x:row>
    <x:row r="26">
      <x:c r="A26" s="27"/>
      <x:c r="B26" s="28"/>
      <x:c r="C26" s="27"/>
      <x:c r="D26" s="29"/>
      <x:c r="E26" s="29"/>
      <x:c r="F26" s="29"/>
      <x:c r="G26" s="29"/>
      <x:c r="H26" s="29"/>
      <x:c r="I26" s="29"/>
      <x:c r="J26" s="29"/>
    </x:row>
    <x:row r="27">
      <x:c r="A27" s="27"/>
      <x:c r="B27" s="28"/>
      <x:c r="C27" s="27"/>
      <x:c r="D27" s="29"/>
      <x:c r="E27" s="29"/>
      <x:c r="F27" s="29"/>
      <x:c r="G27" s="29"/>
      <x:c r="H27" s="29"/>
      <x:c r="I27" s="29"/>
      <x:c r="J27" s="29"/>
    </x:row>
    <x:row r="28">
      <x:c r="A28" s="27"/>
      <x:c r="B28" s="28"/>
      <x:c r="C28" s="27"/>
      <x:c r="D28" s="29"/>
      <x:c r="E28" s="29"/>
      <x:c r="F28" s="29"/>
      <x:c r="G28" s="29"/>
      <x:c r="H28" s="29"/>
      <x:c r="I28" s="29"/>
      <x:c r="J28" s="29"/>
    </x:row>
    <x:row r="29">
      <x:c r="A29" s="27"/>
      <x:c r="B29" s="28"/>
      <x:c r="C29" s="27"/>
      <x:c r="D29" s="29"/>
      <x:c r="E29" s="29"/>
      <x:c r="F29" s="29"/>
      <x:c r="G29" s="29"/>
      <x:c r="H29" s="29"/>
      <x:c r="I29" s="29"/>
      <x:c r="J29" s="29"/>
    </x:row>
    <x:row r="30">
      <x:c r="A30" s="27"/>
      <x:c r="B30" s="28"/>
      <x:c r="C30" s="27"/>
      <x:c r="D30" s="29"/>
      <x:c r="E30" s="29"/>
      <x:c r="F30" s="29"/>
      <x:c r="G30" s="29"/>
      <x:c r="H30" s="29"/>
      <x:c r="I30" s="29"/>
      <x:c r="J30" s="29"/>
    </x:row>
    <x:row r="31">
      <x:c r="A31" s="27"/>
      <x:c r="B31" s="28"/>
      <x:c r="C31" s="27"/>
      <x:c r="D31" s="29"/>
      <x:c r="E31" s="29"/>
      <x:c r="F31" s="29"/>
      <x:c r="G31" s="29"/>
      <x:c r="H31" s="29"/>
      <x:c r="I31" s="29"/>
      <x:c r="J31" s="29"/>
    </x:row>
    <x:row r="32">
      <x:c r="A32" s="27"/>
      <x:c r="B32" s="28"/>
      <x:c r="C32" s="27"/>
      <x:c r="D32" s="29"/>
      <x:c r="E32" s="29"/>
      <x:c r="F32" s="29"/>
      <x:c r="G32" s="29"/>
      <x:c r="H32" s="29"/>
      <x:c r="I32" s="29"/>
      <x:c r="J32" s="29"/>
    </x:row>
    <x:row r="33">
      <x:c r="A33" s="27"/>
      <x:c r="B33" s="28"/>
      <x:c r="C33" s="27"/>
      <x:c r="D33" s="29"/>
      <x:c r="E33" s="29"/>
      <x:c r="F33" s="29"/>
      <x:c r="G33" s="29"/>
      <x:c r="H33" s="29"/>
      <x:c r="I33" s="29"/>
      <x:c r="J33" s="29"/>
    </x:row>
    <x:row r="34">
      <x:c r="A34" s="27"/>
      <x:c r="B34" s="28"/>
      <x:c r="C34" s="27"/>
      <x:c r="D34" s="29"/>
      <x:c r="E34" s="29"/>
      <x:c r="F34" s="29"/>
      <x:c r="G34" s="29"/>
      <x:c r="H34" s="29"/>
      <x:c r="I34" s="29"/>
      <x:c r="J34" s="29"/>
    </x:row>
    <x:row r="35">
      <x:c r="A35" s="27"/>
      <x:c r="B35" s="28"/>
      <x:c r="C35" s="27"/>
      <x:c r="D35" s="29"/>
      <x:c r="E35" s="29"/>
      <x:c r="F35" s="29"/>
      <x:c r="G35" s="29"/>
      <x:c r="H35" s="29"/>
      <x:c r="I35" s="29"/>
      <x:c r="J35" s="29"/>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1ff1bd1110d54f11"/>
  </x:tableParts>
</x:worksheet>
</file>