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79b82b73b5f40b7" /></Relationships>
</file>

<file path=xl/workbook.xml><?xml version="1.0" encoding="utf-8"?>
<x:workbook xmlns:x="http://schemas.openxmlformats.org/spreadsheetml/2006/main">
  <x:sheets>
    <x:sheet xmlns:r="http://schemas.openxmlformats.org/officeDocument/2006/relationships" name="Summary" sheetId="1" r:id="Rd811762b0cde4d88"/>
    <x:sheet xmlns:r="http://schemas.openxmlformats.org/officeDocument/2006/relationships" name="Thesis Ledger" sheetId="2" r:id="R296fd07368a2442a"/>
    <x:sheet xmlns:r="http://schemas.openxmlformats.org/officeDocument/2006/relationships" name="Evidence Log" sheetId="3" r:id="R0e7b9a51a38c4d5f"/>
    <x:sheet xmlns:r="http://schemas.openxmlformats.org/officeDocument/2006/relationships" name="Source Registry" sheetId="4" r:id="Ra8749f10ae8a486a"/>
    <x:sheet xmlns:r="http://schemas.openxmlformats.org/officeDocument/2006/relationships" name="Paper Trades" sheetId="5" r:id="R700e861a6e434afb"/>
    <x:sheet xmlns:r="http://schemas.openxmlformats.org/officeDocument/2006/relationships" name="Scan Runs" sheetId="6" r:id="Rf2109aa59c34437b"/>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6c503fce8db42b5" /><Relationship Type="http://schemas.openxmlformats.org/officeDocument/2006/relationships/theme" Target="/xl/theme/theme1.xml" Id="R2a7e5f5746eb4aa7" /><Relationship Type="http://schemas.openxmlformats.org/officeDocument/2006/relationships/sharedStrings" Target="/xl/sharedStrings.xml" Id="R1e6c0d3dbb4c4cca" /><Relationship Type="http://schemas.openxmlformats.org/officeDocument/2006/relationships/worksheet" Target="/xl/worksheets/sheet1.xml" Id="Rd811762b0cde4d88" /><Relationship Type="http://schemas.openxmlformats.org/officeDocument/2006/relationships/worksheet" Target="/xl/worksheets/sheet2.xml" Id="R296fd07368a2442a" /><Relationship Type="http://schemas.openxmlformats.org/officeDocument/2006/relationships/worksheet" Target="/xl/worksheets/sheet3.xml" Id="R0e7b9a51a38c4d5f" /><Relationship Type="http://schemas.openxmlformats.org/officeDocument/2006/relationships/worksheet" Target="/xl/worksheets/sheet4.xml" Id="Ra8749f10ae8a486a" /><Relationship Type="http://schemas.openxmlformats.org/officeDocument/2006/relationships/worksheet" Target="/xl/worksheets/sheet5.xml" Id="R700e861a6e434afb" /><Relationship Type="http://schemas.openxmlformats.org/officeDocument/2006/relationships/worksheet" Target="/xl/worksheets/sheet6.xml" Id="Rf2109aa59c34437b"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46c3bd362374f46" /></Relationships>
</file>

<file path=xl/worksheets/_rels/sheet3.xml.rels>&#65279;<?xml version="1.0" encoding="utf-8"?><Relationships xmlns="http://schemas.openxmlformats.org/package/2006/relationships"><Relationship Type="http://schemas.openxmlformats.org/officeDocument/2006/relationships/table" Target="/xl/tables/table2.xml" Id="Ra8c14f124cb94bd2" /></Relationships>
</file>

<file path=xl/worksheets/_rels/sheet4.xml.rels>&#65279;<?xml version="1.0" encoding="utf-8"?><Relationships xmlns="http://schemas.openxmlformats.org/package/2006/relationships"><Relationship Type="http://schemas.openxmlformats.org/officeDocument/2006/relationships/table" Target="/xl/tables/table3.xml" Id="R1be4e4a32ccd416d" /></Relationships>
</file>

<file path=xl/worksheets/_rels/sheet5.xml.rels>&#65279;<?xml version="1.0" encoding="utf-8"?><Relationships xmlns="http://schemas.openxmlformats.org/package/2006/relationships"><Relationship Type="http://schemas.openxmlformats.org/officeDocument/2006/relationships/table" Target="/xl/tables/table4.xml" Id="Ra13ab67bf88948cd" /></Relationships>
</file>

<file path=xl/worksheets/_rels/sheet6.xml.rels>&#65279;<?xml version="1.0" encoding="utf-8"?><Relationships xmlns="http://schemas.openxmlformats.org/package/2006/relationships"><Relationship Type="http://schemas.openxmlformats.org/officeDocument/2006/relationships/table" Target="/xl/tables/table5.xml" Id="R82a53a22c45b4063"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20</x:v>
      </x:c>
      <x:c r="C6" s="1"/>
      <x:c r="D6" s="1"/>
      <x:c r="E6" s="1"/>
      <x:c r="F6" s="1"/>
      <x:c r="G6" s="1"/>
      <x:c r="H6" s="1"/>
      <x:c r="I6" s="1"/>
      <x:c r="J6" s="1"/>
    </x:row>
    <x:row r="7">
      <x:c r="A7" s="1" t="str">
        <x:v>Open theses</x:v>
      </x:c>
      <x:c r="B7" s="40" t="n">
        <x:f>COUNTIFS('Thesis Ledger'!A6:A200,"&lt;&gt;",'Thesis Ledger'!F6:F200,"&lt;&gt;Closed",'Thesis Ledger'!F6:F200,"&lt;&gt;Invalidated")</x:f>
        <x:v>18</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946c3bd362374f46"/>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a8c14f124cb94bd2"/>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1be4e4a32ccd416d"/>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65.1</x:v>
      </x:c>
      <x:c r="K6" s="46" t="n">
        <x:f>I6*J6</x:f>
        <x:v>1137.9129522810697</x:v>
      </x:c>
      <x:c r="L6" s="46" t="n">
        <x:f>K6-H6</x:f>
        <x:v>137.9129522810697</x:v>
      </x:c>
      <x:c r="M6" s="48" t="n">
        <x:f>L6/H6</x:f>
        <x:v>0.1379129522810697</x:v>
      </x:c>
      <x:c r="N6" s="30"/>
      <x:c r="O6" s="32"/>
      <x:c r="P6" s="32" t="str">
        <x:f>IF(OR(I6="",O6=""),"",I6*O6)</x:f>
      </x:c>
      <x:c r="Q6" s="32" t="str">
        <x:f>IF(P6="","",P6-H6)</x:f>
      </x:c>
      <x:c r="R6" s="29" t="str">
        <x:v>10/13/26 close: $65.10; position value $1,137.91; +$137.91 (+13.79%). BNO was nearly flat as Brent settled 0.9% lower at $105.69. Gulf attacks and expensive shipping preserve the risk premium, while recovered flows and higher OPEC+ output weaken the extended shortage case.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153.09</x:v>
      </x:c>
      <x:c r="K7" s="46" t="n">
        <x:f>I7*J7</x:f>
        <x:v>1058.7136929460582</x:v>
      </x:c>
      <x:c r="L7" s="46" t="n">
        <x:f>K7-H7</x:f>
        <x:v>58.713692946058245</x:v>
      </x:c>
      <x:c r="M7" s="48" t="n">
        <x:f>L7/H7</x:f>
        <x:v>0.058713692946058244</x:v>
      </x:c>
      <x:c r="N7" s="30"/>
      <x:c r="O7" s="32"/>
      <x:c r="P7" s="32" t="str">
        <x:f>IF(OR(I7="",O7=""),"",I7*O7)</x:f>
      </x:c>
      <x:c r="Q7" s="32" t="str">
        <x:f>IF(P7="","",P7-H7)</x:f>
      </x:c>
      <x:c r="R7" s="29" t="str">
        <x:v>10/13/26 close: $153.09; position value $1,058.71; +$58.71 (+5.87%). USO gained 1.36% as WTI settled 0.4% higher at $94.14, its highest close since September 24. The direct WTI expression remains profitable but trails BNO.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199.82</x:v>
      </x:c>
      <x:c r="K8" s="46" t="n">
        <x:f>I8*J8</x:f>
        <x:v>1030.8501857201816</x:v>
      </x:c>
      <x:c r="L8" s="46" t="n">
        <x:f>K8-H8</x:f>
        <x:v>30.85018572018157</x:v>
      </x:c>
      <x:c r="M8" s="48" t="n">
        <x:f>L8/H8</x:f>
        <x:v>0.03085018572018157</x:v>
      </x:c>
      <x:c r="N8" s="30"/>
      <x:c r="O8" s="32"/>
      <x:c r="P8" s="32" t="str">
        <x:f>IF(OR(I8="",O8=""),"",I8*O8)</x:f>
      </x:c>
      <x:c r="Q8" s="32" t="str">
        <x:f>IF(P8="","",P8-H8)</x:f>
      </x:c>
      <x:c r="R8" s="29" t="str">
        <x:v>10/13/26 close: $199.82; position value $1,030.85; +$30.85 (+3.09%). XOP gained 2.85% and is now clearly above entry. Producer equities improved sharply but still trail both direct crude expressions over the full paper-test period.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a13ab67bf88948cd"/>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82a53a22c45b4063"/>
  </x:tableParts>
</x:worksheet>
</file>