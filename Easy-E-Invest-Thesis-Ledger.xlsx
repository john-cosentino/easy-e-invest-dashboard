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8e37d78e7804c9d" /></Relationships>
</file>

<file path=xl/workbook.xml><?xml version="1.0" encoding="utf-8"?>
<x:workbook xmlns:x="http://schemas.openxmlformats.org/spreadsheetml/2006/main">
  <x:sheets>
    <x:sheet xmlns:r="http://schemas.openxmlformats.org/officeDocument/2006/relationships" name="Summary" sheetId="1" r:id="R45af65f910104a84"/>
    <x:sheet xmlns:r="http://schemas.openxmlformats.org/officeDocument/2006/relationships" name="Thesis Ledger" sheetId="2" r:id="R12d1a29a851240bc"/>
    <x:sheet xmlns:r="http://schemas.openxmlformats.org/officeDocument/2006/relationships" name="Evidence Log" sheetId="3" r:id="R3da1ee4cb27a40aa"/>
    <x:sheet xmlns:r="http://schemas.openxmlformats.org/officeDocument/2006/relationships" name="Source Registry" sheetId="4" r:id="R3690d9ed17434960"/>
    <x:sheet xmlns:r="http://schemas.openxmlformats.org/officeDocument/2006/relationships" name="Paper Trades" sheetId="5" r:id="R345f24cbb25c42dc"/>
    <x:sheet xmlns:r="http://schemas.openxmlformats.org/officeDocument/2006/relationships" name="Scan Runs" sheetId="6" r:id="R0a76443d1da84a9f"/>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f3e690771c04b3f" /><Relationship Type="http://schemas.openxmlformats.org/officeDocument/2006/relationships/theme" Target="/xl/theme/theme1.xml" Id="R69b72c99d59c45d2" /><Relationship Type="http://schemas.openxmlformats.org/officeDocument/2006/relationships/sharedStrings" Target="/xl/sharedStrings.xml" Id="Rb35b3b6ff5d04280" /><Relationship Type="http://schemas.openxmlformats.org/officeDocument/2006/relationships/worksheet" Target="/xl/worksheets/sheet1.xml" Id="R45af65f910104a84" /><Relationship Type="http://schemas.openxmlformats.org/officeDocument/2006/relationships/worksheet" Target="/xl/worksheets/sheet2.xml" Id="R12d1a29a851240bc" /><Relationship Type="http://schemas.openxmlformats.org/officeDocument/2006/relationships/worksheet" Target="/xl/worksheets/sheet3.xml" Id="R3da1ee4cb27a40aa" /><Relationship Type="http://schemas.openxmlformats.org/officeDocument/2006/relationships/worksheet" Target="/xl/worksheets/sheet4.xml" Id="R3690d9ed17434960" /><Relationship Type="http://schemas.openxmlformats.org/officeDocument/2006/relationships/worksheet" Target="/xl/worksheets/sheet5.xml" Id="R345f24cbb25c42dc" /><Relationship Type="http://schemas.openxmlformats.org/officeDocument/2006/relationships/worksheet" Target="/xl/worksheets/sheet6.xml" Id="R0a76443d1da84a9f"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b61ebc6ad874e29" /></Relationships>
</file>

<file path=xl/worksheets/_rels/sheet3.xml.rels>&#65279;<?xml version="1.0" encoding="utf-8"?><Relationships xmlns="http://schemas.openxmlformats.org/package/2006/relationships"><Relationship Type="http://schemas.openxmlformats.org/officeDocument/2006/relationships/table" Target="/xl/tables/table2.xml" Id="R02c91328868449a2" /></Relationships>
</file>

<file path=xl/worksheets/_rels/sheet4.xml.rels>&#65279;<?xml version="1.0" encoding="utf-8"?><Relationships xmlns="http://schemas.openxmlformats.org/package/2006/relationships"><Relationship Type="http://schemas.openxmlformats.org/officeDocument/2006/relationships/table" Target="/xl/tables/table3.xml" Id="Rfe2b956ae254420e" /></Relationships>
</file>

<file path=xl/worksheets/_rels/sheet5.xml.rels>&#65279;<?xml version="1.0" encoding="utf-8"?><Relationships xmlns="http://schemas.openxmlformats.org/package/2006/relationships"><Relationship Type="http://schemas.openxmlformats.org/officeDocument/2006/relationships/table" Target="/xl/tables/table4.xml" Id="R7b7631d80bd84417" /></Relationships>
</file>

<file path=xl/worksheets/_rels/sheet6.xml.rels>&#65279;<?xml version="1.0" encoding="utf-8"?><Relationships xmlns="http://schemas.openxmlformats.org/package/2006/relationships"><Relationship Type="http://schemas.openxmlformats.org/officeDocument/2006/relationships/table" Target="/xl/tables/table5.xml" Id="R6e5d772e80604d2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46303</x:v>
      </x:c>
      <x:c r="X14" s="43"/>
      <x:c r="Y14" s="29"/>
      <x:c r="Z14" s="29"/>
      <x:c r="AA14" s="29"/>
      <x:c r="AB14" s="29"/>
      <x:c r="AC14" s="29"/>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2026-10-08T12:00:00.000Z</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4</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x:v>
      </x:c>
      <x:c r="R22" s="29"/>
      <x:c r="S22" s="29" t="str">
        <x:v>CEG rose about 6.4% premarket and traded roughly 6%-7% higher, confirming materiality but creating immediate headline-chasing risk. The shares remained well below their 52-week high, but price discovery and contract economics are incomplete.</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b61ebc6ad874e29"/>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02c91328868449a2"/>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fe2b956ae254420e"/>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61.45</x:v>
      </x:c>
      <x:c r="K6" s="46" t="n">
        <x:f>I6*J6</x:f>
        <x:v>1074.1129173221466</x:v>
      </x:c>
      <x:c r="L6" s="46" t="n">
        <x:f>K6-H6</x:f>
        <x:v>74.11291732214659</x:v>
      </x:c>
      <x:c r="M6" s="48" t="n">
        <x:f>L6/H6</x:f>
        <x:v>0.07411291732214659</x:v>
      </x:c>
      <x:c r="N6" s="30"/>
      <x:c r="O6" s="32"/>
      <x:c r="P6" s="32" t="str">
        <x:f>IF(OR(I6="",O6=""),"",I6*O6)</x:f>
      </x:c>
      <x:c r="Q6" s="32" t="str">
        <x:f>IF(P6="","",P6-H6)</x:f>
      </x:c>
      <x:c r="R6" s="29" t="str">
        <x:v>10/05/26 close: $61.45; position value $1,074.11; +$74.11 (+7.41%). BNO fell 2.61% as Middle East crude exports recovered to prewar levels and the G7 pledged a 100-million-barrel emergency release. Tanker attacks and high logistics costs preserve residual risk.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143.99</x:v>
      </x:c>
      <x:c r="K7" s="46" t="n">
        <x:f>I7*J7</x:f>
        <x:v>995.7814661134164</x:v>
      </x:c>
      <x:c r="L7" s="46" t="n">
        <x:f>K7-H7</x:f>
        <x:v>-4.2185338865836</x:v>
      </x:c>
      <x:c r="M7" s="48" t="n">
        <x:f>L7/H7</x:f>
        <x:v>-0.0042185338865836</x:v>
      </x:c>
      <x:c r="N7" s="30"/>
      <x:c r="O7" s="32"/>
      <x:c r="P7" s="32" t="str">
        <x:f>IF(OR(I7="",O7=""),"",I7*O7)</x:f>
      </x:c>
      <x:c r="Q7" s="32" t="str">
        <x:f>IF(P7="","",P7-H7)</x:f>
      </x:c>
      <x:c r="R7" s="29" t="str">
        <x:v>10/05/26 close: $143.99; position value $995.78; -$4.22 (-0.42%). USO fell 2.29% and slipped below entry as recovered crude flows and emergency releases weakened the original availability constraint; WTI settled at $89.43.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187.44</x:v>
      </x:c>
      <x:c r="K8" s="46" t="n">
        <x:f>I8*J8</x:f>
        <x:v>966.9830788278992</x:v>
      </x:c>
      <x:c r="L8" s="46" t="n">
        <x:f>K8-H8</x:f>
        <x:v>-33.01692117210075</x:v>
      </x:c>
      <x:c r="M8" s="48" t="n">
        <x:f>L8/H8</x:f>
        <x:v>-0.03301692117210075</x:v>
      </x:c>
      <x:c r="N8" s="30"/>
      <x:c r="O8" s="32"/>
      <x:c r="P8" s="32" t="str">
        <x:f>IF(OR(I8="",O8=""),"",I8*O8)</x:f>
      </x:c>
      <x:c r="Q8" s="32" t="str">
        <x:f>IF(P8="","",P8-H8)</x:f>
      </x:c>
      <x:c r="R8" s="29" t="str">
        <x:v>10/05/26 close: $187.44; position value $966.98; -$33.02 (-3.30%). XOP gained 1.36% and narrowed its loss while both direct crude funds fell, but the producer-equity proxy remains below entry and remains the weakest cumulative expression.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7b7631d80bd84417"/>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6e5d772e80604d2f"/>
  </x:tableParts>
</x:worksheet>
</file>