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63745d24bda4749" /></Relationships>
</file>

<file path=xl/workbook.xml><?xml version="1.0" encoding="utf-8"?>
<x:workbook xmlns:x="http://schemas.openxmlformats.org/spreadsheetml/2006/main">
  <x:sheets>
    <x:sheet xmlns:r="http://schemas.openxmlformats.org/officeDocument/2006/relationships" name="Summary" sheetId="1" r:id="Rb96eb5bfbe844992"/>
    <x:sheet xmlns:r="http://schemas.openxmlformats.org/officeDocument/2006/relationships" name="Thesis Ledger" sheetId="2" r:id="Rd1e8c63938504404"/>
    <x:sheet xmlns:r="http://schemas.openxmlformats.org/officeDocument/2006/relationships" name="Evidence Log" sheetId="3" r:id="Ra71b92d909834d4c"/>
    <x:sheet xmlns:r="http://schemas.openxmlformats.org/officeDocument/2006/relationships" name="Source Registry" sheetId="4" r:id="Rd380cec7355e4b42"/>
    <x:sheet xmlns:r="http://schemas.openxmlformats.org/officeDocument/2006/relationships" name="Paper Trades" sheetId="5" r:id="Rf13352ca24b44c62"/>
    <x:sheet xmlns:r="http://schemas.openxmlformats.org/officeDocument/2006/relationships" name="Scan Runs" sheetId="6" r:id="R983aa3e6b6144c22"/>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31441115b1341c2" /><Relationship Type="http://schemas.openxmlformats.org/officeDocument/2006/relationships/theme" Target="/xl/theme/theme1.xml" Id="R7257d5abe15c4fc4" /><Relationship Type="http://schemas.openxmlformats.org/officeDocument/2006/relationships/sharedStrings" Target="/xl/sharedStrings.xml" Id="Rb4ef3403e77742a2" /><Relationship Type="http://schemas.openxmlformats.org/officeDocument/2006/relationships/worksheet" Target="/xl/worksheets/sheet1.xml" Id="Rb96eb5bfbe844992" /><Relationship Type="http://schemas.openxmlformats.org/officeDocument/2006/relationships/worksheet" Target="/xl/worksheets/sheet2.xml" Id="Rd1e8c63938504404" /><Relationship Type="http://schemas.openxmlformats.org/officeDocument/2006/relationships/worksheet" Target="/xl/worksheets/sheet3.xml" Id="Ra71b92d909834d4c" /><Relationship Type="http://schemas.openxmlformats.org/officeDocument/2006/relationships/worksheet" Target="/xl/worksheets/sheet4.xml" Id="Rd380cec7355e4b42" /><Relationship Type="http://schemas.openxmlformats.org/officeDocument/2006/relationships/worksheet" Target="/xl/worksheets/sheet5.xml" Id="Rf13352ca24b44c62" /><Relationship Type="http://schemas.openxmlformats.org/officeDocument/2006/relationships/worksheet" Target="/xl/worksheets/sheet6.xml" Id="R983aa3e6b6144c22"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70f3208c3104e3d" /></Relationships>
</file>

<file path=xl/worksheets/_rels/sheet3.xml.rels>&#65279;<?xml version="1.0" encoding="utf-8"?><Relationships xmlns="http://schemas.openxmlformats.org/package/2006/relationships"><Relationship Type="http://schemas.openxmlformats.org/officeDocument/2006/relationships/table" Target="/xl/tables/table2.xml" Id="Rf8b93334ef2c4a50" /></Relationships>
</file>

<file path=xl/worksheets/_rels/sheet4.xml.rels>&#65279;<?xml version="1.0" encoding="utf-8"?><Relationships xmlns="http://schemas.openxmlformats.org/package/2006/relationships"><Relationship Type="http://schemas.openxmlformats.org/officeDocument/2006/relationships/table" Target="/xl/tables/table3.xml" Id="R3d8b856d933240fc" /></Relationships>
</file>

<file path=xl/worksheets/_rels/sheet5.xml.rels>&#65279;<?xml version="1.0" encoding="utf-8"?><Relationships xmlns="http://schemas.openxmlformats.org/package/2006/relationships"><Relationship Type="http://schemas.openxmlformats.org/officeDocument/2006/relationships/table" Target="/xl/tables/table4.xml" Id="R39fa3f7cb0114b12" /></Relationships>
</file>

<file path=xl/worksheets/_rels/sheet6.xml.rels>&#65279;<?xml version="1.0" encoding="utf-8"?><Relationships xmlns="http://schemas.openxmlformats.org/package/2006/relationships"><Relationship Type="http://schemas.openxmlformats.org/officeDocument/2006/relationships/table" Target="/xl/tables/table5.xml" Id="Rb0fad4a87f634c2c"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v>9</x:v>
      </x:c>
      <x:c r="C6" s="1"/>
      <x:c r="D6" s="1"/>
      <x:c r="E6" s="1"/>
      <x:c r="F6" s="1"/>
      <x:c r="G6" s="1"/>
      <x:c r="H6" s="1"/>
      <x:c r="I6" s="1"/>
      <x:c r="J6" s="1"/>
    </x:row>
    <x:row r="7">
      <x:c r="A7" s="1" t="str">
        <x:v>Open theses</x:v>
      </x:c>
      <x:c r="B7" s="40" t="n">
        <x:v>9</x:v>
      </x:c>
      <x:c r="C7" s="1"/>
      <x:c r="D7" s="1"/>
      <x:c r="E7" s="1"/>
      <x:c r="F7" s="1"/>
      <x:c r="G7" s="1"/>
      <x:c r="H7" s="1"/>
      <x:c r="I7" s="1"/>
      <x:c r="J7" s="1"/>
    </x:row>
    <x:row r="8">
      <x:c r="A8" s="1" t="str">
        <x:v>Evaluated theses</x:v>
      </x:c>
      <x:c r="B8" s="40" t="n">
        <x:f>COUNT('Thesis Ledger'!$AD$6:$AD$205)</x:f>
        <x:v>0</x:v>
      </x:c>
      <x:c r="C8" s="1"/>
      <x:c r="D8" s="1"/>
      <x:c r="E8" s="1"/>
      <x:c r="F8" s="1"/>
      <x:c r="G8" s="1"/>
      <x:c r="H8" s="1"/>
      <x:c r="I8" s="1"/>
      <x:c r="J8" s="1"/>
    </x:row>
    <x:row r="9">
      <x:c r="A9" s="1" t="str">
        <x:v>Average prediction score</x:v>
      </x:c>
      <x:c r="B9" s="41" t="str">
        <x:f>IFERROR(AVERAGE('Thesis Ledger'!$AD$6:$AD$205),"")</x:f>
      </x:c>
      <x:c r="C9" s="1"/>
      <x:c r="D9" s="1"/>
      <x:c r="E9" s="1"/>
      <x:c r="F9" s="1"/>
      <x:c r="G9" s="1"/>
      <x:c r="H9" s="1"/>
      <x:c r="I9" s="1"/>
      <x:c r="J9" s="1"/>
    </x:row>
    <x:row r="10">
      <x:c r="A10" s="35" t="str">
        <x:v>Preferred entry theses</x:v>
      </x:c>
      <x:c r="B10" s="42" t="n">
        <x:f>COUNTIF('Thesis Ledger'!$M$6:$M$205,"PREFERRED")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Actionable</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46283</x:v>
      </x:c>
    </x:row>
    <x:row r="14">
      <x:c r="A14" s="1" t="str">
        <x:f>'Thesis Ledger'!A7</x:f>
        <x:v>EEI-2026-002</x:v>
      </x:c>
      <x:c r="B14" s="1" t="str">
        <x:f>'Thesis Ledger'!B7</x:f>
        <x:v>Gas disruption and coal substitution</x:v>
      </x:c>
      <x:c r="C14" s="1" t="str">
        <x:f>'Thesis Ledger'!C7</x:f>
        <x:v>Energy and materials</x:v>
      </x:c>
      <x:c r="D14" s="1" t="str">
        <x:f>'Thesis Ledger'!F7</x:f>
        <x:v>Developing</x:v>
      </x:c>
      <x:c r="E14" s="1" t="n">
        <x:f>'Thesis Ledger'!K7</x:f>
        <x:v>3</x:v>
      </x:c>
      <x:c r="F14" s="1" t="n">
        <x:f>'Thesis Ledger'!L7</x:f>
        <x:v>3</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Actionable</x:v>
      </x:c>
      <x:c r="E16" s="1" t="n">
        <x:f>'Thesis Ledger'!K9</x:f>
        <x:v>4</x:v>
      </x:c>
      <x:c r="F16" s="1" t="n">
        <x:f>'Thesis Ledger'!L9</x:f>
        <x:v>2</x:v>
      </x:c>
      <x:c r="G16" s="1" t="str">
        <x:f>'Thesis Ledger'!M9</x:f>
        <x:v>WAIT</x:v>
      </x:c>
      <x:c r="H16" s="1" t="n">
        <x:f>'Thesis Ledger'!D9</x:f>
        <x:v>46276.51043981482</x:v>
      </x:c>
      <x:c r="I16" s="1" t="str">
        <x:f>'Thesis Ledger'!H9</x:f>
        <x:v>U.S. producer inflation, Fed policy expectations and long-term Treasury yields</x:v>
      </x:c>
      <x:c r="J16" s="1" t="n">
        <x:f>'Thesis Ledger'!W9</x:f>
        <x:v>46283.5</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Actionable</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Reuters reported on September 16 that constrained Hormuz and bypass-route supply still supported triple-digit crude and record diesel economics. Earlier physical-market premiums and reduced transit remain supportive.</x:v>
      </x:c>
      <x:c r="Q6" s="29" t="str">
        <x:v>Saudi Arabia began offering more crude through Oman's Sohar port, U.S. energy officials said the East-West pipeline could resume within days, and API data showed a 7.1 million-barrel U.S. crude inventory build. These are meaningful near-term reversal modifiers, though not yet proof of normalized Gulf flows.</x:v>
      </x:c>
      <x:c r="R6" s="29" t="str">
        <x:v>Mr Global remains an enhancer only; no new independently logged enhancer changed the thesis.</x:v>
      </x:c>
      <x:c r="S6" s="29" t="str">
        <x:v>Brent and WTI remained above pre-crisis levels, but prices eased as rerouting and repair expectations emerged. Physical tightness remains, while the new direction of evidence increases reversal risk and leaves little unpriced edge.</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t="n">
        <x:v>46283</x:v>
      </x:c>
      <x:c r="X6" s="43"/>
      <x:c r="Y6" s="29"/>
      <x:c r="Z6" s="29"/>
      <x:c r="AA6" s="29"/>
      <x:c r="AB6" s="29"/>
      <x:c r="AC6" s="29"/>
      <x:c r="AD6" s="29" t="str">
        <x:v>Open. September 16 evidence kept the physical thesis intact, but Saudi rerouting, a possible near-term pipeline repair and a large U.S. crude inventory build materially increased reversal risk. Status remains Actionable, confidence 5/5, trading edge 1/5 and Entry Window WAIT. Formal outcome evaluation remains due September 18.</x:v>
      </x:c>
      <x:c r="AE6" s="31" t="str">
        <x:f>IF(COUNTA(Y6:AC6)=0,"",COUNTIF(Y6:AC6,"Yes")/COUNTA(Y6:AC6))</x:f>
      </x:c>
    </x:row>
    <x:row r="7">
      <x:c r="A7" s="27" t="str">
        <x:v>EEI-2026-002</x:v>
      </x:c>
      <x:c r="B7" s="27" t="str">
        <x:v>Gas disruption and coal substitution</x:v>
      </x:c>
      <x:c r="C7" s="27" t="str">
        <x:v>Energy and materials</x:v>
      </x:c>
      <x:c r="D7" s="30" t="n">
        <x:v>46275</x:v>
      </x:c>
      <x:c r="E7" s="30" t="n">
        <x:v>46275.5</x:v>
      </x:c>
      <x:c r="F7" s="27" t="str">
        <x:v>Developing</x:v>
      </x:c>
      <x:c r="G7" s="27" t="str">
        <x:v>Supply chain</x:v>
      </x:c>
      <x:c r="H7" s="27" t="str">
        <x:v>Coal demand from fuel switching</x:v>
      </x:c>
      <x:c r="I7" s="27" t="str">
        <x:v>Up</x:v>
      </x:c>
      <x:c r="J7" s="27" t="str">
        <x:v>Weeks to months</x:v>
      </x:c>
      <x:c r="K7" s="27" t="n">
        <x:v>3</x:v>
      </x:c>
      <x:c r="L7" s="27" t="n">
        <x:v>3</x:v>
      </x:c>
      <x:c r="M7" s="27" t="str">
        <x:v>WAIT</x:v>
      </x:c>
      <x:c r="N7" s="29" t="str">
        <x:v>Gas and LNG disruption may cause utilities or industrial users to substitute coal.</x:v>
      </x:c>
      <x:c r="O7" s="29" t="str">
        <x:v>Constrained gas availability and higher gas prices improve the relative economics of coal where switching is feasible.</x:v>
      </x:c>
      <x:c r="P7" s="29" t="str">
        <x:v>IEA demand revisions and gas or LNG disruption evidence.</x:v>
      </x:c>
      <x:c r="Q7" s="29" t="str">
        <x:v>De-escalation, restored gas supply, emissions restrictions, limited switching capacity, or coal already repriced.</x:v>
      </x:c>
      <x:c r="R7" s="29" t="str"/>
      <x:c r="S7" s="29" t="str">
        <x:v>Needs continuing coal-price, producer and utility-demand confirmation.</x:v>
      </x:c>
      <x:c r="T7" s="29" t="str">
        <x:v>Direct coal exposure where available; coal producers after mapping review</x:v>
      </x:c>
      <x:c r="U7" s="29" t="str">
        <x:v>Gas normalization or demand data failing to show substitution.</x:v>
      </x:c>
      <x:c r="V7" s="43" t="n">
        <x:v>46275</x:v>
      </x:c>
      <x:c r="W7" s="43" t="n">
        <x:v>46296</x:v>
      </x:c>
      <x:c r="X7" s="43"/>
      <x:c r="Y7" s="29"/>
      <x:c r="Z7" s="29"/>
      <x:c r="AA7" s="29"/>
      <x:c r="AB7" s="29"/>
      <x:c r="AC7" s="29"/>
      <x:c r="AD7" s="29" t="str">
        <x:v>Second-order thesis; instrument mapping remains incomplete.</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A September 14 Reuters/Ipsos national survey showed a wider generic congressional-ballot gap than earlier surveys. This is evidence of changing national sentiment, not confirmation of House or Senate control; district- and state-level contests remain decisive.</x:v>
      </x:c>
      <x:c r="O8" s="29" t="str">
        <x:v>Expected changes in fiscal, regulatory and sector policy could alter risk appetite and relative performance.</x:v>
      </x:c>
      <x:c r="P8" s="29" t="str">
        <x:v>The September 14 Reuters/Ipsos survey provides a new, independently reported indication that national congressional preferences have shifted. Corporate earnings remain broadly supportive, and the S&amp;P 500 traded near 19 times expected earnings after recent declines. Neither point establishes an investable election outcome.</x:v>
      </x:c>
      <x:c r="Q8" s="29" t="str">
        <x:v>The strongest contradiction is now confirmed in both macro data and market behavior: August CPI rose 0.4% month over month and 3.4% year over year; Brent remained above $107; the 10-year Treasury yield reached 5.041%; and Tuesday's equity breadth was negative. Small caps, industrials, financials and biotech all underperformed SPY intraday, so the expected broadening mechanism is not appearing.</x:v>
      </x:c>
      <x:c r="R8" s="29"/>
      <x:c r="S8" s="29" t="str">
        <x:v>At approximately 11:30 a.m. ET on September 15, SPY was down 0.46%, RSP 0.49%, IWM 1.09%, XLI 0.72%, XLB 0.24%, XLV 0.12%, XBI 2.73% and XLF 0.75%; CPER was up 0.60%. Reuters reported that only energy and technology were higher among S&amp;P sectors, while decliners led advancers by about 1.8-to-1 on the NYSE and 1.9-to-1 on Nasdaq. This is negative market confirmation for broadening.</x:v>
      </x:c>
      <x:c r="T8" s="29" t="str">
        <x:v>No candidate is an entry signal. SPY remains watch-only. RSP must outperform SPY over multiple sessions; IWM and XLF require lower or stable yields and better domestic breadth; XLI must recover relative leadership; XLB/CPER need confirmation beyond commodity resilience; XLV needs sustained non-defensive leadership and XBI must stabilize.</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New national polling strengthens the political trigger but does not establish chamber control or a specific policy path. Monday's final breadth and Tuesday's intraday tape weaken market confirmation, while oil above $107 and the 10-year yield above 5% reinforce the principal modifier. Classification remains Developing, thesis confidence 3/5 and trading edge 1/5. Entry Window remains WAIT and inactive until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Actionable</x:v>
      </x:c>
      <x:c r="G9" s="27" t="str">
        <x:v>Economic data and market repricing</x:v>
      </x:c>
      <x:c r="H9" s="27" t="str">
        <x:v>U.S. producer inflation, Fed policy expectations and long-term Treasury yields</x:v>
      </x:c>
      <x:c r="I9" s="27" t="str">
        <x:v>Up</x:v>
      </x:c>
      <x:c r="J9" s="27" t="str">
        <x:v>Days to weeks</x:v>
      </x:c>
      <x:c r="K9" s="27" t="n">
        <x:v>4</x:v>
      </x:c>
      <x:c r="L9" s="27" t="n">
        <x:v>2</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Reuters reported Brent above $107 and WTI above $102 on September 14, with Asian refiners paying sharply higher premiums for alternative crude. Bond markets remained under pressure ahead of the Fed decision.</x:v>
      </x:c>
      <x:c r="Q9" s="29" t="str">
        <x:v>A rapid supply restoration or demand destruction could reverse oil; the Fed can look through a temporary supply shock; fiscal supply also affects yields; and the rates expression has not accelerated in proportion to oil.</x:v>
      </x:c>
      <x:c r="R9" s="29"/>
      <x:c r="S9" s="29" t="str">
        <x:v>Energy prices confirmed further, but the long-duration rates expression had only limited same-morning confirmation. The September 16 Fed decision remains a binary event and chasing inverse-duration exposure ahead of it remains unattractive.</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t="n">
        <x:v>46283.5</x:v>
      </x:c>
      <x:c r="X9" s="43"/>
      <x:c r="Y9" s="29"/>
      <x:c r="Z9" s="29"/>
      <x:c r="AA9" s="29"/>
      <x:c r="AB9" s="29"/>
      <x:c r="AC9" s="29"/>
      <x:c r="AD9" s="29" t="str">
        <x:v>Open. Oil and physical premiums strengthened the inflation mechanism on September 14, but rate-market confirmation remained incomplete ahead of the September 16 Fed decision. Status remains Actionable, confidence 4/5, trading edge 2/5 and Entry Window WAIT. No outcome fields were completed.</x:v>
      </x:c>
      <x:c r="AE9" s="31" t="str">
        <x:f>IF(COUNTA(Y9:AC9)=0,"",COUNTIF(Y9:AC9,"Yes")/COUNTA(Y9:AC9))</x:f>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46283</x:v>
      </x:c>
      <x:c r="X13" s="43"/>
      <x:c r="Y13" s="29"/>
      <x:c r="Z13" s="29"/>
      <x:c r="AA13" s="29"/>
      <x:c r="AB13" s="29"/>
      <x:c r="AC13" s="29"/>
      <x:c r="AD13" s="29" t="str">
        <x:v>Open. Primary government confirmation strengthened the economic mechanism, but ELMT's roughly 33% September 14 jump reduced trading edge from 2/5 to 1/5. Entry Window remains WAIT pending consolidation or retracement, primary award indexing, full capital terms and milestone visibility. Formal first evaluation remains due September 18.</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Strong</x:v>
      </x:c>
      <x:c r="G14" s="27" t="str">
        <x:v>Supply chain and market dislocation</x:v>
      </x:c>
      <x:c r="H14" s="27" t="str">
        <x:v>Global diesel crack spreads, distillate inventories and refinery margins</x:v>
      </x:c>
      <x:c r="I14" s="27" t="str">
        <x:v>Up</x:v>
      </x:c>
      <x:c r="J14" s="27" t="str">
        <x:v>Days to months</x:v>
      </x:c>
      <x:c r="K14" s="27" t="n">
        <x:v>4</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Reuters/LSEG reported record Asian 10ppm diesel margins above $87 per barrel and a front-month spread above $11. Reuters separately reported that Middle East disruption cut European diesel and jet-fuel supply by roughly one quarter, left inventories at a 12-year low and materially improved Dangote refinery earnings.</x:v>
      </x:c>
      <x:c r="Q14" s="29" t="str">
        <x:v>Record margins are already priced into the commodity complex; refiners are increasing runs and exports; Saudi rerouting through Oman and a possible near-term pipeline repair could ease feedstock and product constraints; high retail prices can destroy demand or trigger policy intervention.</x:v>
      </x:c>
      <x:c r="R14" s="29"/>
      <x:c r="S14" s="29" t="str">
        <x:v>Record crack spreads, backwardation and reported physical cargo scarcity confirm the economic variable. The same extremes create headline-chasing and mean-reversion risk, so market confirmation does not establish a favorable entry.</x:v>
      </x:c>
      <x:c r="T14" s="29" t="str">
        <x:v>Conditional only after orderly consolidation or a non-headline pullback that preserves physical tightness: CRAK for diversified refinery exposure; VLO, MPC or PSX as company-specific indirect expressions. Direct diesel or gasoil futures are cleaner economically but carry leverage, roll, liquidity and gap risks. Dangote is not yet publicly traded.</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Classified Strong at 4/5 confidence because physical prices, time spreads and reported inventory shortages confirm the variable. Trading edge is 1/5 and Entry Window WAIT because margins are already at records, exposure mapping is indirect and reversal risk rises if rerouting, repairs or higher refinery runs restore supply.</x:v>
      </x:c>
      <x:c r="AE14" s="31"/>
    </x:row>
    <x:row r="15">
      <x:c r="A15" s="27"/>
      <x:c r="B15" s="27"/>
      <x:c r="C15" s="27"/>
      <x:c r="D15" s="30"/>
      <x:c r="E15" s="30"/>
      <x:c r="F15" s="27"/>
      <x:c r="G15" s="27"/>
      <x:c r="H15" s="27"/>
      <x:c r="I15" s="27"/>
      <x:c r="J15" s="27"/>
      <x:c r="K15" s="27"/>
      <x:c r="L15" s="27"/>
      <x:c r="M15" s="27"/>
      <x:c r="N15" s="29"/>
      <x:c r="O15" s="29"/>
      <x:c r="P15" s="29"/>
      <x:c r="Q15" s="29"/>
      <x:c r="R15" s="29"/>
      <x:c r="S15" s="29"/>
      <x:c r="T15" s="29"/>
      <x:c r="U15" s="29"/>
      <x:c r="V15" s="43"/>
      <x:c r="W15" s="43"/>
      <x:c r="X15" s="43"/>
      <x:c r="Y15" s="29"/>
      <x:c r="Z15" s="29"/>
      <x:c r="AA15" s="29"/>
      <x:c r="AB15" s="29"/>
      <x:c r="AC15" s="29"/>
      <x:c r="AD15" s="29"/>
      <x:c r="AE15" s="31" t="str">
        <x:f>IF(COUNTA(Y15:AC15)=0,"",COUNTIF(Y15:AC15,"Yes")/COUNTA(Y15:AC15))</x:f>
      </x:c>
    </x:row>
    <x:row r="16">
      <x:c r="A16" s="27"/>
      <x:c r="B16" s="27"/>
      <x:c r="C16" s="27"/>
      <x:c r="D16" s="30"/>
      <x:c r="E16" s="30"/>
      <x:c r="F16" s="27"/>
      <x:c r="G16" s="27"/>
      <x:c r="H16" s="27"/>
      <x:c r="I16" s="27"/>
      <x:c r="J16" s="27"/>
      <x:c r="K16" s="27"/>
      <x:c r="L16" s="27"/>
      <x:c r="M16" s="27"/>
      <x:c r="N16" s="29"/>
      <x:c r="O16" s="29"/>
      <x:c r="P16" s="29"/>
      <x:c r="Q16" s="29"/>
      <x:c r="R16" s="29"/>
      <x:c r="S16" s="29"/>
      <x:c r="T16" s="29"/>
      <x:c r="U16" s="29"/>
      <x:c r="V16" s="43"/>
      <x:c r="W16" s="43"/>
      <x:c r="X16" s="43"/>
      <x:c r="Y16" s="29"/>
      <x:c r="Z16" s="29"/>
      <x:c r="AA16" s="29"/>
      <x:c r="AB16" s="29"/>
      <x:c r="AC16" s="29"/>
      <x:c r="AD16" s="29"/>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270f3208c3104e3d"/>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x:c r="B72" s="27"/>
      <x:c r="C72" s="28"/>
      <x:c r="D72" s="27"/>
      <x:c r="E72" s="27"/>
      <x:c r="F72" s="27"/>
      <x:c r="G72" s="29"/>
      <x:c r="H72" s="29"/>
      <x:c r="I72" s="29"/>
      <x:c r="J72" s="29"/>
      <x:c r="K72" s="29"/>
    </x:row>
    <x:row r="73">
      <x:c r="A73" s="27"/>
      <x:c r="B73" s="27"/>
      <x:c r="C73" s="28"/>
      <x:c r="D73" s="27"/>
      <x:c r="E73" s="27"/>
      <x:c r="F73" s="27"/>
      <x:c r="G73" s="29"/>
      <x:c r="H73" s="29"/>
      <x:c r="I73" s="29"/>
      <x:c r="J73" s="29"/>
      <x:c r="K73" s="29"/>
    </x:row>
    <x:row r="74">
      <x:c r="A74" s="27"/>
      <x:c r="B74" s="27"/>
      <x:c r="C74" s="28"/>
      <x:c r="D74" s="27"/>
      <x:c r="E74" s="27"/>
      <x:c r="F74" s="27"/>
      <x:c r="G74" s="29"/>
      <x:c r="H74" s="29"/>
      <x:c r="I74" s="29"/>
      <x:c r="J74" s="29"/>
      <x:c r="K74" s="29"/>
    </x:row>
    <x:row r="75">
      <x:c r="A75" s="27"/>
      <x:c r="B75" s="27"/>
      <x:c r="C75" s="28"/>
      <x:c r="D75" s="27"/>
      <x:c r="E75" s="27"/>
      <x:c r="F75" s="27"/>
      <x:c r="G75" s="29"/>
      <x:c r="H75" s="29"/>
      <x:c r="I75" s="29"/>
      <x:c r="J75" s="29"/>
      <x:c r="K75" s="29"/>
    </x:row>
    <x:row r="76">
      <x:c r="A76" s="27"/>
      <x:c r="B76" s="27"/>
      <x:c r="C76" s="28"/>
      <x:c r="D76" s="27"/>
      <x:c r="E76" s="27"/>
      <x:c r="F76" s="27"/>
      <x:c r="G76" s="29"/>
      <x:c r="H76" s="29"/>
      <x:c r="I76" s="29"/>
      <x:c r="J76" s="29"/>
      <x:c r="K76" s="29"/>
    </x:row>
    <x:row r="77">
      <x:c r="A77" s="27"/>
      <x:c r="B77" s="27"/>
      <x:c r="C77" s="28"/>
      <x:c r="D77" s="27"/>
      <x:c r="E77" s="27"/>
      <x:c r="F77" s="27"/>
      <x:c r="G77" s="29"/>
      <x:c r="H77" s="29"/>
      <x:c r="I77" s="29"/>
      <x:c r="J77" s="29"/>
      <x:c r="K77" s="29"/>
    </x:row>
    <x:row r="78">
      <x:c r="A78" s="27"/>
      <x:c r="B78" s="27"/>
      <x:c r="C78" s="28"/>
      <x:c r="D78" s="27"/>
      <x:c r="E78" s="27"/>
      <x:c r="F78" s="27"/>
      <x:c r="G78" s="29"/>
      <x:c r="H78" s="29"/>
      <x:c r="I78" s="29"/>
      <x:c r="J78" s="29"/>
      <x:c r="K78" s="29"/>
    </x:row>
    <x:row r="79">
      <x:c r="A79" s="27"/>
      <x:c r="B79" s="27"/>
      <x:c r="C79" s="28"/>
      <x:c r="D79" s="27"/>
      <x:c r="E79" s="27"/>
      <x:c r="F79" s="27"/>
      <x:c r="G79" s="29"/>
      <x:c r="H79" s="29"/>
      <x:c r="I79" s="29"/>
      <x:c r="J79" s="29"/>
      <x:c r="K79" s="29"/>
    </x:row>
    <x:row r="80">
      <x:c r="A80" s="27"/>
      <x:c r="B80" s="27"/>
      <x:c r="C80" s="28"/>
      <x:c r="D80" s="27"/>
      <x:c r="E80" s="27"/>
      <x:c r="F80" s="27"/>
      <x:c r="G80" s="29"/>
      <x:c r="H80" s="29"/>
      <x:c r="I80" s="29"/>
      <x:c r="J80" s="29"/>
      <x:c r="K80" s="29"/>
    </x:row>
    <x:row r="81">
      <x:c r="A81" s="27"/>
      <x:c r="B81" s="27"/>
      <x:c r="C81" s="28"/>
      <x:c r="D81" s="27"/>
      <x:c r="E81" s="27"/>
      <x:c r="F81" s="27"/>
      <x:c r="G81" s="29"/>
      <x:c r="H81" s="29"/>
      <x:c r="I81" s="29"/>
      <x:c r="J81" s="29"/>
      <x:c r="K81" s="29"/>
    </x:row>
    <x:row r="82">
      <x:c r="A82" s="27"/>
      <x:c r="B82" s="27"/>
      <x:c r="C82" s="28"/>
      <x:c r="D82" s="27"/>
      <x:c r="E82" s="27"/>
      <x:c r="F82" s="27"/>
      <x:c r="G82" s="29"/>
      <x:c r="H82" s="29"/>
      <x:c r="I82" s="29"/>
      <x:c r="J82" s="29"/>
      <x:c r="K82" s="29"/>
    </x:row>
    <x:row r="83">
      <x:c r="A83" s="27"/>
      <x:c r="B83" s="27"/>
      <x:c r="C83" s="28"/>
      <x:c r="D83" s="27"/>
      <x:c r="E83" s="27"/>
      <x:c r="F83" s="27"/>
      <x:c r="G83" s="29"/>
      <x:c r="H83" s="29"/>
      <x:c r="I83" s="29"/>
      <x:c r="J83" s="29"/>
      <x:c r="K83" s="29"/>
    </x:row>
    <x:row r="84">
      <x:c r="A84" s="27"/>
      <x:c r="B84" s="27"/>
      <x:c r="C84" s="28"/>
      <x:c r="D84" s="27"/>
      <x:c r="E84" s="27"/>
      <x:c r="F84" s="27"/>
      <x:c r="G84" s="29"/>
      <x:c r="H84" s="29"/>
      <x:c r="I84" s="29"/>
      <x:c r="J84" s="29"/>
      <x:c r="K84" s="29"/>
    </x:row>
    <x:row r="85">
      <x:c r="A85" s="27"/>
      <x:c r="B85" s="27"/>
      <x:c r="C85" s="28"/>
      <x:c r="D85" s="27"/>
      <x:c r="E85" s="27"/>
      <x:c r="F85" s="27"/>
      <x:c r="G85" s="29"/>
      <x:c r="H85" s="29"/>
      <x:c r="I85" s="29"/>
      <x:c r="J85" s="29"/>
      <x:c r="K85" s="29"/>
    </x:row>
    <x:row r="86">
      <x:c r="A86" s="27"/>
      <x:c r="B86" s="27"/>
      <x:c r="C86" s="28"/>
      <x:c r="D86" s="27"/>
      <x:c r="E86" s="27"/>
      <x:c r="F86" s="27"/>
      <x:c r="G86" s="29"/>
      <x:c r="H86" s="29"/>
      <x:c r="I86" s="29"/>
      <x:c r="J86" s="29"/>
      <x:c r="K86" s="29"/>
    </x:row>
    <x:row r="87">
      <x:c r="A87" s="27"/>
      <x:c r="B87" s="27"/>
      <x:c r="C87" s="28"/>
      <x:c r="D87" s="27"/>
      <x:c r="E87" s="27"/>
      <x:c r="F87" s="27"/>
      <x:c r="G87" s="29"/>
      <x:c r="H87" s="29"/>
      <x:c r="I87" s="29"/>
      <x:c r="J87" s="29"/>
      <x:c r="K87" s="29"/>
    </x:row>
    <x:row r="88">
      <x:c r="A88" s="27"/>
      <x:c r="B88" s="27"/>
      <x:c r="C88" s="28"/>
      <x:c r="D88" s="27"/>
      <x:c r="E88" s="27"/>
      <x:c r="F88" s="27"/>
      <x:c r="G88" s="29"/>
      <x:c r="H88" s="29"/>
      <x:c r="I88" s="29"/>
      <x:c r="J88" s="29"/>
      <x:c r="K88" s="29"/>
    </x:row>
    <x:row r="89">
      <x:c r="A89" s="27"/>
      <x:c r="B89" s="27"/>
      <x:c r="C89" s="28"/>
      <x:c r="D89" s="27"/>
      <x:c r="E89" s="27"/>
      <x:c r="F89" s="27"/>
      <x:c r="G89" s="29"/>
      <x:c r="H89" s="29"/>
      <x:c r="I89" s="29"/>
      <x:c r="J89" s="29"/>
      <x:c r="K89" s="29"/>
    </x:row>
    <x:row r="90">
      <x:c r="A90" s="27"/>
      <x:c r="B90" s="27"/>
      <x:c r="C90" s="28"/>
      <x:c r="D90" s="27"/>
      <x:c r="E90" s="27"/>
      <x:c r="F90" s="27"/>
      <x:c r="G90" s="29"/>
      <x:c r="H90" s="29"/>
      <x:c r="I90" s="29"/>
      <x:c r="J90" s="29"/>
      <x:c r="K90" s="29"/>
    </x:row>
    <x:row r="91">
      <x:c r="A91" s="27"/>
      <x:c r="B91" s="27"/>
      <x:c r="C91" s="28"/>
      <x:c r="D91" s="27"/>
      <x:c r="E91" s="27"/>
      <x:c r="F91" s="27"/>
      <x:c r="G91" s="29"/>
      <x:c r="H91" s="29"/>
      <x:c r="I91" s="29"/>
      <x:c r="J91" s="29"/>
      <x:c r="K91" s="29"/>
    </x:row>
    <x:row r="92">
      <x:c r="A92" s="27"/>
      <x:c r="B92" s="27"/>
      <x:c r="C92" s="28"/>
      <x:c r="D92" s="27"/>
      <x:c r="E92" s="27"/>
      <x:c r="F92" s="27"/>
      <x:c r="G92" s="29"/>
      <x:c r="H92" s="29"/>
      <x:c r="I92" s="29"/>
      <x:c r="J92" s="29"/>
      <x:c r="K92" s="29"/>
    </x:row>
    <x:row r="93">
      <x:c r="A93" s="27"/>
      <x:c r="B93" s="27"/>
      <x:c r="C93" s="28"/>
      <x:c r="D93" s="27"/>
      <x:c r="E93" s="27"/>
      <x:c r="F93" s="27"/>
      <x:c r="G93" s="29"/>
      <x:c r="H93" s="29"/>
      <x:c r="I93" s="29"/>
      <x:c r="J93" s="29"/>
      <x:c r="K93" s="29"/>
    </x:row>
    <x:row r="94">
      <x:c r="A94" s="27"/>
      <x:c r="B94" s="27"/>
      <x:c r="C94" s="28"/>
      <x:c r="D94" s="27"/>
      <x:c r="E94" s="27"/>
      <x:c r="F94" s="27"/>
      <x:c r="G94" s="29"/>
      <x:c r="H94" s="29"/>
      <x:c r="I94" s="29"/>
      <x:c r="J94" s="29"/>
      <x:c r="K94" s="29"/>
    </x:row>
    <x:row r="95">
      <x:c r="A95" s="27"/>
      <x:c r="B95" s="27"/>
      <x:c r="C95" s="28"/>
      <x:c r="D95" s="27"/>
      <x:c r="E95" s="27"/>
      <x:c r="F95" s="27"/>
      <x:c r="G95" s="29"/>
      <x:c r="H95" s="29"/>
      <x:c r="I95" s="29"/>
      <x:c r="J95" s="29"/>
      <x:c r="K95" s="29"/>
    </x:row>
    <x:row r="96">
      <x:c r="A96" s="27"/>
      <x:c r="B96" s="27"/>
      <x:c r="C96" s="28"/>
      <x:c r="D96" s="27"/>
      <x:c r="E96" s="27"/>
      <x:c r="F96" s="27"/>
      <x:c r="G96" s="29"/>
      <x:c r="H96" s="29"/>
      <x:c r="I96" s="29"/>
      <x:c r="J96" s="29"/>
      <x:c r="K96" s="29"/>
    </x:row>
    <x:row r="97">
      <x:c r="A97" s="27"/>
      <x:c r="B97" s="27"/>
      <x:c r="C97" s="28"/>
      <x:c r="D97" s="27"/>
      <x:c r="E97" s="27"/>
      <x:c r="F97" s="27"/>
      <x:c r="G97" s="29"/>
      <x:c r="H97" s="29"/>
      <x:c r="I97" s="29"/>
      <x:c r="J97" s="29"/>
      <x:c r="K97" s="29"/>
    </x:row>
    <x:row r="98">
      <x:c r="A98" s="27"/>
      <x:c r="B98" s="27"/>
      <x:c r="C98" s="28"/>
      <x:c r="D98" s="27"/>
      <x:c r="E98" s="27"/>
      <x:c r="F98" s="27"/>
      <x:c r="G98" s="29"/>
      <x:c r="H98" s="29"/>
      <x:c r="I98" s="29"/>
      <x:c r="J98" s="29"/>
      <x:c r="K98" s="29"/>
    </x:row>
    <x:row r="99">
      <x:c r="A99" s="27"/>
      <x:c r="B99" s="27"/>
      <x:c r="C99" s="28"/>
      <x:c r="D99" s="27"/>
      <x:c r="E99" s="27"/>
      <x:c r="F99" s="27"/>
      <x:c r="G99" s="29"/>
      <x:c r="H99" s="29"/>
      <x:c r="I99" s="29"/>
      <x:c r="J99" s="29"/>
      <x:c r="K99" s="29"/>
    </x:row>
    <x:row r="100">
      <x:c r="A100" s="27"/>
      <x:c r="B100" s="27"/>
      <x:c r="C100" s="28"/>
      <x:c r="D100" s="27"/>
      <x:c r="E100" s="27"/>
      <x:c r="F100" s="27"/>
      <x:c r="G100" s="29"/>
      <x:c r="H100" s="29"/>
      <x:c r="I100" s="29"/>
      <x:c r="J100" s="29"/>
      <x:c r="K100" s="29"/>
    </x:row>
    <x:row r="101">
      <x:c r="A101"/>
      <x:c r="B101"/>
      <x:c r="C101" s="21"/>
      <x:c r="D101"/>
      <x:c r="E101"/>
      <x:c r="F101"/>
      <x:c r="G101" s="44"/>
      <x:c r="H101" s="44"/>
      <x:c r="I101" s="44"/>
      <x:c r="J101" s="44"/>
      <x:c r="K101" s="44"/>
    </x:row>
    <x:row r="102">
      <x:c r="A102"/>
      <x:c r="B102"/>
      <x:c r="C102" s="21"/>
      <x:c r="D102"/>
      <x:c r="E102"/>
      <x:c r="F102"/>
      <x:c r="G102" s="44"/>
      <x:c r="H102" s="44"/>
      <x:c r="I102" s="44"/>
      <x:c r="J102" s="44"/>
      <x:c r="K102" s="44"/>
    </x:row>
    <x:row r="103">
      <x:c r="A103"/>
      <x:c r="B103"/>
      <x:c r="C103" s="21"/>
      <x:c r="D103"/>
      <x:c r="E103"/>
      <x:c r="F103"/>
      <x:c r="G103" s="44"/>
      <x:c r="H103" s="44"/>
      <x:c r="I103" s="44"/>
      <x:c r="J103" s="44"/>
      <x:c r="K103" s="44"/>
    </x:row>
    <x:row r="104">
      <x:c r="A104"/>
      <x:c r="B104"/>
      <x:c r="C104" s="21"/>
      <x:c r="D104"/>
      <x:c r="E104"/>
      <x:c r="F104"/>
      <x:c r="G104" s="44"/>
      <x:c r="H104" s="44"/>
      <x:c r="I104" s="44"/>
      <x:c r="J104" s="44"/>
      <x:c r="K104" s="44"/>
    </x:row>
    <x:row r="105">
      <x:c r="C105" s="21"/>
      <x:c r="G105" s="44"/>
      <x:c r="H105" s="44"/>
      <x:c r="I105" s="44"/>
      <x:c r="J105" s="44"/>
      <x:c r="K105" s="44"/>
    </x:row>
    <x:row r="106">
      <x:c r="C106" s="21"/>
      <x:c r="G106" s="44"/>
      <x:c r="H106" s="44"/>
      <x:c r="I106" s="44"/>
      <x:c r="J106" s="44"/>
      <x:c r="K106" s="44"/>
    </x:row>
    <x:row r="107">
      <x:c r="C107" s="21"/>
      <x:c r="G107" s="44"/>
      <x:c r="H107" s="44"/>
      <x:c r="I107" s="44"/>
      <x:c r="J107" s="44"/>
      <x:c r="K107" s="44"/>
    </x:row>
    <x:row r="108">
      <x:c r="C108" s="21"/>
      <x:c r="G108" s="44"/>
      <x:c r="H108" s="44"/>
      <x:c r="I108" s="44"/>
      <x:c r="J108" s="44"/>
      <x:c r="K108" s="44"/>
    </x:row>
    <x:row r="109">
      <x:c r="C109" s="21"/>
      <x:c r="G109" s="44"/>
      <x:c r="H109" s="44"/>
      <x:c r="I109" s="44"/>
      <x:c r="J109" s="44"/>
      <x:c r="K109" s="44"/>
    </x:row>
    <x:row r="110">
      <x:c r="C110" s="21"/>
      <x:c r="G110" s="44"/>
      <x:c r="H110" s="44"/>
      <x:c r="I110" s="44"/>
      <x:c r="J110" s="44"/>
      <x:c r="K110" s="44"/>
    </x:row>
    <x:row r="111">
      <x:c r="C111" s="21"/>
      <x:c r="G111" s="44"/>
      <x:c r="H111" s="44"/>
      <x:c r="I111" s="44"/>
      <x:c r="J111" s="44"/>
      <x:c r="K111" s="44"/>
    </x:row>
    <x:row r="112">
      <x:c r="C112" s="21"/>
      <x:c r="G112" s="44"/>
      <x:c r="H112" s="44"/>
      <x:c r="I112" s="44"/>
      <x:c r="J112" s="44"/>
      <x:c r="K112" s="44"/>
    </x:row>
    <x:row r="113">
      <x:c r="C113" s="21"/>
      <x:c r="G113" s="44"/>
      <x:c r="H113" s="44"/>
      <x:c r="I113" s="44"/>
      <x:c r="J113" s="44"/>
      <x:c r="K113" s="44"/>
    </x:row>
    <x:row r="114">
      <x:c r="C114" s="21"/>
      <x:c r="G114" s="44"/>
      <x:c r="H114" s="44"/>
      <x:c r="I114" s="44"/>
      <x:c r="J114" s="44"/>
      <x:c r="K114" s="44"/>
    </x:row>
    <x:row r="115">
      <x:c r="C115" s="21"/>
      <x:c r="G115" s="44"/>
      <x:c r="H115" s="44"/>
      <x:c r="I115" s="44"/>
      <x:c r="J115" s="44"/>
      <x:c r="K115" s="44"/>
    </x:row>
    <x:row r="116">
      <x:c r="C116" s="21"/>
      <x:c r="G116" s="44"/>
      <x:c r="H116" s="44"/>
      <x:c r="I116" s="44"/>
      <x:c r="J116" s="44"/>
      <x:c r="K116" s="44"/>
    </x:row>
    <x:row r="117">
      <x:c r="C117" s="21"/>
      <x:c r="G117" s="44"/>
      <x:c r="H117" s="44"/>
      <x:c r="I117" s="44"/>
      <x:c r="J117" s="44"/>
      <x:c r="K117" s="44"/>
    </x:row>
    <x:row r="118">
      <x:c r="C118" s="21"/>
      <x:c r="G118" s="44"/>
      <x:c r="H118" s="44"/>
      <x:c r="I118" s="44"/>
      <x:c r="J118" s="44"/>
      <x:c r="K118" s="44"/>
    </x:row>
    <x:row r="119">
      <x:c r="C119" s="21"/>
      <x:c r="G119" s="44"/>
      <x:c r="H119" s="44"/>
      <x:c r="I119" s="44"/>
      <x:c r="J119" s="44"/>
      <x:c r="K119" s="44"/>
    </x:row>
    <x:row r="120">
      <x:c r="C120" s="21"/>
      <x:c r="G120" s="44"/>
      <x:c r="H120" s="44"/>
      <x:c r="I120" s="44"/>
      <x:c r="J120" s="44"/>
      <x:c r="K120" s="44"/>
    </x:row>
    <x:row r="121">
      <x:c r="C121" s="21"/>
      <x:c r="G121" s="44"/>
      <x:c r="H121" s="44"/>
      <x:c r="I121" s="44"/>
      <x:c r="J121" s="44"/>
      <x:c r="K121" s="44"/>
    </x:row>
    <x:row r="122">
      <x:c r="C122" s="21"/>
      <x:c r="G122" s="44"/>
      <x:c r="H122" s="44"/>
      <x:c r="I122" s="44"/>
      <x:c r="J122" s="44"/>
      <x:c r="K122" s="44"/>
    </x:row>
    <x:row r="123">
      <x:c r="C123" s="21"/>
      <x:c r="G123" s="44"/>
      <x:c r="H123" s="44"/>
      <x:c r="I123" s="44"/>
      <x:c r="J123" s="44"/>
      <x:c r="K123" s="44"/>
    </x:row>
    <x:row r="124">
      <x:c r="C124" s="21"/>
      <x:c r="G124" s="44"/>
      <x:c r="H124" s="44"/>
      <x:c r="I124" s="44"/>
      <x:c r="J124" s="44"/>
      <x:c r="K124" s="44"/>
    </x:row>
    <x:row r="125">
      <x:c r="C125" s="21"/>
      <x:c r="G125" s="44"/>
      <x:c r="H125" s="44"/>
      <x:c r="I125" s="44"/>
      <x:c r="J125" s="44"/>
      <x:c r="K125" s="44"/>
    </x:row>
    <x:row r="126">
      <x:c r="C126" s="21"/>
      <x:c r="G126" s="44"/>
      <x:c r="H126" s="44"/>
      <x:c r="I126" s="44"/>
      <x:c r="J126" s="44"/>
      <x:c r="K126" s="44"/>
    </x:row>
    <x:row r="127">
      <x:c r="C127" s="21"/>
      <x:c r="G127" s="44"/>
      <x:c r="H127" s="44"/>
      <x:c r="I127" s="44"/>
      <x:c r="J127" s="44"/>
      <x:c r="K127" s="44"/>
    </x:row>
    <x:row r="128">
      <x:c r="C128" s="21"/>
      <x:c r="G128" s="44"/>
      <x:c r="H128" s="44"/>
      <x:c r="I128" s="44"/>
      <x:c r="J128" s="44"/>
      <x:c r="K128" s="44"/>
    </x:row>
    <x:row r="129">
      <x:c r="C129" s="21"/>
      <x:c r="G129" s="44"/>
      <x:c r="H129" s="44"/>
      <x:c r="I129" s="44"/>
      <x:c r="J129" s="44"/>
      <x:c r="K129" s="44"/>
    </x:row>
    <x:row r="130">
      <x:c r="C130" s="21"/>
      <x:c r="G130" s="44"/>
      <x:c r="H130" s="44"/>
      <x:c r="I130" s="44"/>
      <x:c r="J130" s="44"/>
      <x:c r="K130" s="44"/>
    </x:row>
    <x:row r="131">
      <x:c r="C131" s="21"/>
      <x:c r="G131" s="44"/>
      <x:c r="H131" s="44"/>
      <x:c r="I131" s="44"/>
      <x:c r="J131" s="44"/>
      <x:c r="K131" s="44"/>
    </x:row>
    <x:row r="132">
      <x:c r="C132" s="21"/>
      <x:c r="G132" s="44"/>
      <x:c r="H132" s="44"/>
      <x:c r="I132" s="44"/>
      <x:c r="J132" s="44"/>
      <x:c r="K132" s="44"/>
    </x:row>
    <x:row r="133">
      <x:c r="C133" s="21"/>
      <x:c r="G133" s="44"/>
      <x:c r="H133" s="44"/>
      <x:c r="I133" s="44"/>
      <x:c r="J133" s="44"/>
      <x:c r="K133" s="44"/>
    </x:row>
    <x:row r="134">
      <x:c r="C134" s="21"/>
      <x:c r="G134" s="44"/>
      <x:c r="H134" s="44"/>
      <x:c r="I134" s="44"/>
      <x:c r="J134" s="44"/>
      <x:c r="K134" s="44"/>
    </x:row>
    <x:row r="135">
      <x:c r="C135" s="21"/>
      <x:c r="G135" s="44"/>
      <x:c r="H135" s="44"/>
      <x:c r="I135" s="44"/>
      <x:c r="J135" s="44"/>
      <x:c r="K135" s="44"/>
    </x:row>
    <x:row r="136">
      <x:c r="C136" s="21"/>
      <x:c r="G136" s="44"/>
      <x:c r="H136" s="44"/>
      <x:c r="I136" s="44"/>
      <x:c r="J136" s="44"/>
      <x:c r="K136" s="44"/>
    </x:row>
    <x:row r="137">
      <x:c r="C137" s="21"/>
      <x:c r="G137" s="44"/>
      <x:c r="H137" s="44"/>
      <x:c r="I137" s="44"/>
      <x:c r="J137" s="44"/>
      <x:c r="K137" s="44"/>
    </x:row>
    <x:row r="138">
      <x:c r="C138" s="21"/>
      <x:c r="G138" s="44"/>
      <x:c r="H138" s="44"/>
      <x:c r="I138" s="44"/>
      <x:c r="J138" s="44"/>
      <x:c r="K138" s="44"/>
    </x:row>
    <x:row r="139">
      <x:c r="C139" s="21"/>
      <x:c r="G139" s="44"/>
      <x:c r="H139" s="44"/>
      <x:c r="I139" s="44"/>
      <x:c r="J139" s="44"/>
      <x:c r="K139" s="44"/>
    </x:row>
    <x:row r="140">
      <x:c r="C140" s="21"/>
      <x:c r="G140" s="44"/>
      <x:c r="H140" s="44"/>
      <x:c r="I140" s="44"/>
      <x:c r="J140" s="44"/>
      <x:c r="K140" s="44"/>
    </x:row>
    <x:row r="141">
      <x:c r="C141" s="21"/>
      <x:c r="G141" s="44"/>
      <x:c r="H141" s="44"/>
      <x:c r="I141" s="44"/>
      <x:c r="J141" s="44"/>
      <x:c r="K141" s="44"/>
    </x:row>
    <x:row r="142">
      <x:c r="C142" s="21"/>
      <x:c r="G142" s="44"/>
      <x:c r="H142" s="44"/>
      <x:c r="I142" s="44"/>
      <x:c r="J142" s="44"/>
      <x:c r="K142" s="44"/>
    </x:row>
    <x:row r="143">
      <x:c r="C143" s="21"/>
      <x:c r="G143" s="44"/>
      <x:c r="H143" s="44"/>
      <x:c r="I143" s="44"/>
      <x:c r="J143" s="44"/>
      <x:c r="K143" s="44"/>
    </x:row>
    <x:row r="144">
      <x:c r="C144" s="21"/>
      <x:c r="G144" s="44"/>
      <x:c r="H144" s="44"/>
      <x:c r="I144" s="44"/>
      <x:c r="J144" s="44"/>
      <x:c r="K144" s="44"/>
    </x:row>
    <x:row r="145">
      <x:c r="C145" s="21"/>
      <x:c r="G145" s="44"/>
      <x:c r="H145" s="44"/>
      <x:c r="I145" s="44"/>
      <x:c r="J145" s="44"/>
      <x:c r="K145" s="44"/>
    </x:row>
    <x:row r="146">
      <x:c r="C146" s="21"/>
      <x:c r="G146" s="44"/>
      <x:c r="H146" s="44"/>
      <x:c r="I146" s="44"/>
      <x:c r="J146" s="44"/>
      <x:c r="K146" s="44"/>
    </x:row>
    <x:row r="147">
      <x:c r="C147" s="21"/>
      <x:c r="G147" s="44"/>
      <x:c r="H147" s="44"/>
      <x:c r="I147" s="44"/>
      <x:c r="J147" s="44"/>
      <x:c r="K147" s="44"/>
    </x:row>
    <x:row r="148">
      <x:c r="C148" s="21"/>
      <x:c r="G148" s="44"/>
      <x:c r="H148" s="44"/>
      <x:c r="I148" s="44"/>
      <x:c r="J148" s="44"/>
      <x:c r="K148" s="44"/>
    </x:row>
    <x:row r="149">
      <x:c r="C149" s="21"/>
      <x:c r="G149" s="44"/>
      <x:c r="H149" s="44"/>
      <x:c r="I149" s="44"/>
      <x:c r="J149" s="44"/>
      <x:c r="K149" s="44"/>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f8b93334ef2c4a50"/>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0</x:v>
      </x:c>
      <x:c r="J14" s="27" t="n">
        <x:v>0</x:v>
      </x:c>
      <x:c r="K14" s="27" t="n">
        <x:f>I14+J14</x:f>
        <x:v>0</x:v>
      </x:c>
      <x:c r="L14" s="31" t="str">
        <x:f>IF(K14=0,"",I14/K14)</x:f>
      </x:c>
      <x:c r="M14" s="29" t="str">
        <x:v>Expert enhancer only; never originating proof.</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3d8b856d933240fc"/>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63.5</x:v>
      </x:c>
      <x:c r="K6" s="46" t="n">
        <x:f>I6*J6</x:f>
        <x:v>1109.945813668939</x:v>
      </x:c>
      <x:c r="L6" s="46" t="n">
        <x:f>K6-H6</x:f>
        <x:v>109.94581366893908</x:v>
      </x:c>
      <x:c r="M6" s="48" t="n">
        <x:f>L6/H6</x:f>
        <x:v>0.10994581366893909</x:v>
      </x:c>
      <x:c r="N6" s="30"/>
      <x:c r="O6" s="32"/>
      <x:c r="P6" s="32" t="str">
        <x:f>IF(OR(I6="",O6=""),"",I6*O6)</x:f>
      </x:c>
      <x:c r="Q6" s="32" t="str">
        <x:f>IF(P6="","",P6-H6)</x:f>
      </x:c>
      <x:c r="R6" s="29" t="str">
        <x:v>09/15/26: +10.99%. BNO remains the cleanest direct expression. Saudi export disruption and $108.75 Brent confirmed the thesis, but the formal Entry Window stays WAIT because the paper entry followed a large headline move.</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161.73</x:v>
      </x:c>
      <x:c r="K7" s="46" t="n">
        <x:f>I7*J7</x:f>
        <x:v>1118.4647302904564</x:v>
      </x:c>
      <x:c r="L7" s="46" t="n">
        <x:f>K7-H7</x:f>
        <x:v>118.46473029045637</x:v>
      </x:c>
      <x:c r="M7" s="48" t="n">
        <x:f>L7/H7</x:f>
        <x:v>0.11846473029045637</x:v>
      </x:c>
      <x:c r="N7" s="30"/>
      <x:c r="O7" s="32"/>
      <x:c r="P7" s="32" t="str">
        <x:f>IF(OR(I7="",O7=""),"",I7*O7)</x:f>
      </x:c>
      <x:c r="Q7" s="32" t="str">
        <x:f>IF(P7="","",P7-H7)</x:f>
      </x:c>
      <x:c r="R7" s="29" t="str">
        <x:v>09/15/26: +11.85%. USO is now the best-performing paper position and strongly confirms the crude-price direction. Entry Window remains WAIT because the entry chased an already-extended move.</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199.7</x:v>
      </x:c>
      <x:c r="K8" s="46" t="n">
        <x:f>I8*J8</x:f>
        <x:v>1030.2311184482046</x:v>
      </x:c>
      <x:c r="L8" s="46" t="n">
        <x:f>K8-H8</x:f>
        <x:v>30.231118448204597</x:v>
      </x:c>
      <x:c r="M8" s="48" t="n">
        <x:f>L8/H8</x:f>
        <x:v>0.030231118448204596</x:v>
      </x:c>
      <x:c r="N8" s="30"/>
      <x:c r="O8" s="32"/>
      <x:c r="P8" s="32" t="str">
        <x:f>IF(OR(I8="",O8=""),"",I8*O8)</x:f>
      </x:c>
      <x:c r="Q8" s="32" t="str">
        <x:f>IF(P8="","",P8-H8)</x:f>
      </x:c>
      <x:c r="R8" s="29" t="str">
        <x:v>09/15/26: +3.02%. XOP recovered as producer equities joined the crude rally, but it still materially trails both direct crude funds, confirming its less-direct mapping.</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39fa3f7cb0114b12"/>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x:c r="B17" s="28"/>
      <x:c r="C17" s="27"/>
      <x:c r="D17" s="29"/>
      <x:c r="E17" s="29"/>
      <x:c r="F17" s="29"/>
      <x:c r="G17" s="29"/>
      <x:c r="H17" s="29"/>
      <x:c r="I17" s="29"/>
      <x:c r="J17" s="29"/>
    </x:row>
    <x:row r="18">
      <x:c r="A18" s="27"/>
      <x:c r="B18" s="28"/>
      <x:c r="C18" s="27"/>
      <x:c r="D18" s="29"/>
      <x:c r="E18" s="29"/>
      <x:c r="F18" s="29"/>
      <x:c r="G18" s="29"/>
      <x:c r="H18" s="29"/>
      <x:c r="I18" s="29"/>
      <x:c r="J18" s="29"/>
    </x:row>
    <x:row r="19">
      <x:c r="A19" s="27"/>
      <x:c r="B19" s="28"/>
      <x:c r="C19" s="27"/>
      <x:c r="D19" s="29"/>
      <x:c r="E19" s="29"/>
      <x:c r="F19" s="29"/>
      <x:c r="G19" s="29"/>
      <x:c r="H19" s="29"/>
      <x:c r="I19" s="29"/>
      <x:c r="J19" s="29"/>
    </x:row>
    <x:row r="20">
      <x:c r="A20" s="27"/>
      <x:c r="B20" s="28"/>
      <x:c r="C20" s="27"/>
      <x:c r="D20" s="29"/>
      <x:c r="E20" s="29"/>
      <x:c r="F20" s="29"/>
      <x:c r="G20" s="29"/>
      <x:c r="H20" s="29"/>
      <x:c r="I20" s="29"/>
      <x:c r="J20" s="29"/>
    </x:row>
    <x:row r="21">
      <x:c r="A21" s="27"/>
      <x:c r="B21" s="28"/>
      <x:c r="C21" s="27"/>
      <x:c r="D21" s="29"/>
      <x:c r="E21" s="29"/>
      <x:c r="F21" s="29"/>
      <x:c r="G21" s="29"/>
      <x:c r="H21" s="29"/>
      <x:c r="I21" s="29"/>
      <x:c r="J21" s="29"/>
    </x:row>
    <x:row r="22">
      <x:c r="A22" s="27"/>
      <x:c r="B22" s="28"/>
      <x:c r="C22" s="27"/>
      <x:c r="D22" s="29"/>
      <x:c r="E22" s="29"/>
      <x:c r="F22" s="29"/>
      <x:c r="G22" s="29"/>
      <x:c r="H22" s="29"/>
      <x:c r="I22" s="29"/>
      <x:c r="J22" s="29"/>
    </x:row>
    <x:row r="23">
      <x:c r="A23" s="27"/>
      <x:c r="B23" s="28"/>
      <x:c r="C23" s="27"/>
      <x:c r="D23" s="29"/>
      <x:c r="E23" s="29"/>
      <x:c r="F23" s="29"/>
      <x:c r="G23" s="29"/>
      <x:c r="H23" s="29"/>
      <x:c r="I23" s="29"/>
      <x:c r="J23" s="29"/>
    </x:row>
    <x:row r="24">
      <x:c r="A24" s="27"/>
      <x:c r="B24" s="28"/>
      <x:c r="C24" s="27"/>
      <x:c r="D24" s="29"/>
      <x:c r="E24" s="29"/>
      <x:c r="F24" s="29"/>
      <x:c r="G24" s="29"/>
      <x:c r="H24" s="29"/>
      <x:c r="I24" s="29"/>
      <x:c r="J24" s="29"/>
    </x:row>
    <x:row r="25">
      <x:c r="A25" s="27"/>
      <x:c r="B25" s="28"/>
      <x:c r="C25" s="27"/>
      <x:c r="D25" s="29"/>
      <x:c r="E25" s="29"/>
      <x:c r="F25" s="29"/>
      <x:c r="G25" s="29"/>
      <x:c r="H25" s="29"/>
      <x:c r="I25" s="29"/>
      <x:c r="J25" s="29"/>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b0fad4a87f634c2c"/>
  </x:tableParts>
</x:worksheet>
</file>