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774d30f0f874537" /></Relationships>
</file>

<file path=xl/workbook.xml><?xml version="1.0" encoding="utf-8"?>
<x:workbook xmlns:x="http://schemas.openxmlformats.org/spreadsheetml/2006/main">
  <x:sheets>
    <x:sheet xmlns:r="http://schemas.openxmlformats.org/officeDocument/2006/relationships" name="Summary" sheetId="1" r:id="R5f23771014804818"/>
    <x:sheet xmlns:r="http://schemas.openxmlformats.org/officeDocument/2006/relationships" name="Thesis Ledger" sheetId="2" r:id="R41366767ff904c9a"/>
    <x:sheet xmlns:r="http://schemas.openxmlformats.org/officeDocument/2006/relationships" name="Evidence Log" sheetId="3" r:id="Rcfdff0d6751c4843"/>
    <x:sheet xmlns:r="http://schemas.openxmlformats.org/officeDocument/2006/relationships" name="Source Registry" sheetId="4" r:id="Rc725bf31c0034315"/>
    <x:sheet xmlns:r="http://schemas.openxmlformats.org/officeDocument/2006/relationships" name="Paper Trades" sheetId="5" r:id="R614072e8c0b54096"/>
    <x:sheet xmlns:r="http://schemas.openxmlformats.org/officeDocument/2006/relationships" name="Scan Runs" sheetId="6" r:id="R48a7226068b24594"/>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xf numFmtId="209" fontId="0" fillId="0" borderId="0"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76fb2ac194f4697" /><Relationship Type="http://schemas.openxmlformats.org/officeDocument/2006/relationships/theme" Target="/xl/theme/theme1.xml" Id="R08685188442245e2" /><Relationship Type="http://schemas.openxmlformats.org/officeDocument/2006/relationships/sharedStrings" Target="/xl/sharedStrings.xml" Id="Re7f4b791cef84a34" /><Relationship Type="http://schemas.openxmlformats.org/officeDocument/2006/relationships/worksheet" Target="/xl/worksheets/sheet1.xml" Id="R5f23771014804818" /><Relationship Type="http://schemas.openxmlformats.org/officeDocument/2006/relationships/worksheet" Target="/xl/worksheets/sheet2.xml" Id="R41366767ff904c9a" /><Relationship Type="http://schemas.openxmlformats.org/officeDocument/2006/relationships/worksheet" Target="/xl/worksheets/sheet3.xml" Id="Rcfdff0d6751c4843" /><Relationship Type="http://schemas.openxmlformats.org/officeDocument/2006/relationships/worksheet" Target="/xl/worksheets/sheet4.xml" Id="Rc725bf31c0034315" /><Relationship Type="http://schemas.openxmlformats.org/officeDocument/2006/relationships/worksheet" Target="/xl/worksheets/sheet5.xml" Id="R614072e8c0b54096" /><Relationship Type="http://schemas.openxmlformats.org/officeDocument/2006/relationships/worksheet" Target="/xl/worksheets/sheet6.xml" Id="R48a7226068b24594"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e3235540376411e" /></Relationships>
</file>

<file path=xl/worksheets/_rels/sheet3.xml.rels>&#65279;<?xml version="1.0" encoding="utf-8"?><Relationships xmlns="http://schemas.openxmlformats.org/package/2006/relationships"><Relationship Type="http://schemas.openxmlformats.org/officeDocument/2006/relationships/table" Target="/xl/tables/table2.xml" Id="R3fdf9d27f72a463e" /></Relationships>
</file>

<file path=xl/worksheets/_rels/sheet4.xml.rels>&#65279;<?xml version="1.0" encoding="utf-8"?><Relationships xmlns="http://schemas.openxmlformats.org/package/2006/relationships"><Relationship Type="http://schemas.openxmlformats.org/officeDocument/2006/relationships/table" Target="/xl/tables/table3.xml" Id="R271d3f23a444487f" /></Relationships>
</file>

<file path=xl/worksheets/_rels/sheet5.xml.rels>&#65279;<?xml version="1.0" encoding="utf-8"?><Relationships xmlns="http://schemas.openxmlformats.org/package/2006/relationships"><Relationship Type="http://schemas.openxmlformats.org/officeDocument/2006/relationships/table" Target="/xl/tables/table4.xml" Id="Rd04b77c0981d4763" /></Relationships>
</file>

<file path=xl/worksheets/_rels/sheet6.xml.rels>&#65279;<?xml version="1.0" encoding="utf-8"?><Relationships xmlns="http://schemas.openxmlformats.org/package/2006/relationships"><Relationship Type="http://schemas.openxmlformats.org/officeDocument/2006/relationships/table" Target="/xl/tables/table5.xml" Id="R3b36bfa7ac11458f"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12</x:v>
      </x:c>
      <x:c r="C6" s="1"/>
      <x:c r="D6" s="1"/>
      <x:c r="E6" s="1"/>
      <x:c r="F6" s="1"/>
      <x:c r="G6" s="1"/>
      <x:c r="H6" s="1"/>
      <x:c r="I6" s="1"/>
      <x:c r="J6" s="1"/>
    </x:row>
    <x:row r="7">
      <x:c r="A7" s="1" t="str">
        <x:v>Open theses</x:v>
      </x:c>
      <x:c r="B7" s="40" t="n">
        <x:f>COUNTIFS('Thesis Ledger'!A6:A200,"&lt;&gt;",'Thesis Ledger'!F6:F200,"&lt;&gt;Closed",'Thesis Ledger'!F6:F200,"&lt;&gt;Invalidated")</x:f>
        <x:v>10</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Strong</x:v>
      </x:c>
      <x:c r="E14" s="1" t="n">
        <x:f>'Thesis Ledger'!K7</x:f>
        <x:v>4</x:v>
      </x:c>
      <x:c r="F14" s="1" t="n">
        <x:f>'Thesis Ledger'!L7</x:f>
        <x:v>2</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Strong</x:v>
      </x:c>
      <x:c r="E15" s="1" t="n">
        <x:f>'Thesis Ledger'!K8</x:f>
        <x:v>4</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Strong</x:v>
      </x:c>
      <x:c r="G7" s="27" t="str">
        <x:v>Supply chain</x:v>
      </x:c>
      <x:c r="H7" s="27" t="str">
        <x:v>Coal demand from fuel switching</x:v>
      </x:c>
      <x:c r="I7" s="27" t="str">
        <x:v>Up</x:v>
      </x:c>
      <x:c r="J7" s="27" t="str">
        <x:v>Weeks to months</x:v>
      </x:c>
      <x:c r="K7" s="27" t="n">
        <x:v>4</x:v>
      </x:c>
      <x:c r="L7" s="27" t="n">
        <x:v>2</x:v>
      </x:c>
      <x:c r="M7" s="27" t="str">
        <x:v>WAIT</x:v>
      </x:c>
      <x:c r="N7" s="29" t="str">
        <x:v>Gas and LNG disruption is now producing longer-lived supply risk and observable coal-demand pressure. QatarEnergy said 17% of Qatar's LNG capacity is disabled, repairs to two trains may take three years, and later North Field expansion trains could be delayed.</x:v>
      </x:c>
      <x:c r="O7" s="29" t="str">
        <x:v>Constrained LNG availability and higher gas prices improve coal's relative economics where switching capacity exists. Heat-driven power demand and low coal stocks can add a second demand channel.</x:v>
      </x:c>
      <x:c r="P7" s="29" t="str">
        <x:v>QatarEnergy's chief executive said two damaged LNG trains may require three years of repairs and later expansion phases depend on restored Hormuz logistics. Separate Indian government data showed coal imports at a 15-month high and 74 power plants with critically low stocks as electricity demand surged.</x:v>
      </x:c>
      <x:c r="Q7" s="29" t="str">
        <x:v>QatarEnergy said normal gas operations could resume within weeks if Hormuz reopens. Alternative LNG supply reduced the net global loss, India's low coal stocks may reflect temporary logistics, renewable generation is rising, and limited switching capacity restricts the mechanism. September 29 contradiction: visible Qatar-linked LNG tanker transits resumed after none were observed in August, showing partial logistical normalization. Force majeure and damaged-train constraints remain, so this does not yet invalidate the multi-year supply mechanism.</x:v>
      </x:c>
      <x:c r="R7" s="29"/>
      <x:c r="S7" s="29" t="str">
        <x:v>The physical mechanism is stronger, but the investable mapping is not confirmed. LNG spot prices and coal demand indicators support fuel switching, while COAL fell about 3% in early September 21 pricing and public coal exposures remain grade-, geography- and policy-sensitive. September 29: resumed visible LNG transits weaken the scarcity signal at the margin, while no clean coal-price or public-equity confirmation justifies an entry.</x:v>
      </x:c>
      <x:c r="T7" s="29" t="str">
        <x:v>Conditional research only: COAL for diversified producer exposure, or coal futures for a cleaner commodity expression where suitable. Producer concentration, fund liquidity, coal-grade mismatch, futures roll, policy and headline risks remain material. WAIT for sustained coal-price or producer confirmation after the LNG shock.</x:v>
      </x:c>
      <x:c r="U7" s="29" t="str">
        <x:v>Hormuz reopens and Qatari LNG operations normalize, alternative LNG supply fully offsets lost volumes, coal imports and burn fail to rise, or renewable output and demand destruction absorb the shock.</x:v>
      </x:c>
      <x:c r="V7" s="43" t="n">
        <x:v>46275</x:v>
      </x:c>
      <x:c r="W7" s="43" t="n">
        <x:v>46296</x:v>
      </x:c>
      <x:c r="X7" s="43"/>
      <x:c r="Y7" s="29"/>
      <x:c r="Z7" s="29"/>
      <x:c r="AA7" s="29"/>
      <x:c r="AB7" s="29"/>
      <x:c r="AC7" s="29"/>
      <x:c r="AD7" s="29" t="str">
        <x:v>Open. Promoted from Developing to Strong on September 21 after QatarEnergy disclosed a multi-year repair burden and possible LNG expansion delays, while Indian government data showed stronger coal demand and critically low plant stocks. Confidence increased to 4/5. Trading edge fell to 2/5 because fuel switching is constrained, supply alternatives are growing and public expressions are indirect. Entry Window remains WAIT. September 29 review added partial LNG-route normalization. Stage remains Strong, confidence 4/5, trading edge 2/5 and Entry Window WAIT.</x:v>
      </x:c>
      <x:c r="AE7" s="31" t="str">
        <x:f>IF(COUNTA(Y7:AC7)=0,"",COUNTIF(Y7:AC7,"Yes")/COUNTA(Y7:AC7))</x:f>
      </x:c>
    </x:row>
    <x:row r="8">
      <x:c r="A8" s="27" t="str">
        <x:v>EEI-2026-003</x:v>
      </x:c>
      <x:c r="B8" s="27" t="str">
        <x:v>2026 midterm political shift</x:v>
      </x:c>
      <x:c r="C8" s="27" t="str">
        <x:v>Multi-sector</x:v>
      </x:c>
      <x:c r="D8" s="30" t="n">
        <x:v>46274</x:v>
      </x:c>
      <x:c r="E8" s="30" t="n">
        <x:v>46274.5</x:v>
      </x:c>
      <x:c r="F8" s="27" t="str">
        <x:v>Strong</x:v>
      </x:c>
      <x:c r="G8" s="27" t="str">
        <x:v>Political and policy</x:v>
      </x:c>
      <x:c r="H8" s="27" t="str">
        <x:v>Market breadth, policy expectations and sector leadership</x:v>
      </x:c>
      <x:c r="I8" s="27" t="str">
        <x:v>Mixed to up</x:v>
      </x:c>
      <x:c r="J8" s="27" t="str">
        <x:v>Weeks to months</x:v>
      </x:c>
      <x:c r="K8" s="27" t="n">
        <x:v>4</x:v>
      </x:c>
      <x:c r="L8" s="27" t="n">
        <x:v>1</x:v>
      </x:c>
      <x:c r="M8" s="27" t="str">
        <x:v>WAIT</x:v>
      </x:c>
      <x:c r="N8" s="29" t="str">
        <x:v>Cook Political Report shifted 15 House races toward Democrats on September 25 and now says Republicans are on track to lose the House majority; it separately rates Senate control a true toss-up. This independently reinforces the Reuters/Ipsos national signal and competitive-state polling without treating a forecast as an election result.</x:v>
      </x:c>
      <x:c r="O8" s="29" t="str">
        <x:v>Expected changes in fiscal, regulatory and sector policy could alter risk appetite and relative performance.</x:v>
      </x:c>
      <x:c r="P8" s="29" t="str">
        <x:v>Cook's district ratings, the Reuters/Ipsos generic ballot and Reuters' review of late campaign spending now provide independent political confirmation. Republican groups began spending in at least 39 additional House races after internal polling showed risk even in previously safe districts. This reinforces the House-shift signal but does not establish the election result or Senate control. September 29: Associated Press reported Republicans shifting Senate resources from offense toward defending Texas and Ohio as Georgia and North Carolina prospects weakened, adding independent campaign-behavior support for a possible chamber shift.</x:v>
      </x:c>
      <x:c r="Q8" s="29" t="str">
        <x:v>Race ratings, polls, campaign spending and conditional oversight plans are not votes; turnout, candidate quality, district geography and late events can still change control. Cook still calls the Senate a toss-up. On September 28, Brent near $108.50, the 10-year Treasury yield near 5.22% and a 68% implied chance of an October Fed hike strengthened the macro contradiction, while industrials, financials and small caps fell. Cook still shows 50 Republican, 46 Democratic and 4 independent Senate seats in its September 28 ratings summary, and the chamber outcome remains unresolved. Oil near $105 and the 10-year Treasury yield near 5.27% strengthen the adverse inflation-and-rates modifier.</x:v>
      </x:c>
      <x:c r="R8" s="29"/>
      <x:c r="S8" s="29" t="str">
        <x:v>September 28 near 10:53 a.m. ET: SPY -0.90%, RSP -0.72%, IWM -0.88%, XLI -0.89%, XLB -0.60%, XLV +0.17%, XBI +0.05%, XLF -0.82% and CPER -2.31%; VIXY rose 2.29%. RSP's modest relative resilience is insufficient because the broad and cyclical candidates remained lower. Health care strength looks defensive or sector-specific rather than a broad post-election-risk signal. September 29 premarket: SPY -0.75%, RSP -0.65%, IWM -0.68% and XLI -0.97%, while XLV +0.32% and XBI +1.01%. Relative equal-weight resilience and health-care strength are not enough to establish broad participation or a midterm entry.</x:v>
      </x:c>
      <x:c r="T8" s="29" t="str">
        <x:v>Conditional only: RSP versus SPY remains the central breadth test. XLV and XBI deserve observation as independent health-care candidates, not yet as midterm expressions. XLI lost Friday's leadership; IWM, XLB/CPER and XLF remain unconfirmed. WAIT until political evidence stays intact, rates and oil stabilize, and participation broadens. No real trade is authorized.</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Strong at financial-thesis confidence 4/5 and trading edge 1/5. September 28 review added independent campaign-allocation support for a House shift and a defined oversight consequence if Democrats win a chamber. It also found adverse live market confirmation: rates and oil rose, broad indexes and cyclical candidates fell, and only health care/biotech were positive. Entry Window remains WAIT and inactive because the thesis is not Actionable. Initial Prediction Frozen was not changed. September 29 review strengthened the political-shift signal through Republican defensive Senate spending, but market breadth, rates and oil remain adverse. Stage stays Strong at 4/5 confidence, 1/5 trading edge and Entry Window WAIT.</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 On September 25, detailed Phase 3 EXCALIBER-RRMM results showed MRD-negative complete response of 41.1% with ZENBEXUS versus 20.7% for the comparator, overall response of 88.9% versus 76.1%, and complete response or better of 45.9% versus 24.9%.</x:v>
      </x:c>
      <x:c r="Q10" s="29" t="str">
        <x:v>Legacy portfolio revenue still fell 4%; major exclusivity losses remain multi-year; long-term debt was about $42.1 billion at quarter-end; and one strong quarter does not prove the portfolio can offset the full patent cliff. ZENBEXUS progression-free-survival confirmation is still ongoing, while Grade 3/4 neutropenia was 84.3% versus 11.3% and Grade 3/4 infections were 39.2% versus 21.6%, limiting commercial certainty.</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September 27 review added detailed ZENBEXUS Phase 3 response-depth and safety evidence. The result supports the growth-portfolio mechanism but does not yet quantify patent-cliff offset, and confirmatory progression-free survival remains pending. Motley Fool remains trigger only. Stage stays Developing at 3/5 confidence and 3/5 trading edge; Entry Window stays WAIT pending another quarter of growth-portfolio, cash-flow and debt confirmation. Initial Prediction Frozen was not changed.</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Serbia said on September 24 that it would release about 5,000 metric tons of diesel from state reserves because of the global shortage. Danube fuel imports had fallen to roughly 25%-30% of planned August volume as low water restricted barge loads.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Physical confirmation strengthened. Serbia announced an emergency diesel-reserve release; low Danube water limited barges to roughly 30%-40% of normal capacity and sharply reduced planned fuel imports. European diesel futures remained near all-time highs, and U.S. distillate stocks fell 428,000 barrels to 107.4 million. Disrupted Middle East and Russian product flows remain the core support. On September 28 Brent rose 3.82% to $108.30 and WTI rose 3.81% to $95.93 after the United States rejected Iran's peace proposal. Capital Economics said the market remained in deficit despite improving Hormuz flows.</x:v>
      </x:c>
      <x:c r="Q14" s="29" t="str">
        <x:v>The White House denied that a 90-day U.S. diesel-export ban was being prepared, removing one immediate policy shock. U.S. crude inventories rose about 3 million barrels. Saudi bypass-pipeline restoration, diplomacy and longer-run Russian Vostok Oil supply can improve crude availability, while demand destruction, substitution and refinery operating constraints can cap investable margins. Middle East crude exports rebounded to 12.8 million barrels per day in September, the highest since the war began, as Saudi Arabia and the UAE raised shipments; U.S.-Iran talks were expected to continue. This improves crude availability but does not resolve the separate refined-product shortage. September 29: the U.S. considered broader sales of red-dyed diesel as an alternative to an export ban, a domestic-price relief option that avoids a new global export shock. Middle East crude exports remained recovered at 12.8 million barrels per day.</x:v>
      </x:c>
      <x:c r="R14" s="29"/>
      <x:c r="S14" s="29" t="str">
        <x:v>The underlying commodity signal strengthened before the U.S. cash-market open: Reuters reported Brent up about 2.36% to $105.51 and WTI up 1.89% to $93.90, with European diesel futures near all-time highs. The prior session showed a roughly 5% diesel-futures reversal around conflicting export-ban headlines, confirming scarcity but also severe policy and headline volatility. September 28 premarket confirmation strengthened the scarcity signal but weakened entry quality: Brent and WTI each rose about 3.8% on rejected peace terms, reinforcing headline sensitivity and the WAIT classification. September 29: Brent held near $105 and WTI near $92; expected U.S. distillate inventories were unchanged. Scarcity remains supported, but the absence of a fresh physical tightening and extended prices keep the entry unattractive.</x:v>
      </x:c>
      <x:c r="T14" s="29" t="str">
        <x:v>Conditional only after an orderly consolidation or retracement while inventories, backwardation and cracks remain elevated. CRAK is the diversified refining expression. VLO, MPC and PSX add company-specific execution and valuation risk. Direct diesel or 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Serbia's state-reserve release and sharply impaired Danube imports add direct physical and government-response confirmation to global diesel scarcity. Near-record European diesel and falling U.S. distillate stocks support the economic variable, while the White House export-ban denial and normalization options reduce the incremental policy shock. Stage remains Actionable, confidence 5/5, trading edge 1/5 and Entry Window WAIT. Prices are extended and headline-sensitive; require an orderly retracement or consolidation with inventories, exports and physical cracks still confirming. Invalidate on sustained normalization in exports, inventories, logistics and cracks. September 28 review: the economic thesis remains supported, but higher crude exports and continued talks are credible normalization modifiers. Stage remains Actionable, confidence 5/5, trading edge 1/5 and Entry Window WAIT. September 29 review added red-dyed-diesel regulatory relief as a policy modifier. Stage remains Actionable, confidence 5/5, trading edge 1/5 and Entry Window WAIT.</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t="str">
        <x:v>EEI-2026-011</x:v>
      </x:c>
      <x:c r="B16" s="27" t="str">
        <x:v>Gulf tanker shortage and VLCC freight</x:v>
      </x:c>
      <x:c r="C16" s="27" t="str">
        <x:v>Energy / shipping</x:v>
      </x:c>
      <x:c r="D16" s="30" t="n">
        <x:v>46286</x:v>
      </x:c>
      <x:c r="E16" s="30" t="n">
        <x:v>46286.35158564815</x:v>
      </x:c>
      <x:c r="F16" s="27" t="str">
        <x:v>Strong</x:v>
      </x:c>
      <x:c r="G16" s="27" t="str">
        <x:v>Supply chain and energy logistics</x:v>
      </x:c>
      <x:c r="H16" s="27" t="str">
        <x:v>VLCC utilization, spot freight rates and tanker earnings</x:v>
      </x:c>
      <x:c r="I16" s="27" t="str">
        <x:v>Up</x:v>
      </x:c>
      <x:c r="J16" s="27" t="str">
        <x:v>Weeks to months</x:v>
      </x:c>
      <x:c r="K16" s="27" t="n">
        <x:v>4</x:v>
      </x:c>
      <x:c r="L16" s="27" t="n">
        <x:v>1</x:v>
      </x:c>
      <x:c r="M16" s="27" t="str">
        <x:v>WAIT</x:v>
      </x:c>
      <x:c r="N16" s="29" t="str">
        <x:v>Record VLCC rates and a new ship-to-ship shuttle system around Hormuz show that continued oil exports are consuming far more tanker capacity. Trafigura also launched a 14-vessel tanker arm and plans an Oslo listing to capture the changed economics.</x:v>
      </x:c>
      <x:c r="O16" s="29" t="str">
        <x:v>Repeated short shuttle voyages, cargo transfers, longer routes and conflict-zone risk absorb vessel-days and raise charter scarcity. Tanker owners with spot exposure can earn higher rates while producers and refiners bear more freight cost.</x:v>
      </x:c>
      <x:c r="P16" s="29" t="str">
        <x:v>Reuters reported Iraqi officials saying transport costs rose from about $26 to $37 per barrel amid vessel scarcity. Saudi Arabia disputed Iraq's claim that it had bought 25 tankers but attributed exceptional shipping costs to the regional war and Hormuz disruption. Traffic remained well below pre-conflict norms and attacks continued, supporting the physical freight variable. September 29: Gulf exports still relied on inefficient, costly ship-to-ship transfers even as aggregate Middle East exports recovered, preserving the vessel-day mechanism.</x:v>
      </x:c>
      <x:c r="Q16" s="29" t="str">
        <x:v>France said it was drafting with the United States a possible U.N. Security Council resolution for an international mission to restore commercial movement through Hormuz. Earlier initiatives did not secure China and Russia, and no implementation timetable was provided. Saudi bypass-pipeline restoration, diplomacy, producer-owned fleets and newbuilds remain material reversal risks. Middle East crude exports rebounded to 12.8 million barrels per day in September, the highest since the war began, as Saudi Arabia and the UAE raised shipments through improving Hormuz flows. This can reduce the disruption premium even if higher volumes temporarily absorb tanker capacity. Recovered Middle East exports and renewed U.S.-Iran mediation continue to raise route-normalization risk; no fresh verified VLCC-rate evidence established a stronger listed-equity setup.</x:v>
      </x:c>
      <x:c r="R16" s="29"/>
      <x:c r="S16" s="29" t="str">
        <x:v>Exceptional freight remains observable, but delayed U.S. quotes weakened: FRO about -3.83% and DHT -4.72%. The economic variable is still supported by higher reported transport costs, while listed tanker equities and normalization proposals do not confirm a favorable entry. September 28 crude gains confirmed renewed geopolitical risk, but no fresh verified VLCC-rate or listed-tanker cash-flow evidence established a better entry.</x:v>
      </x:c>
      <x:c r="T16" s="29" t="str">
        <x:v>Conditional research only: FRO and DHT for crude-tanker exposure; BOAT is broader and dilutes VLCC specificity. STNG is more product-tanker focused. Volare may become a direct Oslo-listed expression only after final offering documents and trading history exist. Company leverage, vessel age, charter mix, dilution and cyclicality matter.</x:v>
      </x:c>
      <x:c r="U16" s="29" t="str">
        <x:v>Hormuz and Red Sea routes normalize, shuttle transfers unwind, VLCC spot rates retreat toward pre-shock levels, fleet availability rises faster than demand, or company earnings fail to convert record freight into cash flow.</x:v>
      </x:c>
      <x:c r="V16" s="43" t="str">
        <x:v>2026-09-21: Conflict-driven shuttle transfers and longer routes will keep VLCC utilization and spot freight rates elevated over coming weeks to months, but public tanker equities may not track the freight spike cleanly. Initial Entry Window: WAIT because rates are at records and equities already carry event and reversal risk.</x:v>
      </x:c>
      <x:c r="W16" s="43" t="n">
        <x:v>46300</x:v>
      </x:c>
      <x:c r="X16" s="43"/>
      <x:c r="Y16" s="29"/>
      <x:c r="Z16" s="29"/>
      <x:c r="AA16" s="29"/>
      <x:c r="AB16" s="29"/>
      <x:c r="AC16" s="29"/>
      <x:c r="AD16" s="29" t="str">
        <x:v>Open. September 23 strengthened physical freight confirmation but not the investable entry. Iraq reported sharply higher transport costs, while Saudi Arabia confirmed exceptional shipping costs even as it rejected a tanker-purchase claim. A proposed international Hormuz mission and bypass-pipeline restoration could release vessel-days. Stage remains Strong, confidence 4/5, trading edge 1/5 and Entry Window WAIT. Next check: verified route normalization, sustained VLCC/Aframax rates and listed-tanker cash conversion. September 28 review: export recovery and ongoing diplomacy increase normalization risk, while the freight mechanism remains plausible. Stage stays Strong, confidence 4/5, trading edge 1/5 and Entry Window WAIT. September 29 review preserved the freight mechanism but added no stage, confidence, edge or Entry Window change. Strong 4/5, trading edge 1/5, WAIT.</x:v>
      </x:c>
      <x:c r="AE16" s="31" t="str">
        <x:f>IF(COUNTA(Y16:AC16)=0,"",COUNTIF(Y16:AC16,"Yes")/COUNTA(Y16:AC16))</x:f>
      </x:c>
    </x:row>
    <x:row r="17">
      <x:c r="A17" s="27" t="str">
        <x:v>EEI-2026-012</x:v>
      </x:c>
      <x:c r="B17" s="27" t="str">
        <x:v>RTX AMRAAM multiyear production ramp</x:v>
      </x:c>
      <x:c r="C17" s="27" t="str">
        <x:v>Defense and aerospace</x:v>
      </x:c>
      <x:c r="D17" s="30" t="n">
        <x:v>46290.166666666664</x:v>
      </x:c>
      <x:c r="E17" s="30" t="n">
        <x:v>46294.50347222222</x:v>
      </x:c>
      <x:c r="F17" s="27" t="str">
        <x:v>Strong</x:v>
      </x:c>
      <x:c r="G17" s="27" t="str">
        <x:v>Government award and defense industrial policy</x:v>
      </x:c>
      <x:c r="H17" s="27" t="str">
        <x:v>Raytheon AMRAAM backlog, production volume and recognized defense revenue</x:v>
      </x:c>
      <x:c r="I17" s="27" t="str">
        <x:v>Up</x:v>
      </x:c>
      <x:c r="J17" s="27" t="str">
        <x:v>One to seven years</x:v>
      </x:c>
      <x:c r="K17" s="27" t="n">
        <x:v>4</x:v>
      </x:c>
      <x:c r="L17" s="27" t="n">
        <x:v>1</x:v>
      </x:c>
      <x:c r="M17" s="27" t="str">
        <x:v>WAIT</x:v>
      </x:c>
      <x:c r="N17" s="29" t="str">
        <x:v>The Air Force awarded Raytheon a new sole-source, not-to-exceed $20.699 billion multiyear AMRAAM contract through June 2033. The award covers all-up rounds, guidance sections, direct charges and foreign-military-sales offsets; about $154.35 million was obligated at award.</x:v>
      </x:c>
      <x:c r="O17" s="29" t="str">
        <x:v>Funded missile orders and capacity investment can raise AMRAAM output, Raytheon backlog and recognized defense revenue over multiple years. The same production ramp can support suppliers, but RTX is the only clean named public recipient.</x:v>
      </x:c>
      <x:c r="P17" s="29" t="str">
        <x:v>The Department of War contract notice identifies award FA8556-26-C-B001 as a sole-source multiyear action, and RTX confirmed a five-year term plus two option years. RTX said 2025 output nearly doubled and the program targets at least 1,900 missiles annually. RTX had already reported $119 billion of defense backlog and 18% Raytheon sales growth in Q2.</x:v>
      </x:c>
      <x:c r="Q17" s="29" t="str">
        <x:v>The $20.699 billion figure is a ceiling, not funded revenue. Only about $154.35 million was obligated initially; the action is partly undefinitized and Congress has not appropriated the full multiyear amount. February production agreements made the ramp partly expected, while fixed-price execution, supply-chain capacity and margin conversion remain material risks.</x:v>
      </x:c>
      <x:c r="R17" s="29"/>
      <x:c r="S17" s="29" t="str">
        <x:v>RTX rose about 1.3% after hours on the announcement but was near $187.66 at the scan, without a distinct sustained breakout. Market recognition is positive but modest relative to the headline ceiling, consistent with the small initial obligation and prior expectations.</x:v>
      </x:c>
      <x:c r="T17" s="29" t="str">
        <x:v>RTX is the direct conditional expression. Broad defense ETFs dilute AMRAAM exposure. WAIT for larger funded obligations, appropriations and backlog-to-revenue evidence, or an orderly non-headline pullback or consolidation. Valuation, fixed-price execution, supply-chain and capital-allocation risks remain.</x:v>
      </x:c>
      <x:c r="U17" s="29" t="str">
        <x:v>Congress fails to fund the multiyear plan, obligations remain immaterial, production does not approach the 1,900-unit goal, cost overruns or supplier constraints compress margins, or backlog fails to convert into cash flow.</x:v>
      </x:c>
      <x:c r="V17" s="43" t="str">
        <x:v>2026-09-29: The new AMRAAM award should increase Raytheon funded backlog, production volume and recognized defense revenue over one to seven years, but the $20.699 billion ceiling will convert only as Congress funds orders and RTX executes deliveries. Initial Entry Window: WAIT because only about $154.35 million was initially obligated, the ramp was partly anticipated and valuation leaves limited unpriced edge.</x:v>
      </x:c>
      <x:c r="W17" s="43" t="n">
        <x:v>46325.166666666664</x:v>
      </x:c>
      <x:c r="X17" s="43"/>
      <x:c r="Y17" s="29"/>
      <x:c r="Z17" s="29"/>
      <x:c r="AA17" s="29"/>
      <x:c r="AB17" s="29"/>
      <x:c r="AC17" s="29"/>
      <x:c r="AD17" s="29" t="str">
        <x:v>Open. New Strong thesis at confidence 4/5 and trading edge 1/5. Primary government and company records establish the award and production mechanism; limited initial obligations, appropriation risk, partial prior anticipation and fixed-price execution risk keep Entry Window WAIT. No real trade is authorized.</x:v>
      </x:c>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de3235540376411e"/>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A139" t="str">
        <x:v>EV-2026-134</x:v>
      </x:c>
      <x:c r="B139" t="str">
        <x:v>EEI-2026-003</x:v>
      </x:c>
      <x:c r="C139" s="53" t="n">
        <x:v>46285.4907638889</x:v>
      </x:c>
      <x:c r="D139" t="str">
        <x:v>Macro contradiction</x:v>
      </x:c>
      <x:c r="E139" t="str">
        <x:v>Reuters</x:v>
      </x:c>
      <x:c r="F139" t="str">
        <x:v>High quality reporting of a Federal Reserve official's remarks</x:v>
      </x:c>
      <x:c r="G139" s="44" t="str">
        <x:v>https://www.reuters.com/business/feds-kashkari-says-inflation-goes-beyond-oil-prices-according-fox-news-interview-2026-09-20/</x:v>
      </x:c>
      <x:c r="H139" s="44" t="str">
        <x:v>Minneapolis Fed President Neel Kashkari said inflation remains too high across the U.S. economy even after excluding volatile energy and food, and supported the September quarter-point rate increase.</x:v>
      </x:c>
      <x:c r="I139" s="44" t="str">
        <x:v>Strengthens inflation-to-rates contradiction</x:v>
      </x:c>
      <x:c r="J139" s="44" t="n">
        <x:v>5</x:v>
      </x:c>
      <x:c r="K139" s="44" t="str">
        <x:v>This weakens the idea that an oil retreat by itself would clear the macro hurdle for broadening. It does not invalidate the midterm uncertainty-relief mechanism, but it lowers the near-term trading edge.</x:v>
      </x:c>
    </x:row>
    <x:row r="140">
      <x:c r="A140" t="str">
        <x:v>EV-2026-135</x:v>
      </x:c>
      <x:c r="B140" t="str">
        <x:v>EEI-2026-003</x:v>
      </x:c>
      <x:c r="C140" s="53" t="n">
        <x:v>46285.4907638889</x:v>
      </x:c>
      <x:c r="D140" t="str">
        <x:v>Trade and sector-policy modifier</x:v>
      </x:c>
      <x:c r="E140" t="str">
        <x:v>Reuters</x:v>
      </x:c>
      <x:c r="F140" t="str">
        <x:v>High quality reporting</x:v>
      </x:c>
      <x:c r="G140" s="44" t="str">
        <x:v>https://www.reuters.com/business/finance/us-treasurys-bessent-chinas-he-launch-talks-ai-trade-critical-minerals-2026-09-20/</x:v>
      </x:c>
      <x:c r="H140" s="44" t="str">
        <x:v>U.S. and Chinese officials began talks on tariffs, AI guardrails and critical-mineral flows ahead of a presidential summit. The trade truce expires November 10, and no agreement had been announced during this check.</x:v>
      </x:c>
      <x:c r="I140" s="44" t="str">
        <x:v>Mixed modifier; no election trigger</x:v>
      </x:c>
      <x:c r="J140" s="44" t="n">
        <x:v>4</x:v>
      </x:c>
      <x:c r="K140" s="44" t="str">
        <x:v>Incremental de-escalation could help industrial, materials and technology supply chains, while renewed tariffs would be adverse. The talks do not establish House or Senate control or a clean candidate-sector signal.</x:v>
      </x:c>
    </x:row>
    <x:row r="141">
      <x:c r="A141" t="str">
        <x:v>EV-2026-136</x:v>
      </x:c>
      <x:c r="B141" t="str">
        <x:v>EEI-2026-002</x:v>
      </x:c>
      <x:c r="C141" s="21" t="n">
        <x:v>46286.35158564815</x:v>
      </x:c>
      <x:c r="D141" t="str">
        <x:v>Supporting supply evidence</x:v>
      </x:c>
      <x:c r="E141" t="str">
        <x:v>Reuters reporting of QatarEnergy CEO remarks</x:v>
      </x:c>
      <x:c r="F141" t="str">
        <x:v>High quality reporting of company statements</x:v>
      </x:c>
      <x:c r="G141" s="44" t="str">
        <x:v>https://www.reuters.com/business/energy/qatarenergy-says-hormuz-crisis-may-delay-lng-expansion-projects-2026-09-21/</x:v>
      </x:c>
      <x:c r="H141" s="44" t="str">
        <x:v>QatarEnergy said attacks disabled 17% of national LNG capacity, repairs to two trains may take three years and later North Field expansion trains depend on restoration of Hormuz logistics.</x:v>
      </x:c>
      <x:c r="I141" s="44" t="str">
        <x:v>Strengthens duration and mechanism</x:v>
      </x:c>
      <x:c r="J141" s="44" t="n">
        <x:v>5</x:v>
      </x:c>
      <x:c r="K141" s="44" t="str">
        <x:v>The first North Field East train remains targeted for first-half 2027. QatarEnergy also said normal gas operations could resume within weeks if Hormuz reopens, which is the central contradiction.</x:v>
      </x:c>
    </x:row>
    <x:row r="142">
      <x:c r="A142" t="str">
        <x:v>EV-2026-137</x:v>
      </x:c>
      <x:c r="B142" t="str">
        <x:v>EEI-2026-002</x:v>
      </x:c>
      <x:c r="C142" s="21" t="n">
        <x:v>46286.35158564815</x:v>
      </x:c>
      <x:c r="D142" t="str">
        <x:v>Modifier and contradiction</x:v>
      </x:c>
      <x:c r="E142" t="str">
        <x:v>Reuters</x:v>
      </x:c>
      <x:c r="F142" t="str">
        <x:v>High quality reporting</x:v>
      </x:c>
      <x:c r="G142" s="44" t="str">
        <x:v>https://www.reuters.com/business/energy/lng-buyers-sellers-seek-greater-supply-diversity-amid-iran-war-2026-09-21/</x:v>
      </x:c>
      <x:c r="H142" s="44" t="str">
        <x:v>Buyers are shifting toward West Africa, Indonesia, North America, Australia and China. New capacity and flexible shipping limited the estimated net 2026 global LNG supply loss to about 5 million tons despite a 36 million-ton Middle East reduction.</x:v>
      </x:c>
      <x:c r="I142" s="44" t="str">
        <x:v>Limits net gas scarcity</x:v>
      </x:c>
      <x:c r="J142" s="44" t="n">
        <x:v>5</x:v>
      </x:c>
      <x:c r="K142" s="44" t="str">
        <x:v>Diversification can cap the coal-switching mechanism, although it does not eliminate regional price and reliability stress.</x:v>
      </x:c>
    </x:row>
    <x:row r="143">
      <x:c r="A143" t="str">
        <x:v>EV-2026-138</x:v>
      </x:c>
      <x:c r="B143" t="str">
        <x:v>EEI-2026-002</x:v>
      </x:c>
      <x:c r="C143" s="21" t="n">
        <x:v>46286.35158564815</x:v>
      </x:c>
      <x:c r="D143" t="str">
        <x:v>Demand confirmation with implementation risk</x:v>
      </x:c>
      <x:c r="E143" t="str">
        <x:v>Reuters citing Indian Central Electricity Authority data</x:v>
      </x:c>
      <x:c r="F143" t="str">
        <x:v>High quality reporting of government data</x:v>
      </x:c>
      <x:c r="G143" s="44" t="str">
        <x:v>https://www.reuters.com/business/energy/nearly-40-indias-coal-power-plants-running-critically-low-fuel-data-show-2026-09-21/</x:v>
      </x:c>
      <x:c r="H143" s="44" t="str">
        <x:v>Seventy-four Indian coal plants had critically low stocks as of September 19 and August coal imports reached a 15-month high as heat-driven demand rose and hydropower lagged.</x:v>
      </x:c>
      <x:c r="I143" s="44" t="str">
        <x:v>Strengthens coal-demand variable</x:v>
      </x:c>
      <x:c r="J143" s="44" t="n">
        <x:v>5</x:v>
      </x:c>
      <x:c r="K143" s="44" t="str">
        <x:v>Analysts described the stock shortage as a temporary logistics issue. Renewable generation rose 21%, and low on-site stocks can constrain generation even when demand is strong.</x:v>
      </x:c>
    </x:row>
    <x:row r="144">
      <x:c r="A144" t="str">
        <x:v>EV-2026-139</x:v>
      </x:c>
      <x:c r="B144" t="str">
        <x:v>EEI-2026-009</x:v>
      </x:c>
      <x:c r="C144" s="21" t="n">
        <x:v>46286.35158564815</x:v>
      </x:c>
      <x:c r="D144" t="str">
        <x:v>Supporting physical and horizon evidence</x:v>
      </x:c>
      <x:c r="E144" t="str">
        <x:v>Reuters citing U.S. EIA and storage data</x:v>
      </x:c>
      <x:c r="F144" t="str">
        <x:v>High quality reporting of primary statistics</x:v>
      </x:c>
      <x:c r="G144" s="44" t="str">
        <x:v>https://www.reuters.com/business/energy/global-diesel-shortage-likely-last-into-2027-as-storage-tanks-drain-2026-09-21/</x:v>
      </x:c>
      <x:c r="H144" s="44" t="str">
        <x:v>U.S. diesel inventories were 107.9 million barrels by September 11, the lowest comparable September level in EIA records since 1982. EIA expects stocks below the five-year low through end-2026 and most of 2027; the U.S. diesel crack hit a record $118.62 per barrel on September 14.</x:v>
      </x:c>
      <x:c r="I144" s="44" t="str">
        <x:v>Strengthens variable and extends duration</x:v>
      </x:c>
      <x:c r="J144" s="44" t="n">
        <x:v>5</x:v>
      </x:c>
      <x:c r="K144" s="44" t="str">
        <x:v>Record margins encourage more output, China is raising exports and high prices can destroy demand. The data strengthen the thesis but do not improve the entry.</x:v>
      </x:c>
    </x:row>
    <x:row r="145">
      <x:c r="A145" t="str">
        <x:v>EV-2026-140</x:v>
      </x:c>
      <x:c r="B145" t="str">
        <x:v>EEI-2026-011</x:v>
      </x:c>
      <x:c r="C145" s="21" t="n">
        <x:v>46286.35158564815</x:v>
      </x:c>
      <x:c r="D145" t="str">
        <x:v>Trigger and market confirmation</x:v>
      </x:c>
      <x:c r="E145" t="str">
        <x:v>Reuters Open Interest — Ron Bousso</x:v>
      </x:c>
      <x:c r="F145" t="str">
        <x:v>Expert analysis using Kpler and LSEG data</x:v>
      </x:c>
      <x:c r="G145" s="44" t="str">
        <x:v>https://www.reuters.com/commentary/reuters-open-interest/hormuz-shuttles-keep-oil-flowing-high-cost-2026-09-21/</x:v>
      </x:c>
      <x:c r="H145" s="44" t="str">
        <x:v>Gulf ship-to-ship crude transfers rose to about 2.5 million bpd in September from 1.4 million in August, while Gulf-to-China VLCC freight exceeded $30 per barrel.</x:v>
      </x:c>
      <x:c r="I145" s="44" t="str">
        <x:v>Confirms freight variable and mechanism</x:v>
      </x:c>
      <x:c r="J145" s="44" t="n">
        <x:v>4</x:v>
      </x:c>
      <x:c r="K145" s="44" t="str">
        <x:v>This is analysis rather than a primary record. The underlying Kpler and LSEG observations are independently observable, while route normalization could reverse the capacity squeeze.</x:v>
      </x:c>
    </x:row>
    <x:row r="146">
      <x:c r="A146" t="str">
        <x:v>EV-2026-141</x:v>
      </x:c>
      <x:c r="B146" t="str">
        <x:v>EEI-2026-011</x:v>
      </x:c>
      <x:c r="C146" s="21" t="n">
        <x:v>46286.35158564815</x:v>
      </x:c>
      <x:c r="D146" t="str">
        <x:v>Independent market confirmation</x:v>
      </x:c>
      <x:c r="E146" t="str">
        <x:v>The Wall Street Journal</x:v>
      </x:c>
      <x:c r="F146" t="str">
        <x:v>High quality independent reporting</x:v>
      </x:c>
      <x:c r="G146" s="44" t="str">
        <x:v>https://www.wsj.com/logistics-report/tanker-shortage-sends-oil-shipping-rates-soaring-d526cdb7</x:v>
      </x:c>
      <x:c r="H146" s="44" t="str">
        <x:v>The cost of hiring a Gulf-loading supertanker exceeded $1 million per day, or about $26 per barrel, as shuttle operations and longer routes tightened vessel availability.</x:v>
      </x:c>
      <x:c r="I146" s="44" t="str">
        <x:v>Confirms record freight and tanker scarcity</x:v>
      </x:c>
      <x:c r="J146" s="44" t="n">
        <x:v>5</x:v>
      </x:c>
      <x:c r="K146" s="44" t="str">
        <x:v>Freight is already at an extreme, so the observation confirms the economics but also raises reversal and headline-chasing risk.</x:v>
      </x:c>
    </x:row>
    <x:row r="147">
      <x:c r="A147" t="str">
        <x:v>EV-2026-142</x:v>
      </x:c>
      <x:c r="B147" t="str">
        <x:v>EEI-2026-011</x:v>
      </x:c>
      <x:c r="C147" s="21" t="n">
        <x:v>46286.35158564815</x:v>
      </x:c>
      <x:c r="D147" t="str">
        <x:v>Corporate industry confirmation</x:v>
      </x:c>
      <x:c r="E147" t="str">
        <x:v>Reuters reporting a Trafigura statement</x:v>
      </x:c>
      <x:c r="F147" t="str">
        <x:v>High quality reporting of company statement</x:v>
      </x:c>
      <x:c r="G147" s="44" t="str">
        <x:v>https://www.reuters.com/business/energy/trafigura-launches-volare-tanker-arm-plans-oslo-listing-2026-09-21/</x:v>
      </x:c>
      <x:c r="H147" s="44" t="str">
        <x:v>Trafigura launched Volare Shipping with six operating VLCCs and eight newbuilds and plans a $500 million private placement before an expected Oslo listing around October 5.</x:v>
      </x:c>
      <x:c r="I147" s="44" t="str">
        <x:v>Confirms industry capital response</x:v>
      </x:c>
      <x:c r="J147" s="44" t="n">
        <x:v>5</x:v>
      </x:c>
      <x:c r="K147" s="44" t="str">
        <x:v>The newbuild program supports near-term earnings capacity but becomes a medium-term oversupply risk. The listing remains conditional on the placement and exchange approval.</x:v>
      </x:c>
    </x:row>
    <x:row r="148">
      <x:c r="A148" t="str">
        <x:v>EV-2026-143</x:v>
      </x:c>
      <x:c r="B148"/>
      <x:c r="C148" s="21" t="n">
        <x:v>46286.35158564815</x:v>
      </x:c>
      <x:c r="D148" t="str">
        <x:v>Rejected Motley Fool trigger</x:v>
      </x:c>
      <x:c r="E148" t="str">
        <x:v>The Motley Fool — Motley Fool Staff</x:v>
      </x:c>
      <x:c r="F148" t="str">
        <x:v>Idea generator only</x:v>
      </x:c>
      <x:c r="G148" s="44" t="str">
        <x:v>https://www.fool.com/investing/2026/09/20/bloom-energys-time-to-power-moat/</x:v>
      </x:c>
      <x:c r="H148" s="44" t="str">
        <x:v>Free editorial podcast published September 20 at 3:06 p.m. ET discussed power-generation bottlenecks as a benefit for Bloom Energy and Enphase. The accessible page did not disclose an individual author position or identify an official paid-service recommendation.</x:v>
      </x:c>
      <x:c r="I148" s="44" t="str">
        <x:v>Rejected as a repeated and already-priced catalyst</x:v>
      </x:c>
      <x:c r="J148" s="44" t="n">
        <x:v>3</x:v>
      </x:c>
      <x:c r="K148" s="44" t="str">
        <x:v>Tickers BE and ENPH. Claimed variable: distributed power revenue and backlog over years through faster time-to-power. Existing primary results support Bloom's growth, but this article added no new dated catalyst. BE traded near $265 with a market value near $86 billion and a triple-digit earnings multiple in early September 21 pricing, leaving unfavorable entry risk.</x:v>
      </x:c>
    </x:row>
    <x:row r="149">
      <x:c r="A149" t="str">
        <x:v>EV-2026-144</x:v>
      </x:c>
      <x:c r="B149" t="str">
        <x:v>EEI-2026-003</x:v>
      </x:c>
      <x:c r="C149" s="21" t="n">
        <x:v>46286.35158564815</x:v>
      </x:c>
      <x:c r="D149" t="str">
        <x:v>Election policy observation</x:v>
      </x:c>
      <x:c r="E149" t="str">
        <x:v>Associated Press</x:v>
      </x:c>
      <x:c r="F149" t="str">
        <x:v>High quality reporting</x:v>
      </x:c>
      <x:c r="G149" s="44" t="str">
        <x:v>https://apnews.com/article/5af8003c075bcecdc0b31d389c1be1b1</x:v>
      </x:c>
      <x:c r="H149" s="44" t="str">
        <x:v>Nevada's 3rd District campaign is using the enacted federal tip-income tax provision as a local policy issue, while tourism weakness and debate over Medicaid and SNAP cuts remain competing economic concerns.</x:v>
      </x:c>
      <x:c r="I149" s="44" t="str">
        <x:v>Factual policy-to-campaign link; no control conclusion</x:v>
      </x:c>
      <x:c r="J149" s="44"/>
      <x:c r="K149" s="44" t="str">
        <x:v>This single-district report does not establish House or Senate control and does not change the thesis stage or Entry Window. It is recorded separately from energy evidence.</x:v>
      </x:c>
    </x:row>
    <x:row r="150">
      <x:c r="A150" t="str">
        <x:v>EV-2026-145</x:v>
      </x:c>
      <x:c r="B150" t="str">
        <x:v>EEI-2026-003</x:v>
      </x:c>
      <x:c r="C150" s="53" t="n">
        <x:v>46286.4643402778</x:v>
      </x:c>
      <x:c r="D150" t="str">
        <x:v>Intraday market confirmation</x:v>
      </x:c>
      <x:c r="E150" t="str">
        <x:v>Reuters and delayed ETF market data</x:v>
      </x:c>
      <x:c r="F150" t="str">
        <x:v>High quality reporting and quoted market data</x:v>
      </x:c>
      <x:c r="G150" s="44" t="str">
        <x:v>https://www.reuters.com/business/wall-st-futures-rise-ai-stocks-gain-oil-prices-slide-2026-09-21/</x:v>
      </x:c>
      <x:c r="H150" s="44" t="str">
        <x:v>Reuters reported positive exchange breadth, oil down more than 3% and the 10-year yield below 5%, but AI-linked stocks led the indexes. Delayed quotes showed SPY +0.98% versus RSP -0.05%; XLI, XLB and XLF also lagged, while XBI outperformed and IWM rose less than SPY.</x:v>
      </x:c>
      <x:c r="I150" s="44" t="str">
        <x:v>Mixed participation; weakens core breadth confirmation</x:v>
      </x:c>
      <x:c r="J150" s="44" t="n">
        <x:v>5</x:v>
      </x:c>
      <x:c r="K150" s="44" t="str">
        <x:v>The favorable macro shift did not translate into equal-weight or cyclical leadership. XBI is the only listed candidate that outperformed SPY during the check; one intraday reading is insufficient for escalation.</x:v>
      </x:c>
    </x:row>
    <x:row r="151">
      <x:c r="A151" t="str">
        <x:v>EV-2026-146</x:v>
      </x:c>
      <x:c r="B151" t="str">
        <x:v>EEI-2026-003</x:v>
      </x:c>
      <x:c r="C151" s="53" t="n">
        <x:v>46286.4643402778</x:v>
      </x:c>
      <x:c r="D151" t="str">
        <x:v>Campaign trigger update</x:v>
      </x:c>
      <x:c r="E151" t="str">
        <x:v>Reuters</x:v>
      </x:c>
      <x:c r="F151" t="str">
        <x:v>High quality factual reporting</x:v>
      </x:c>
      <x:c r="G151" s="44" t="str">
        <x:v>https://www.reuters.com/legal/government/trumps-favorite-2026-campaign-target-is-biden-nearly-900-mentions-counting-2026-09-21/</x:v>
      </x:c>
      <x:c r="H151" s="44" t="str">
        <x:v>Reuters reported that current campaign messaging remains heavily focused on the economy, affordability, immigration and foreign policy with six weeks remaining before the midterm elections.</x:v>
      </x:c>
      <x:c r="I151" s="44" t="str">
        <x:v>Confirms campaign intensity; no chamber-control conclusion</x:v>
      </x:c>
      <x:c r="J151" s="44"/>
      <x:c r="K151" s="44" t="str">
        <x:v>The reporting does not independently establish House or Senate control, a legislative outcome or a direct investable sector catalyst.</x:v>
      </x:c>
    </x:row>
    <x:row r="152">
      <x:c r="A152" t="str">
        <x:v>EV-2026-147</x:v>
      </x:c>
      <x:c r="B152" t="str">
        <x:v>EEI-2026-003</x:v>
      </x:c>
      <x:c r="C152" s="53" t="n">
        <x:v>46286.4643402778</x:v>
      </x:c>
      <x:c r="D152" t="str">
        <x:v>Trade and technology-policy modifier</x:v>
      </x:c>
      <x:c r="E152" t="str">
        <x:v>Reuters</x:v>
      </x:c>
      <x:c r="F152" t="str">
        <x:v>High quality factual reporting</x:v>
      </x:c>
      <x:c r="G152" s="44" t="str">
        <x:v>https://www.reuters.com/world/asia-pacific/us-china-meet-again-ai-safety-two-months-shenzhen-bessent-says-2026-09-21/</x:v>
      </x:c>
      <x:c r="H152" s="44" t="str">
        <x:v>U.S. and Chinese officials agreed to establish an AI-safety dialogue and incident line. They discussed the trade truce but did not announce an extension beyond its November 10 expiration.</x:v>
      </x:c>
      <x:c r="I152" s="44" t="str">
        <x:v>Mixed sector modifier; no election trigger</x:v>
      </x:c>
      <x:c r="J152" s="44"/>
      <x:c r="K152" s="44" t="str">
        <x:v>The dialogue may reduce one technology-policy uncertainty, while the unresolved tariff deadline remains relevant to industrial, materials and technology supply chains. It does not establish a congressional outcome.</x:v>
      </x:c>
    </x:row>
    <x:row r="153">
      <x:c r="A153" t="str">
        <x:v>EV-2026-148</x:v>
      </x:c>
      <x:c r="B153" t="str">
        <x:v>EEI-2026-001</x:v>
      </x:c>
      <x:c r="C153" s="21" t="n">
        <x:v>46286.68511574074</x:v>
      </x:c>
      <x:c r="D153" t="str">
        <x:v>Post-horizon paper-trade outcome</x:v>
      </x:c>
      <x:c r="E153" t="str">
        <x:v>S&amp;P Global Market Intelligence via StockAnalysis</x:v>
      </x:c>
      <x:c r="F153" t="str">
        <x:v>Daily closing market data</x:v>
      </x:c>
      <x:c r="G153" s="44" t="str">
        <x:v>https://stockanalysis.com/etf/bno/history/</x:v>
      </x:c>
      <x:c r="H153" s="44" t="str">
        <x:v>BNO closed September 21 at $58.85 versus the $57.21 September 8 opening entry; the $1,000 paper position was worth $1,028.67, up $28.67 or 2.87%.</x:v>
      </x:c>
      <x:c r="I153" s="44" t="str">
        <x:v>Direct expression remains positive; edge materially reduced</x:v>
      </x:c>
      <x:c r="J153" s="44" t="n">
        <x:v>5</x:v>
      </x:c>
      <x:c r="K153" s="44" t="str">
        <x:v>Fractional shares: 17.47946163. Continued tracking after the September 18 evaluation; the completed thesis outcome is not reopened. Hypothetical paper trade only.</x:v>
      </x:c>
    </x:row>
    <x:row r="154">
      <x:c r="A154" t="str">
        <x:v>EV-2026-149</x:v>
      </x:c>
      <x:c r="B154" t="str">
        <x:v>EEI-2026-001</x:v>
      </x:c>
      <x:c r="C154" s="21" t="n">
        <x:v>46286.68511574074</x:v>
      </x:c>
      <x:c r="D154" t="str">
        <x:v>Post-horizon paper-trade outcome</x:v>
      </x:c>
      <x:c r="E154" t="str">
        <x:v>S&amp;P Global Market Intelligence via StockAnalysis</x:v>
      </x:c>
      <x:c r="F154" t="str">
        <x:v>Daily closing market data</x:v>
      </x:c>
      <x:c r="G154" s="44" t="str">
        <x:v>https://stockanalysis.com/etf/uso/history/</x:v>
      </x:c>
      <x:c r="H154" s="44" t="str">
        <x:v>USO closed September 21 at $148.17 versus the $144.60 September 8 opening entry; the $1,000 paper position was worth $1,024.69, up $24.69 or 2.47%.</x:v>
      </x:c>
      <x:c r="I154" s="44" t="str">
        <x:v>Direct expression remains positive; edge materially reduced</x:v>
      </x:c>
      <x:c r="J154" s="44" t="n">
        <x:v>5</x:v>
      </x:c>
      <x:c r="K154" s="44" t="str">
        <x:v>Fractional shares: 6.91562932. Continued tracking after the September 18 evaluation; the completed thesis outcome is not reopened. Hypothetical paper trade only.</x:v>
      </x:c>
    </x:row>
    <x:row r="155">
      <x:c r="A155" t="str">
        <x:v>EV-2026-150</x:v>
      </x:c>
      <x:c r="B155" t="str">
        <x:v>EEI-2026-001</x:v>
      </x:c>
      <x:c r="C155" s="21" t="n">
        <x:v>46286.68511574074</x:v>
      </x:c>
      <x:c r="D155" t="str">
        <x:v>Post-horizon paper-trade outcome</x:v>
      </x:c>
      <x:c r="E155" t="str">
        <x:v>S&amp;P Global Market Intelligence via StockAnalysis</x:v>
      </x:c>
      <x:c r="F155" t="str">
        <x:v>Daily closing market data</x:v>
      </x:c>
      <x:c r="G155" s="44" t="str">
        <x:v>https://stockanalysis.com/etf/xop/history/</x:v>
      </x:c>
      <x:c r="H155" s="44" t="str">
        <x:v>XOP closed September 21 at $184.72 versus the $193.84 September 8 opening entry; the $1,000 paper position was worth $952.95, down $47.05 or 4.70%.</x:v>
      </x:c>
      <x:c r="I155" s="44" t="str">
        <x:v>Further invalidates indirect producer-equity expression</x:v>
      </x:c>
      <x:c r="J155" s="44" t="n">
        <x:v>5</x:v>
      </x:c>
      <x:c r="K155" s="44" t="str">
        <x:v>Fractional shares: 5.15889393. XOP's widening loss while BNO and USO remain positive reinforces the methodology's clean-expression rule. Hypothetical paper trade only.</x:v>
      </x:c>
    </x:row>
    <x:row r="156">
      <x:c r="A156" t="str">
        <x:v>EV-2026-151</x:v>
      </x:c>
      <x:c r="B156" t="str">
        <x:v>EEI-2026-001</x:v>
      </x:c>
      <x:c r="C156" s="21" t="n">
        <x:v>46286.68511574074</x:v>
      </x:c>
      <x:c r="D156" t="str">
        <x:v>Post-horizon contradiction</x:v>
      </x:c>
      <x:c r="E156" t="str">
        <x:v>Reuters</x:v>
      </x:c>
      <x:c r="F156" t="str">
        <x:v>High quality reporting with shipping data</x:v>
      </x:c>
      <x:c r="G156" s="44" t="str">
        <x:v>https://www.reuters.com/business/energy/saudi-arabia-ramps-up-gulf-oil-exports-after-pipeline-attack-shipping-data-shows-2026-09-21/</x:v>
      </x:c>
      <x:c r="H156" s="44" t="str">
        <x:v>Saudi Gulf crude loadings averaged about 3.7 million bpd from September 12, up from 2.9 million bpd earlier in the month. Satellite data also indicated Saudi flows through Hormuz averaged 2.9 million bpd over the prior six days versus 700,000 bpd in August.</x:v>
      </x:c>
      <x:c r="I156" s="44" t="str">
        <x:v>Weakens the near-term scarcity premium</x:v>
      </x:c>
      <x:c r="J156" s="44" t="n">
        <x:v>5</x:v>
      </x:c>
      <x:c r="K156" s="44" t="str">
        <x:v>The increased loadings and partial recovery helped push Brent below $100 on September 21. This is the clearest current invalidating development, although it does not mean regional logistics have normalized.</x:v>
      </x:c>
    </x:row>
    <x:row r="157">
      <x:c r="A157" t="str">
        <x:v>EV-2026-152</x:v>
      </x:c>
      <x:c r="B157" t="str">
        <x:v>EEI-2026-001</x:v>
      </x:c>
      <x:c r="C157" s="21" t="n">
        <x:v>46286.68511574074</x:v>
      </x:c>
      <x:c r="D157" t="str">
        <x:v>Post-horizon mixed outcome evidence</x:v>
      </x:c>
      <x:c r="E157" t="str">
        <x:v>Reuters Open Interest citing Kpler and LSEG</x:v>
      </x:c>
      <x:c r="F157" t="str">
        <x:v>Expert analysis using market and shipping data</x:v>
      </x:c>
      <x:c r="G157" s="44" t="str">
        <x:v>https://www.reuters.com/commentary/reuters-open-interest/hormuz-shuttles-keep-oil-flowing-high-cost-2026-09-21/</x:v>
      </x:c>
      <x:c r="H157" s="44" t="str">
        <x:v>Hormuz exports reached about 6.5 million bpd in September and ship-to-ship transfers reached about 2.5 million bpd, limiting the acute supply loss, while Gulf-to-China VLCC freight exceeded $30 per barrel.</x:v>
      </x:c>
      <x:c r="I157" s="44" t="str">
        <x:v>Supply adaptation weakens price shock; high costs confirm continuing friction</x:v>
      </x:c>
      <x:c r="J157" s="44" t="n">
        <x:v>4</x:v>
      </x:c>
      <x:c r="K157" s="44" t="str">
        <x:v>The market is adapting rather than remaining paralyzed. The workaround reduces the shortage predicted by the original thesis but preserves unusually high transport costs and system fragility.</x:v>
      </x:c>
    </x:row>
    <x:row r="158">
      <x:c r="A158" t="str">
        <x:v>EV-2026-153</x:v>
      </x:c>
      <x:c r="B158" t="str">
        <x:v>EEI-2026-009</x:v>
      </x:c>
      <x:c r="C158" s="21" t="n">
        <x:v>46287.50418981481</x:v>
      </x:c>
      <x:c r="D158" t="str">
        <x:v>Contradictory supply and policy update</x:v>
      </x:c>
      <x:c r="E158" t="str">
        <x:v>Reuters</x:v>
      </x:c>
      <x:c r="F158" t="str">
        <x:v>High quality reporting</x:v>
      </x:c>
      <x:c r="G158" s="44" t="str">
        <x:v>https://www.reuters.com/business/energy/oil-rises-slightly-ahead-potential-us-iran-talks-2026-09-22/</x:v>
      </x:c>
      <x:c r="H158" s="44" t="str">
        <x:v>Saudi Arabia restarted the East-West Pipeline at a low rate and Iran signaled Hormuz could reopen within seven days if U.S. pressure eases. Brent November fell 2% to $98.33 and WTI November fell 2.65% to $89.92.</x:v>
      </x:c>
      <x:c r="I158" s="44" t="str">
        <x:v>Weakens scarcity duration and entry edge</x:v>
      </x:c>
      <x:c r="J158" s="44" t="n">
        <x:v>5</x:v>
      </x:c>
      <x:c r="K158" s="44" t="str">
        <x:v>Full pipeline restoration could take weeks, and Reuters reported that the refined-product shortage remains acute. The evidence weakens crude-feedstock stress but does not yet normalize diesel inventories or exports.</x:v>
      </x:c>
    </x:row>
    <x:row r="159">
      <x:c r="A159" t="str">
        <x:v>EV-2026-154</x:v>
      </x:c>
      <x:c r="B159" t="str">
        <x:v>EEI-2026-009</x:v>
      </x:c>
      <x:c r="C159" s="21" t="n">
        <x:v>46287.50418981481</x:v>
      </x:c>
      <x:c r="D159" t="str">
        <x:v>Persistent refined-product confirmation</x:v>
      </x:c>
      <x:c r="E159" t="str">
        <x:v>Reuters</x:v>
      </x:c>
      <x:c r="F159" t="str">
        <x:v>High quality reporting</x:v>
      </x:c>
      <x:c r="G159" s="44" t="str">
        <x:v>https://www.reuters.com/business/energy/oil-rises-slightly-ahead-potential-us-iran-talks-2026-09-22/</x:v>
      </x:c>
      <x:c r="H159" s="44" t="str">
        <x:v>Despite easing crude, Reuters reported record diesel prices in Europe and the United States and said further oil downside may be limited until refined-product flows increase.</x:v>
      </x:c>
      <x:c r="I159" s="44" t="str">
        <x:v>Supports separate diesel thesis</x:v>
      </x:c>
      <x:c r="J159" s="44" t="n">
        <x:v>5</x:v>
      </x:c>
      <x:c r="K159" s="44" t="str">
        <x:v>The observation is contemporaneous reporting rather than a new inventory release. Pipeline restoration, substitution, demand destruction and higher refinery runs can still reduce cracks.</x:v>
      </x:c>
    </x:row>
    <x:row r="160">
      <x:c r="A160" t="str">
        <x:v>EV-2026-155</x:v>
      </x:c>
      <x:c r="B160" t="str">
        <x:v>EEI-2026-011</x:v>
      </x:c>
      <x:c r="C160" s="21" t="n">
        <x:v>46287.50418981481</x:v>
      </x:c>
      <x:c r="D160" t="str">
        <x:v>Global freight confirmation and route modifier</x:v>
      </x:c>
      <x:c r="E160" t="str">
        <x:v>Reuters / Signal Maritime</x:v>
      </x:c>
      <x:c r="F160" t="str">
        <x:v>High quality reporting using observable charter data</x:v>
      </x:c>
      <x:c r="G160" s="44" t="str">
        <x:v>https://www.reuters.com/business/energy/traders-push-discounts-venezuelan-oil-shipping-costs-soar-sources-say-2026-09-22/</x:v>
      </x:c>
      <x:c r="H160" s="44" t="str">
        <x:v>Aframax charter cost from Venezuela to the U.S. Gulf rose to about $3.5 million, or $5 per barrel, from $1.35 million at the start of 2026; tanker waits were at their highest since January.</x:v>
      </x:c>
      <x:c r="I160" s="44" t="str">
        <x:v>Confirms global freight variable</x:v>
      </x:c>
      <x:c r="J160" s="44" t="n">
        <x:v>5</x:v>
      </x:c>
      <x:c r="K160" s="44" t="str">
        <x:v>The Saudi pipeline restart may release Gulf shuttle capacity. Venezuelan congestion and Gulf VLCC scarcity are related through fleet availability but are not the same route or vessel class.</x:v>
      </x:c>
    </x:row>
    <x:row r="161">
      <x:c r="A161" t="str">
        <x:v>EV-2026-156</x:v>
      </x:c>
      <x:c r="B161" t="str">
        <x:v>EEI-2026-011</x:v>
      </x:c>
      <x:c r="C161" s="21" t="n">
        <x:v>46287.50418981481</x:v>
      </x:c>
      <x:c r="D161" t="str">
        <x:v>Market contradiction</x:v>
      </x:c>
      <x:c r="E161" t="str">
        <x:v>Delayed premarket quote data</x:v>
      </x:c>
      <x:c r="F161" t="str">
        <x:v>Market data</x:v>
      </x:c>
      <x:c r="G161" s="44" t="str">
        <x:v>https://www.reuters.com/business/energy/saudi-arabia-restarts-east-west-oil-pipeline-resume-exports-yanbu-sources-say-2026-09-22/</x:v>
      </x:c>
      <x:c r="H161" s="44" t="str">
        <x:v>Before the U.S. open, FRO was down about 3.13%, DHT down 3.50% and BOAT roughly flat as Saudi pipeline flows restarted.</x:v>
      </x:c>
      <x:c r="I161" s="44" t="str">
        <x:v>Weakens listed-equity entry</x:v>
      </x:c>
      <x:c r="J161" s="44" t="n">
        <x:v>4</x:v>
      </x:c>
      <x:c r="K161" s="44" t="str">
        <x:v>Premarket quotes can be thin and are not a completed-session signal. The economic freight variable remains elevated even as listed expressions price normalization risk.</x:v>
      </x:c>
    </x:row>
    <x:row r="162">
      <x:c r="A162" t="str">
        <x:v>EV-2026-157</x:v>
      </x:c>
      <x:c r="B162" t="str">
        <x:v>EEI-2026-002</x:v>
      </x:c>
      <x:c r="C162" s="21" t="n">
        <x:v>46287.50418981481</x:v>
      </x:c>
      <x:c r="D162" t="str">
        <x:v>Industrial gas-cost confirmation</x:v>
      </x:c>
      <x:c r="E162" t="str">
        <x:v>Reuters reporting an Ineos statement</x:v>
      </x:c>
      <x:c r="F162" t="str">
        <x:v>High quality reporting of company statement</x:v>
      </x:c>
      <x:c r="G162" s="44" t="str">
        <x:v>https://www.reuters.com/world/uk/ineos-mothball-three-chemical-plants-high-energy-costs-hit-production-2026-09-22/</x:v>
      </x:c>
      <x:c r="H162" s="44" t="str">
        <x:v>Ineos suspended three UK chemical plants employing almost 4,000 people, citing UK gas near $23.51/MMBtu versus $2.84 in the United States.</x:v>
      </x:c>
      <x:c r="I162" s="44" t="str">
        <x:v>Confirms regional gas-cost stress</x:v>
      </x:c>
      <x:c r="J162" s="44" t="n">
        <x:v>4</x:v>
      </x:c>
      <x:c r="K162" s="44" t="str">
        <x:v>The closures show industrial demand destruction as well as energy stress. They do not directly prove coal substitution and therefore do not change the coal thesis classification.</x:v>
      </x:c>
    </x:row>
    <x:row r="163">
      <x:c r="A163" t="str">
        <x:v>EV-2026-158</x:v>
      </x:c>
      <x:c r="B163"/>
      <x:c r="C163" s="21" t="n">
        <x:v>46287.50418981481</x:v>
      </x:c>
      <x:c r="D163" t="str">
        <x:v>Rejected government-award trigger</x:v>
      </x:c>
      <x:c r="E163" t="str">
        <x:v>U.S. Army / Reuters</x:v>
      </x:c>
      <x:c r="F163" t="str">
        <x:v>Primary government announcement plus independent reporting</x:v>
      </x:c>
      <x:c r="G163" s="44" t="str">
        <x:v>https://www.army.mil/article/295521/u_s_army_announces_1_2_billion_contract_for_precision_strike_missile_increment_2_production</x:v>
      </x:c>
      <x:c r="H163" s="44" t="str">
        <x:v>Lockheed Martin Missiles and Fire Control, parent Lockheed Martin, received a U.S. Army PrSM Increment 2 IDIQ contract with a potential ceiling of $1.2 billion after successful fiscal-2026 flight tests. The public announcement did not identify the award number, initial obligation, competition status, NAICS/PSC or period of performance.</x:v>
      </x:c>
      <x:c r="I163" s="44" t="str">
        <x:v>Rejected as non-material to parent and already signaled capacity trend</x:v>
      </x:c>
      <x:c r="J163" s="44" t="n">
        <x:v>5</x:v>
      </x:c>
      <x:c r="K163" s="44" t="str">
        <x:v>Action type: new IDIQ. Potential value: $1.2 billion; current value and obligated amount not disclosed. Announcement is official, but the ceiling is about 1.6% of Lockheed Martin annual revenue and follows an earlier multi-year production expansion, limiting surprise and materiality.</x:v>
      </x:c>
    </x:row>
    <x:row r="164">
      <x:c r="A164" t="str">
        <x:v>EV-2026-159</x:v>
      </x:c>
      <x:c r="B164"/>
      <x:c r="C164" s="21" t="n">
        <x:v>46287.50418981481</x:v>
      </x:c>
      <x:c r="D164" t="str">
        <x:v>Rejected government-funding trigger</x:v>
      </x:c>
      <x:c r="E164" t="str">
        <x:v>U.S. Department of Energy / Reuters</x:v>
      </x:c>
      <x:c r="F164" t="str">
        <x:v>Primary selection notice plus independent reporting</x:v>
      </x:c>
      <x:c r="G164" s="44" t="str">
        <x:v>https://www.energy.gov/hgeo/geothermal/articles/21-projects-selected-advance-egs-field-tests-and-exploration-drilling</x:v>
      </x:c>
      <x:c r="H164" s="44" t="str">
        <x:v>DOE selected 21 geothermal field-test and exploration projects for up to $99 million in first-budget-period funding. Recipients include Fervo, Quaise, Zanskar, XGS and Invenergy. Selection begins award negotiations and is not a funding commitment.</x:v>
      </x:c>
      <x:c r="I164" s="44" t="str">
        <x:v>Rejected pending awards and company-level materiality</x:v>
      </x:c>
      <x:c r="J164" s="44" t="n">
        <x:v>5</x:v>
      </x:c>
      <x:c r="K164" s="44" t="str">
        <x:v>This is a portfolio of conditional selections, not final obligations. Individual award identifiers, negotiated values and public-company materiality are unavailable; Fervo is the only named listed recipient in Reuters reporting and its two-project share was not disclosed.</x:v>
      </x:c>
    </x:row>
    <x:row r="165">
      <x:c r="A165" t="str">
        <x:v>EV-2026-160</x:v>
      </x:c>
      <x:c r="B165"/>
      <x:c r="C165" s="21" t="n">
        <x:v>46287.50418981481</x:v>
      </x:c>
      <x:c r="D165" t="str">
        <x:v>Rejected Motley Fool trigger</x:v>
      </x:c>
      <x:c r="E165" t="str">
        <x:v>The Motley Fool — Jeremy Bowman</x:v>
      </x:c>
      <x:c r="F165" t="str">
        <x:v>Idea generator only</x:v>
      </x:c>
      <x:c r="G165" s="44" t="str">
        <x:v>https://www.fool.com/investing/2026/09/22/meta-stock-is-still-too-cheap/</x:v>
      </x:c>
      <x:c r="H165" s="44" t="str">
        <x:v>Free editorial at 12:30 a.m. ET argued META remains cheap after Muse became the top App Store download and forecast faster revenue growth into 2027. The author owns META and Motley Fool recommends it.</x:v>
      </x:c>
      <x:c r="I165" s="44" t="str">
        <x:v>Rejected as headline-chasing after repricing</x:v>
      </x:c>
      <x:c r="J165" s="44" t="n">
        <x:v>3</x:v>
      </x:c>
      <x:c r="K165" s="44" t="str">
        <x:v>Ticker META; variable: consumer-AI adoption and monetization over quarters. Reuters confirmed early download momentum but the stock rose 11.3% Monday. Meta has not disclosed attributable Muse revenue, while Q2 free cash flow was pressured by capex and legal costs. No favorable entry structure was established.</x:v>
      </x:c>
    </x:row>
    <x:row r="166">
      <x:c r="A166" t="str">
        <x:v>EV-2026-161</x:v>
      </x:c>
      <x:c r="B166"/>
      <x:c r="C166" s="21" t="n">
        <x:v>46287.50418981481</x:v>
      </x:c>
      <x:c r="D166" t="str">
        <x:v>Rejected Motley Fool trigger</x:v>
      </x:c>
      <x:c r="E166" t="str">
        <x:v>The Motley Fool — Keithen Drury</x:v>
      </x:c>
      <x:c r="F166" t="str">
        <x:v>Idea generator only</x:v>
      </x:c>
      <x:c r="G166" s="44" t="str">
        <x:v>https://www.fool.com/investing/2026/09/22/ionq-just-raised-2026-revenue-guidance-this-quantu/</x:v>
      </x:c>
      <x:c r="H166" s="44" t="str">
        <x:v>Free editorial at 1:00 a.m. ET called IONQ a buy after the SkyWater acquisition raised 2026 revenue guidance. The author owns IONQ and Motley Fool recommends it.</x:v>
      </x:c>
      <x:c r="I166" s="44" t="str">
        <x:v>Rejected as stale acquisition catalyst with valuation risk</x:v>
      </x:c>
      <x:c r="J166" s="44" t="n">
        <x:v>3</x:v>
      </x:c>
      <x:c r="K166" s="44" t="str">
        <x:v>Ticker IONQ; variable: quantum revenue and vertical-integration economics over years. SkyWater closed July 31, so the catalyst is not new. IONQ remains loss-making and was valued near $14.9 billion at $40.51, leaving substantial commercialization, integration and dilution risk.</x:v>
      </x:c>
    </x:row>
    <x:row r="167">
      <x:c r="A167" t="str">
        <x:v>EV-2026-162</x:v>
      </x:c>
      <x:c r="B167"/>
      <x:c r="C167" s="21" t="n">
        <x:v>46287.50418981481</x:v>
      </x:c>
      <x:c r="D167" t="str">
        <x:v>Rejected Motley Fool trigger</x:v>
      </x:c>
      <x:c r="E167" t="str">
        <x:v>The Motley Fool — Rick Orford</x:v>
      </x:c>
      <x:c r="F167" t="str">
        <x:v>Idea generator only</x:v>
      </x:c>
      <x:c r="G167" s="44" t="str">
        <x:v>https://www.fool.com/investing/2026/09/22/prediction-ast-spacemobile-will-be-the-best-perfor/</x:v>
      </x:c>
      <x:c r="H167" s="44" t="str">
        <x:v>Free editorial at 6:10 a.m. ET predicted ASTS would lead space stocks in 2027, citing a 45-60 satellite target, planned AT&amp;T and Verizon beta service and Rakuten/Japan support. The author disclosed no position; Motley Fool recommends ASTS.</x:v>
      </x:c>
      <x:c r="I167" s="44" t="str">
        <x:v>Rejected pending commercial proof and entry discipline</x:v>
      </x:c>
      <x:c r="J167" s="44" t="n">
        <x:v>3</x:v>
      </x:c>
      <x:c r="K167" s="44" t="str">
        <x:v>Ticker ASTS; variable: deployed satellites, service activation and revenue over 2027. The stock was up about 5.7% at $61.89 with an $18.5 billion market value and negative earnings. Execution, funding and dilution risk remain high, and the article did not add a new primary milestone.</x:v>
      </x:c>
    </x:row>
    <x:row r="168">
      <x:c r="A168" t="str">
        <x:v>EV-2026-163</x:v>
      </x:c>
      <x:c r="B168"/>
      <x:c r="C168" s="21" t="n">
        <x:v>46287.50418981481</x:v>
      </x:c>
      <x:c r="D168" t="str">
        <x:v>Rejected Motley Fool trigger</x:v>
      </x:c>
      <x:c r="E168" t="str">
        <x:v>The Motley Fool — Keith Speights</x:v>
      </x:c>
      <x:c r="F168" t="str">
        <x:v>Idea generator only</x:v>
      </x:c>
      <x:c r="G168" s="44" t="str">
        <x:v>https://www.fool.com/investing/2026/09/22/biontech-stock-recently-got-downgraded-but-is-wall/</x:v>
      </x:c>
      <x:c r="H168" s="44" t="str">
        <x:v>Free editorial at 4:44 a.m. ET argued BNTX oncology optionality is underappreciated and highlighted three expected data readouts before year-end. The author disclosed no position; Motley Fool recommends BioNTech.</x:v>
      </x:c>
      <x:c r="I168" s="44" t="str">
        <x:v>Rejected until clinical readouts create primary evidence</x:v>
      </x:c>
      <x:c r="J168" s="44" t="n">
        <x:v>3</x:v>
      </x:c>
      <x:c r="K168" s="44" t="str">
        <x:v>Ticker BNTX; variable: late-stage oncology success and future revenue over years. Trial timing is relevant, but no new result was published. Binary clinical risk and the absence of current oncology cash flows keep this a watch item rather than a distinct thesis.</x:v>
      </x:c>
    </x:row>
    <x:row r="169">
      <x:c r="A169" t="str">
        <x:v>EV-2026-164</x:v>
      </x:c>
      <x:c r="B169" t="str">
        <x:v>EEI-2026-003</x:v>
      </x:c>
      <x:c r="C169" s="21" t="n">
        <x:v>46287.50418981481</x:v>
      </x:c>
      <x:c r="D169" t="str">
        <x:v>Neutral market and policy check</x:v>
      </x:c>
      <x:c r="E169" t="str">
        <x:v>Reuters</x:v>
      </x:c>
      <x:c r="F169" t="str">
        <x:v>High quality reporting</x:v>
      </x:c>
      <x:c r="G169" s="44" t="str">
        <x:v>https://www.reuters.com/business/wall-st-futures-pause-after-ai-rally-focus-mideast-tensions-2026-09-22/</x:v>
      </x:c>
      <x:c r="H169" s="44" t="str">
        <x:v>U.S. futures were nearly flat after an AI-led Nasdaq record; Brent eased and the 10-year Treasury yield was near 4.9%. No factual congressional-control development was established in this scan.</x:v>
      </x:c>
      <x:c r="I169" s="44" t="str">
        <x:v>No election-thesis confirmation</x:v>
      </x:c>
      <x:c r="J169" s="44" t="n">
        <x:v>5</x:v>
      </x:c>
      <x:c r="K169" s="44" t="str">
        <x:v>This is a market and policy observation only. It does not predict or assign a probability to House or Senate control. Narrow AI leadership remains the principal breadth contradiction.</x:v>
      </x:c>
    </x:row>
    <x:row r="170">
      <x:c r="A170" t="str">
        <x:v>EV-2026-165</x:v>
      </x:c>
      <x:c r="B170" t="str">
        <x:v>EEI-2026-003</x:v>
      </x:c>
      <x:c r="C170" s="53" t="n">
        <x:v>46287.64480324074</x:v>
      </x:c>
      <x:c r="D170" t="str">
        <x:v>Intraday breadth and candidate follow-through</x:v>
      </x:c>
      <x:c r="E170" t="str">
        <x:v>Reuters and delayed ETF market data</x:v>
      </x:c>
      <x:c r="F170" t="str">
        <x:v>High quality reporting and quoted market data</x:v>
      </x:c>
      <x:c r="G170" s="44" t="str">
        <x:v>https://www.reuters.com/business/wall-st-futures-pause-after-ai-rally-focus-mideast-tensions-2026-09-22/</x:v>
      </x:c>
      <x:c r="H170" s="44" t="str">
        <x:v>Advancers led 1.62-to-1 on the NYSE and 2.02-to-1 on Nasdaq. Delayed quotes showed SPY +0.02%, RSP -0.02%, IWM +0.40%, XLI -0.14%, XLB +0.93%, XLV +0.83%, XBI +2.34%, XLF -2.24% and CPER +0.79%.</x:v>
      </x:c>
      <x:c r="I170" s="44" t="str">
        <x:v>Improves candidate participation; equal-weight confirmation still absent</x:v>
      </x:c>
      <x:c r="J170" s="44" t="n">
        <x:v>5</x:v>
      </x:c>
      <x:c r="K170" s="44" t="str">
        <x:v>Health care, biotech, materials and small caps participated, but RSP did not outperform SPY and financials fell sharply. Reuters attributed index leadership mainly to large technology stocks; new lows also exceeded new highs.</x:v>
      </x:c>
    </x:row>
    <x:row r="171">
      <x:c r="A171" t="str">
        <x:v>EV-2026-166</x:v>
      </x:c>
      <x:c r="B171" t="str">
        <x:v>EEI-2026-003</x:v>
      </x:c>
      <x:c r="C171" s="53" t="n">
        <x:v>46287.64480324074</x:v>
      </x:c>
      <x:c r="D171" t="str">
        <x:v>Macro and volatility modifier</x:v>
      </x:c>
      <x:c r="E171" t="str">
        <x:v>Reuters and Barron's market reporting</x:v>
      </x:c>
      <x:c r="F171" t="str">
        <x:v>High quality reporting with observable market data</x:v>
      </x:c>
      <x:c r="G171" s="44" t="str">
        <x:v>https://www.reuters.com/world/asia-pacific/yen-squeezed-hawkish-turn-grips-central-banks-2026-09-22/</x:v>
      </x:c>
      <x:c r="H171" s="44" t="str">
        <x:v>Brent fell below $100 after Iran proposed conditional Hormuz reopening, VIX fell near 14.8 and the 10-year yield remained below 5%. Markets nevertheless priced about a 53% chance of another October Federal Reserve increase.</x:v>
      </x:c>
      <x:c r="I171" s="44" t="str">
        <x:v>Reduces immediate oil-volatility headwind; rate risk remains</x:v>
      </x:c>
      <x:c r="J171" s="44" t="n">
        <x:v>4</x:v>
      </x:c>
      <x:c r="K171" s="44" t="str">
        <x:v>The improvement depends on conditional diplomatic developments and has not removed underlying inflation risk. A further rate increase could still restrain equal-weight, small-cap and cyclical participation.</x:v>
      </x:c>
    </x:row>
    <x:row r="172">
      <x:c r="A172" t="str">
        <x:v>EV-2026-167</x:v>
      </x:c>
      <x:c r="B172" t="str">
        <x:v>EEI-2026-003</x:v>
      </x:c>
      <x:c r="C172" s="53" t="n">
        <x:v>46287.64480324074</x:v>
      </x:c>
      <x:c r="D172" t="str">
        <x:v>Election trigger check</x:v>
      </x:c>
      <x:c r="E172" t="str">
        <x:v>Reuters and Cook Political Report public pages</x:v>
      </x:c>
      <x:c r="F172" t="str">
        <x:v>High quality factual reporting</x:v>
      </x:c>
      <x:c r="G172" s="44" t="str">
        <x:v>https://www.reuters.com/world/us/elections/</x:v>
      </x:c>
      <x:c r="H172" s="44" t="str">
        <x:v>Current reporting added polling, campaign-policy statements and a court decision affecting a congressional map. Cook's public chamber-ratings summary showed no newer chamber-wide update during the check.</x:v>
      </x:c>
      <x:c r="I172" s="44" t="str">
        <x:v>No independently confirmed congressional-control trigger</x:v>
      </x:c>
      <x:c r="J172" s="44"/>
      <x:c r="K172" s="44" t="str">
        <x:v>These are factual campaign and legal developments. They do not establish House or Senate control, a legislative outcome or a direct investable sector catalyst.</x:v>
      </x:c>
    </x:row>
    <x:row r="173">
      <x:c r="A173" t="str">
        <x:v>EV-2026-168</x:v>
      </x:c>
      <x:c r="B173" t="str">
        <x:v>EEI-2026-001</x:v>
      </x:c>
      <x:c r="C173" s="21" t="n">
        <x:v>46287.84653935185</x:v>
      </x:c>
      <x:c r="D173" t="str">
        <x:v>Contradictory</x:v>
      </x:c>
      <x:c r="E173" t="str">
        <x:v>Reuters</x:v>
      </x:c>
      <x:c r="F173" t="str">
        <x:v>High quality reporting</x:v>
      </x:c>
      <x:c r="G173" s="44" t="str">
        <x:v>https://www.reuters.com/business/energy/saudi-arabia-restarts-east-west-oil-pipeline-resume-exports-yanbu-sources-say-2026-09-22/</x:v>
      </x:c>
      <x:c r="H173" s="44" t="str">
        <x:v>Saudi Arabia restarted the East-West Pipeline at a low pumping rate and prepared to resume Yanbu exports. Sources said a return toward 4 million bpd would take days and full restoration could take six to eight weeks. Iran also said Hormuz could reopen within seven days if U.S. pressure eased.</x:v>
      </x:c>
      <x:c r="I173" s="44" t="str">
        <x:v>Weakens the remaining scarcity premium</x:v>
      </x:c>
      <x:c r="J173" s="44" t="n">
        <x:v>4</x:v>
      </x:c>
      <x:c r="K173" s="44" t="str">
        <x:v>The disruption is not fully resolved, but the physical bypass restart and a possible diplomatic off-ramp directly counter the conditions that produced the paper trade peak.</x:v>
      </x:c>
    </x:row>
    <x:row r="174">
      <x:c r="A174" t="str">
        <x:v>EV-2026-169</x:v>
      </x:c>
      <x:c r="B174" t="str">
        <x:v>EEI-2026-001</x:v>
      </x:c>
      <x:c r="C174" s="21" t="n">
        <x:v>46287.84653935185</x:v>
      </x:c>
      <x:c r="D174" t="str">
        <x:v>Paper-trade outcome</x:v>
      </x:c>
      <x:c r="E174" t="str">
        <x:v>StockAnalysis market data</x:v>
      </x:c>
      <x:c r="F174" t="str">
        <x:v>Quoted market data</x:v>
      </x:c>
      <x:c r="G174" s="44" t="str">
        <x:v>https://stockanalysis.com/etf/bno/history/</x:v>
      </x:c>
      <x:c r="H174" s="44" t="str">
        <x:v>BNO closed at $57.90 on September 22 versus the $57.21 September 8 opening entry, leaving a 1.21% paper gain.</x:v>
      </x:c>
      <x:c r="I174" s="44" t="str">
        <x:v>Marginally strengthens direct expression</x:v>
      </x:c>
      <x:c r="J174" s="44" t="n">
        <x:v>4</x:v>
      </x:c>
      <x:c r="K174" s="44" t="str">
        <x:v>The Brent-linked fund remains above entry, but it has surrendered most of its peak gain as effective supply conditions improved.</x:v>
      </x:c>
    </x:row>
    <x:row r="175">
      <x:c r="A175" t="str">
        <x:v>EV-2026-170</x:v>
      </x:c>
      <x:c r="B175" t="str">
        <x:v>EEI-2026-001</x:v>
      </x:c>
      <x:c r="C175" s="21" t="n">
        <x:v>46287.84653935185</x:v>
      </x:c>
      <x:c r="D175" t="str">
        <x:v>Paper-trade outcome</x:v>
      </x:c>
      <x:c r="E175" t="str">
        <x:v>StockAnalysis market data</x:v>
      </x:c>
      <x:c r="F175" t="str">
        <x:v>Quoted market data</x:v>
      </x:c>
      <x:c r="G175" s="44" t="str">
        <x:v>https://stockanalysis.com/etf/uso/history/</x:v>
      </x:c>
      <x:c r="H175" s="44" t="str">
        <x:v>USO closed at $144.08 on September 22 versus the $144.60 September 8 opening entry, a 0.36% paper loss.</x:v>
      </x:c>
      <x:c r="I175" s="44" t="str">
        <x:v>Weakens direct expression after horizon</x:v>
      </x:c>
      <x:c r="J175" s="44" t="n">
        <x:v>4</x:v>
      </x:c>
      <x:c r="K175" s="44" t="str">
        <x:v>The direct WTI-linked expression fell slightly below entry after being strongly profitable during the formal evaluation window.</x:v>
      </x:c>
    </x:row>
    <x:row r="176">
      <x:c r="A176" t="str">
        <x:v>EV-2026-171</x:v>
      </x:c>
      <x:c r="B176" t="str">
        <x:v>EEI-2026-001</x:v>
      </x:c>
      <x:c r="C176" s="21" t="n">
        <x:v>46287.84653935185</x:v>
      </x:c>
      <x:c r="D176" t="str">
        <x:v>Paper-trade outcome</x:v>
      </x:c>
      <x:c r="E176" t="str">
        <x:v>StockAnalysis market data</x:v>
      </x:c>
      <x:c r="F176" t="str">
        <x:v>Quoted market data</x:v>
      </x:c>
      <x:c r="G176" s="44" t="str">
        <x:v>https://stockanalysis.com/etf/xop/history/</x:v>
      </x:c>
      <x:c r="H176" s="44" t="str">
        <x:v>XOP closed at $181.61 on September 22 versus the $193.84 September 8 opening entry, a 6.31% paper loss.</x:v>
      </x:c>
      <x:c r="I176" s="44" t="str">
        <x:v>Weakens indirect expression</x:v>
      </x:c>
      <x:c r="J176" s="44" t="n">
        <x:v>4</x:v>
      </x:c>
      <x:c r="K176" s="44" t="str">
        <x:v>The producer-equity fund underperformed the direct crude funds and remains the clearest expression failure in the paper portfolio.</x:v>
      </x:c>
    </x:row>
    <x:row r="177">
      <x:c r="A177" t="str">
        <x:v>EV-2026-172</x:v>
      </x:c>
      <x:c r="B177" t="str">
        <x:v>EEI-2026-009</x:v>
      </x:c>
      <x:c r="C177" s="21" t="n">
        <x:v>46288.49553240741</x:v>
      </x:c>
      <x:c r="D177" t="str">
        <x:v>Policy trigger and physical confirmation</x:v>
      </x:c>
      <x:c r="E177" t="str">
        <x:v>Reuters</x:v>
      </x:c>
      <x:c r="F177" t="str">
        <x:v>High-quality reporting of public statements and observable product markets</x:v>
      </x:c>
      <x:c r="G177" s="44" t="str">
        <x:v>https://www.reuters.com/world/us/trump-says-he-backs-idea-ban-diesel-exports-2026-09-22/</x:v>
      </x:c>
      <x:c r="H177" s="44" t="str">
        <x:v>The U.S. president backed examining a diesel-export ban as the European low-sulphur gasoil premium to Brent reached a record near $95 per barrel. Several officials described full or partial curbs as under review.</x:v>
      </x:c>
      <x:c r="I177" s="44" t="str">
        <x:v>Strengthens scarcity and policy-shock mechanism</x:v>
      </x:c>
      <x:c r="J177" s="44" t="n">
        <x:v>4</x:v>
      </x:c>
      <x:c r="K177" s="44" t="str">
        <x:v>No restriction had been implemented. Energy officials warned that curbs could reduce U.S. refinery runs, raise coastal prices and invite retaliation, so a record crack does not map cleanly to refiner earnings.</x:v>
      </x:c>
    </x:row>
    <x:row r="178">
      <x:c r="A178" t="str">
        <x:v>EV-2026-173</x:v>
      </x:c>
      <x:c r="B178" t="str">
        <x:v>EEI-2026-009</x:v>
      </x:c>
      <x:c r="C178" s="21" t="n">
        <x:v>46288.49553240741</x:v>
      </x:c>
      <x:c r="D178" t="str">
        <x:v>Market confirmation and normalization modifier</x:v>
      </x:c>
      <x:c r="E178" t="str">
        <x:v>Reuters and delayed market data</x:v>
      </x:c>
      <x:c r="F178" t="str">
        <x:v>High-quality reporting with observable commodity and ETF/equity prices</x:v>
      </x:c>
      <x:c r="G178" s="44" t="str">
        <x:v>https://www.reuters.com/business/energy/oil-falls-increased-gulf-supply-hopes-us-iran-talks-2026-09-23/</x:v>
      </x:c>
      <x:c r="H178" s="44" t="str">
        <x:v>Brent traded near $99.62 and WTI near $90.08 after testing two-week lows. CRAK, VLO, MPC and PSX were lower while European gasoil cracks were at a record. Saudi bypass flows, Iraqi exports and diplomacy increased supply-normalization expectations.</x:v>
      </x:c>
      <x:c r="I178" s="44" t="str">
        <x:v>Confirms product scarcity but weakens entry quality</x:v>
      </x:c>
      <x:c r="J178" s="44" t="n">
        <x:v>4</x:v>
      </x:c>
      <x:c r="K178" s="44" t="str">
        <x:v>The divergence between record product cracks and falling refining expressions signals policy, feedstock and already-priced risk. Current structure supports WAIT rather than a chase.</x:v>
      </x:c>
    </x:row>
    <x:row r="179">
      <x:c r="A179" t="str">
        <x:v>EV-2026-174</x:v>
      </x:c>
      <x:c r="B179" t="str">
        <x:v>EEI-2026-011</x:v>
      </x:c>
      <x:c r="C179" s="21" t="n">
        <x:v>46288.49553240741</x:v>
      </x:c>
      <x:c r="D179" t="str">
        <x:v>Physical freight confirmation</x:v>
      </x:c>
      <x:c r="E179" t="str">
        <x:v>Reuters</x:v>
      </x:c>
      <x:c r="F179" t="str">
        <x:v>High-quality reporting of official statements and shipping costs</x:v>
      </x:c>
      <x:c r="G179" s="44" t="str">
        <x:v>https://www.reuters.com/business/energy/saudi-arabia-denies-buying-oil-tankers-after-iraq-blames-it-higher-shipping-2026-09-22/</x:v>
      </x:c>
      <x:c r="H179" s="44" t="str">
        <x:v>Iraqi officials said shipping costs rose from about $26 to $37 per barrel. Saudi Arabia rejected Iraq's claim that it bought 25 tankers but attributed exceptional shipping costs to the regional war and Hormuz disruption.</x:v>
      </x:c>
      <x:c r="I179" s="44" t="str">
        <x:v>Supports tanker-scarcity variable</x:v>
      </x:c>
      <x:c r="J179" s="44" t="n">
        <x:v>4</x:v>
      </x:c>
      <x:c r="K179" s="44" t="str">
        <x:v>The tanker-purchase allegation was denied and the reported cost comparison was not a complete route-by-route freight series. Pipeline restoration and route normalization could release capacity quickly.</x:v>
      </x:c>
    </x:row>
    <x:row r="180">
      <x:c r="A180" t="str">
        <x:v>EV-2026-175</x:v>
      </x:c>
      <x:c r="B180" t="str">
        <x:v>EEI-2026-011</x:v>
      </x:c>
      <x:c r="C180" s="21" t="n">
        <x:v>46288.49553240741</x:v>
      </x:c>
      <x:c r="D180" t="str">
        <x:v>Diplomatic contradiction</x:v>
      </x:c>
      <x:c r="E180" t="str">
        <x:v>Reuters</x:v>
      </x:c>
      <x:c r="F180" t="str">
        <x:v>High-quality diplomatic reporting</x:v>
      </x:c>
      <x:c r="G180" s="44" t="str">
        <x:v>https://www.reuters.com/world/france-mulls-new-un-security-council-resolution-hormuz-diplomats-say-2026-09-22/</x:v>
      </x:c>
      <x:c r="H180" s="44" t="str">
        <x:v>France said it was drafting with the United States a possible U.N. Security Council resolution for an international mission intended to restore commercial movement through Hormuz.</x:v>
      </x:c>
      <x:c r="I180" s="44" t="str">
        <x:v>Raises normalization risk</x:v>
      </x:c>
      <x:c r="J180" s="44" t="n">
        <x:v>4</x:v>
      </x:c>
      <x:c r="K180" s="44" t="str">
        <x:v>The proposal had no implementation timetable, and earlier efforts did not secure China and Russia. It is a modifier rather than evidence that traffic has normalized.</x:v>
      </x:c>
    </x:row>
    <x:row r="181">
      <x:c r="A181" t="str">
        <x:v>EV-2026-176</x:v>
      </x:c>
      <x:c r="B181" t="str">
        <x:v>EEI-2026-003</x:v>
      </x:c>
      <x:c r="C181" s="21" t="n">
        <x:v>46288.49553240741</x:v>
      </x:c>
      <x:c r="D181" t="str">
        <x:v>Neutral election and policy check</x:v>
      </x:c>
      <x:c r="E181" t="str">
        <x:v>Reuters</x:v>
      </x:c>
      <x:c r="F181" t="str">
        <x:v>High-quality factual reporting</x:v>
      </x:c>
      <x:c r="G181" s="44" t="str">
        <x:v>https://www.reuters.com/world/us/trump-says-he-backs-idea-ban-diesel-exports-2026-09-22/</x:v>
      </x:c>
      <x:c r="H181" s="44" t="str">
        <x:v>High fuel prices prompted several candidates in competitive races to call for diesel-export restrictions. No independently confirmed House or Senate control development was established.</x:v>
      </x:c>
      <x:c r="I181" s="44" t="str">
        <x:v>Adds affordability policy issue; no control conclusion</x:v>
      </x:c>
      <x:c r="J181" s="44"/>
      <x:c r="K181" s="44" t="str">
        <x:v>Candidate statements and a policy proposal do not establish chamber control, enacted legislation or a direct investable outcome.</x:v>
      </x:c>
    </x:row>
    <x:row r="182">
      <x:c r="A182" t="str">
        <x:v>EV-2026-177</x:v>
      </x:c>
      <x:c r="B182" t="str">
        <x:v>EEI-2026-003</x:v>
      </x:c>
      <x:c r="C182" s="21" t="n">
        <x:v>46288.49553240741</x:v>
      </x:c>
      <x:c r="D182" t="str">
        <x:v>Mixed market-breadth check</x:v>
      </x:c>
      <x:c r="E182" t="str">
        <x:v>Reuters and delayed ETF market data</x:v>
      </x:c>
      <x:c r="F182" t="str">
        <x:v>High-quality reporting and quoted market data</x:v>
      </x:c>
      <x:c r="G182" s="44" t="str">
        <x:v>https://www.reuters.com/world/china/wall-st-futures-steady-with-focus-mideast-talks-us-china-summit-2026-09-23/</x:v>
      </x:c>
      <x:c r="H182" s="44" t="str">
        <x:v>SPY was roughly flat, while RSP +0.05%, IWM +0.54%, XLV +0.52% and XBI +2.31%; XLF fell 2.02%. Reuters said AI demand continued to support Nasdaq leadership.</x:v>
      </x:c>
      <x:c r="I182" s="44" t="str">
        <x:v>Limited breadth improvement; incomplete confirmation</x:v>
      </x:c>
      <x:c r="J182" s="44" t="n">
        <x:v>4</x:v>
      </x:c>
      <x:c r="K182" s="44" t="str">
        <x:v>Small-cap and health-care participation improved, but financial weakness and continuing mega-cap technology leadership leave the market signal mixed.</x:v>
      </x:c>
    </x:row>
    <x:row r="183">
      <x:c r="A183" t="str">
        <x:v>EV-2026-178</x:v>
      </x:c>
      <x:c r="B183"/>
      <x:c r="C183" s="21" t="n">
        <x:v>46288.49553240741</x:v>
      </x:c>
      <x:c r="D183" t="str">
        <x:v>Rejected Motley Fool trigger</x:v>
      </x:c>
      <x:c r="E183" t="str">
        <x:v>The Motley Fool — Joe Tenebruso</x:v>
      </x:c>
      <x:c r="F183" t="str">
        <x:v>Idea generator only; free editorial content</x:v>
      </x:c>
      <x:c r="G183" s="44" t="str">
        <x:v>https://www.fool.com/investing/2026/09/23/why-viking-therapeutics-stock-skyrocketed-on-tues/</x:v>
      </x:c>
      <x:c r="H183" s="44" t="str">
        <x:v>Free editorial published September 23 at 12:04 a.m. ET highlighted VK2735 maintenance-study data. The author disclosed no position; Motley Fool recommends Viking and owns/recommends competing obesity-drug companies.</x:v>
      </x:c>
      <x:c r="I183" s="44" t="str">
        <x:v>Rejected as a distinct thesis after primary verification</x:v>
      </x:c>
      <x:c r="J183" s="44" t="n">
        <x:v>3</x:v>
      </x:c>
      <x:c r="K183" s="44" t="str">
        <x:v>Ticker VKTX. Primary company data showed 90%-97% maintenance of prior weight loss for monthly or every-other-week dosing, but the study was exploratory, Phase 3 remains underway, the company has no product revenue, six-month net loss was $286.3 million, cash declined to $502 million and the stock rose about 35.6% to near its 52-week high. Economic variable: clinical success and future obesity-drug revenue over years. Binary trial, dilution, competition and already-priced risks keep the Entry Window at WAIT; no new thesis created.</x:v>
      </x:c>
    </x:row>
    <x:row r="184">
      <x:c r="A184" t="str">
        <x:v>EV-2026-179</x:v>
      </x:c>
      <x:c r="B184"/>
      <x:c r="C184" s="21" t="n">
        <x:v>46288.49553240741</x:v>
      </x:c>
      <x:c r="D184" t="str">
        <x:v>Rejected Motley Fool trigger</x:v>
      </x:c>
      <x:c r="E184" t="str">
        <x:v>The Motley Fool — Adria Cimino</x:v>
      </x:c>
      <x:c r="F184" t="str">
        <x:v>Idea generator only; free editorial content</x:v>
      </x:c>
      <x:c r="G184" s="44" t="str">
        <x:v>https://www.fool.com/investing/2026/09/23/should-you-buy-micron-before-sept-30/</x:v>
      </x:c>
      <x:c r="H184" s="44" t="str">
        <x:v>Free editorial published September 23 at 3:50 a.m. ET argued for Micron ahead of its September 30 earnings report, citing AI-memory demand and 16 customer agreements. The author disclosed no position; Motley Fool owns and recommends Micron.</x:v>
      </x:c>
      <x:c r="I184" s="44" t="str">
        <x:v>Rejected as a repeated and already-priced catalyst</x:v>
      </x:c>
      <x:c r="J184" s="44" t="n">
        <x:v>3</x:v>
      </x:c>
      <x:c r="K184" s="44" t="str">
        <x:v>Ticker MU. Economic variable: high-bandwidth-memory demand, revenue and margins over quarters. The earnings date and AI-memory demand are known, the shares have risen sharply, and no new primary catalyst or favorable pre-event structure was established. Event, cyclicality and valuation risks dominate; no distinct thesis created.</x:v>
      </x:c>
    </x:row>
    <x:row r="185">
      <x:c r="A185" t="str">
        <x:v>EV-2026-180</x:v>
      </x:c>
      <x:c r="B185"/>
      <x:c r="C185" s="21" t="n">
        <x:v>46288.49553240741</x:v>
      </x:c>
      <x:c r="D185" t="str">
        <x:v>Rejected Motley Fool trigger</x:v>
      </x:c>
      <x:c r="E185" t="str">
        <x:v>The Motley Fool — Trevor Jennewine</x:v>
      </x:c>
      <x:c r="F185" t="str">
        <x:v>Idea generator only; free editorial content</x:v>
      </x:c>
      <x:c r="G185" s="44" t="str">
        <x:v>https://www.fool.com/investing/2026/09/23/sandisk-stock-up-market-indicator-predicted-2027/</x:v>
      </x:c>
      <x:c r="H185" s="44" t="str">
        <x:v>Free editorial published September 23 at 5:07 a.m. ET discussed Sandisk after a roughly 695% year-to-date rise and acknowledged that a cyclical NAND shortage drove a 372% quarterly revenue increase. The author disclosed positions in other technology companies, not Sandisk.</x:v>
      </x:c>
      <x:c r="I185" s="44" t="str">
        <x:v>Rejected as headline-chasing and cyclical extrapolation</x:v>
      </x:c>
      <x:c r="J185" s="44" t="n">
        <x:v>3</x:v>
      </x:c>
      <x:c r="K185" s="44" t="str">
        <x:v>Ticker SNDK. Economic variable: NAND pricing, revenue and earnings over quarters. The article itself noted Sandisk lacks a clear durable advantage and that the shortage can reverse. A large repricing, high valuation and cyclical normalization risk make the entry unattractive; no distinct thesis created.</x:v>
      </x:c>
    </x:row>
    <x:row r="186">
      <x:c r="A186" t="str">
        <x:v>EV-2026-181</x:v>
      </x:c>
      <x:c r="B186"/>
      <x:c r="C186" s="21" t="n">
        <x:v>46288.49553240741</x:v>
      </x:c>
      <x:c r="D186" t="str">
        <x:v>Rejected Motley Fool trigger</x:v>
      </x:c>
      <x:c r="E186" t="str">
        <x:v>The Motley Fool — Chris Neiger</x:v>
      </x:c>
      <x:c r="F186" t="str">
        <x:v>Idea generator only; free editorial content</x:v>
      </x:c>
      <x:c r="G186" s="44" t="str">
        <x:v>https://www.fool.com/investing/2026/09/23/nvidias-demand-is-outpacing-its-70-growth-forecast/</x:v>
      </x:c>
      <x:c r="H186" s="44" t="str">
        <x:v>Free editorial published September 23 at 4:10 a.m. ET repeated management commentary that demand could exceed the fiscal-2028 growth outlook. The author disclosed an Apple position; Motley Fool owns and recommends Nvidia.</x:v>
      </x:c>
      <x:c r="I186" s="44" t="str">
        <x:v>Rejected as known demand commentary without a new catalyst</x:v>
      </x:c>
      <x:c r="J186" s="44" t="n">
        <x:v>3</x:v>
      </x:c>
      <x:c r="K186" s="44" t="str">
        <x:v>Ticker NVDA. Economic variable: AI-compute demand, supply and revenue growth over quarters. The demand thesis is well known, the company is valued near $5.5 trillion and the shares are near their 52-week high. Supply execution, valuation and already-priced risk dominate; no distinct thesis created.</x:v>
      </x:c>
    </x:row>
    <x:row r="187">
      <x:c r="A187" t="str">
        <x:v>EV-2026-182</x:v>
      </x:c>
      <x:c r="B187"/>
      <x:c r="C187" s="21" t="n">
        <x:v>46288.49553240741</x:v>
      </x:c>
      <x:c r="D187" t="str">
        <x:v>Rejected government-award trigger</x:v>
      </x:c>
      <x:c r="E187" t="str">
        <x:v>U.S. Department of War</x:v>
      </x:c>
      <x:c r="F187" t="str">
        <x:v>Primary government contract announcement</x:v>
      </x:c>
      <x:c r="G187" s="44" t="str">
        <x:v>https://www.war.gov/News/Contracts/Contract/Article/4608792/contracts-for-sept-22-2026/</x:v>
      </x:c>
      <x:c r="H187" s="44" t="str">
        <x:v>The September 22 contract announcement reported a $400 million firm-fixed-price indefinite-delivery/indefinite-quantity award to privately held Trideum Corp. The accessible announcement did not establish a listed parent, exact award identifier, initial obligation, NAICS/PSC, period of performance or competition status.</x:v>
      </x:c>
      <x:c r="I187" s="44" t="str">
        <x:v>Rejected pending complete award detail and investable mapping</x:v>
      </x:c>
      <x:c r="J187" s="44" t="n">
        <x:v>5</x:v>
      </x:c>
      <x:c r="K187" s="44" t="str">
        <x:v>Recipient: Trideum Corp; public parent mapping: none established; action: reported new IDIQ; potential ceiling: $400 million; current and obligated value: not established. Without a listed expression, complete USAspending detail or company-revenue materiality, the award does not support a new thesis.</x:v>
      </x:c>
    </x:row>
    <x:row r="188">
      <x:c r="A188" t="str">
        <x:v>EV-2026-183</x:v>
      </x:c>
      <x:c r="B188"/>
      <x:c r="C188" s="21" t="n">
        <x:v>46288.49553240741</x:v>
      </x:c>
      <x:c r="D188" t="str">
        <x:v>Rejected proposed-spending trigger</x:v>
      </x:c>
      <x:c r="E188" t="str">
        <x:v>Reuters</x:v>
      </x:c>
      <x:c r="F188" t="str">
        <x:v>High-quality reporting of an agency funding request</x:v>
      </x:c>
      <x:c r="G188" s="44" t="str">
        <x:v>https://www.reuters.com/business/media-telecom/us-wants-another-30-billion-aviation-system-upgrades-2026-09-22/</x:v>
      </x:c>
      <x:c r="H188" s="44" t="str">
        <x:v>The U.S. transportation secretary requested an additional $30 billion from Congress for aviation-system upgrades. The request was a proposal rather than enacted appropriations or an obligated contract award.</x:v>
      </x:c>
      <x:c r="I188" s="44" t="str">
        <x:v>Rejected before recipient and award formation</x:v>
      </x:c>
      <x:c r="J188" s="44" t="n">
        <x:v>4</x:v>
      </x:c>
      <x:c r="K188" s="44" t="str">
        <x:v>No recipient, award identifier, action type, obligated amount, competition status or period of performance exists at the proposal stage. Monitor only if Congress appropriates funds and agencies issue material awards.</x:v>
      </x:c>
    </x:row>
    <x:row r="189">
      <x:c r="A189" t="str">
        <x:v>EV-2026-184</x:v>
      </x:c>
      <x:c r="B189" t="str">
        <x:v>EEI-2026-003</x:v>
      </x:c>
      <x:c r="C189" s="53" t="n">
        <x:v>46288.634351851855</x:v>
      </x:c>
      <x:c r="D189" t="str">
        <x:v>Intraday reversal and candidate confirmation</x:v>
      </x:c>
      <x:c r="E189" t="str">
        <x:v>Current ETF market data and Reuters</x:v>
      </x:c>
      <x:c r="F189" t="str">
        <x:v>Quoted market data with high-quality reporting context</x:v>
      </x:c>
      <x:c r="G189" s="44" t="str">
        <x:v>https://www.reuters.com/world/china/wall-st-futures-steady-with-focus-mideast-talks-us-china-summit-2026-09-23/</x:v>
      </x:c>
      <x:c r="H189" s="44" t="str">
        <x:v>Around 11:02 a.m. ET, SPY was down 0.42%, RSP 0.31%, IWM 1.32%, XLI was up 0.22%, XLB was down 0.20%, XLV 0.34%, XBI 3.52%, XLF was up 0.04% and CPER was down 2.10%.</x:v>
      </x:c>
      <x:c r="I189" s="44" t="str">
        <x:v>Weakens breadth and prior health-care follow-through</x:v>
      </x:c>
      <x:c r="J189" s="44" t="n">
        <x:v>5</x:v>
      </x:c>
      <x:c r="K189" s="44" t="str">
        <x:v>RSP fell slightly less than SPY and XLI held positive, but the sharp XBI and IWM reversals removed the morning's main confirmation. Copper and broad materials also failed to confirm.</x:v>
      </x:c>
    </x:row>
    <x:row r="190">
      <x:c r="A190" t="str">
        <x:v>EV-2026-185</x:v>
      </x:c>
      <x:c r="B190" t="str">
        <x:v>EEI-2026-003</x:v>
      </x:c>
      <x:c r="C190" s="53" t="n">
        <x:v>46288.634351851855</x:v>
      </x:c>
      <x:c r="D190" t="str">
        <x:v>Rates and oil modifier</x:v>
      </x:c>
      <x:c r="E190" t="str">
        <x:v>Reuters and live U.S. Treasury market data</x:v>
      </x:c>
      <x:c r="F190" t="str">
        <x:v>High-quality reporting and quoted market data</x:v>
      </x:c>
      <x:c r="G190" s="44" t="str">
        <x:v>https://www.reuters.com/business/energy/oil-falls-increased-gulf-supply-hopes-us-iran-talks-2026-09-23/</x:v>
      </x:c>
      <x:c r="H190" s="44" t="str">
        <x:v>Reuters reported Brent near $99.62 and WTI near $90.08 as supply-normalization expectations improved. A live 10-year Treasury quote nevertheless rose to roughly 5.07% around 10:50 a.m. ET.</x:v>
      </x:c>
      <x:c r="I190" s="44" t="str">
        <x:v>Oil headwind eased, but rate contradiction strengthened</x:v>
      </x:c>
      <x:c r="J190" s="44" t="n">
        <x:v>4</x:v>
      </x:c>
      <x:c r="K190" s="44" t="str">
        <x:v>The return above 5% shows that lower oil alone is not enough to deliver the lower-rate, broad-participation mechanism. Rate-sensitive small caps and biotech weakened at the same time.</x:v>
      </x:c>
    </x:row>
    <x:row r="191">
      <x:c r="A191" t="str">
        <x:v>EV-2026-186</x:v>
      </x:c>
      <x:c r="B191" t="str">
        <x:v>EEI-2026-001</x:v>
      </x:c>
      <x:c r="C191" s="56" t="n">
        <x:v>46288.833333333336</x:v>
      </x:c>
      <x:c r="D191" t="str">
        <x:v>Paper-trade outcome</x:v>
      </x:c>
      <x:c r="E191" t="str">
        <x:v>S&amp;P Global Market Intelligence via StockAnalysis</x:v>
      </x:c>
      <x:c r="F191" t="str">
        <x:v>Daily closing market data</x:v>
      </x:c>
      <x:c r="G191" s="44" t="str">
        <x:v>https://stockanalysis.com/etf/bno/history/</x:v>
      </x:c>
      <x:c r="H191" s="44" t="str">
        <x:v>BNO closed September 23 at $60.36 versus the $57.21 September 8 opening entry. The $1,000 paper position was worth $1,055.06, up $55.06 or 5.51%; BNO rose 4.23% for the session.</x:v>
      </x:c>
      <x:c r="I191" s="44" t="str">
        <x:v>Supports the cleanest direct expression</x:v>
      </x:c>
      <x:c r="J191" s="44" t="n">
        <x:v>5</x:v>
      </x:c>
      <x:c r="K191" s="44" t="str">
        <x:v>BNO recovered most of the prior day's decline and remains the strongest of the three paper positions. This post-horizon observation does not change the completed September 18 outcome score.</x:v>
      </x:c>
    </x:row>
    <x:row r="192">
      <x:c r="A192" t="str">
        <x:v>EV-2026-187</x:v>
      </x:c>
      <x:c r="B192" t="str">
        <x:v>EEI-2026-001</x:v>
      </x:c>
      <x:c r="C192" s="56" t="n">
        <x:v>46288.833333333336</x:v>
      </x:c>
      <x:c r="D192" t="str">
        <x:v>Paper-trade outcome</x:v>
      </x:c>
      <x:c r="E192" t="str">
        <x:v>S&amp;P Global Market Intelligence via StockAnalysis</x:v>
      </x:c>
      <x:c r="F192" t="str">
        <x:v>Daily closing market data</x:v>
      </x:c>
      <x:c r="G192" s="44" t="str">
        <x:v>https://stockanalysis.com/etf/uso/history/</x:v>
      </x:c>
      <x:c r="H192" s="44" t="str">
        <x:v>USO closed September 23 at $148.89 versus the $144.60 September 8 opening entry. The $1,000 paper position was worth $1,029.67, up $29.67 or 2.97%; USO rose 3.34% for the session.</x:v>
      </x:c>
      <x:c r="I192" s="44" t="str">
        <x:v>Supports direct crude expression</x:v>
      </x:c>
      <x:c r="J192" s="44" t="n">
        <x:v>5</x:v>
      </x:c>
      <x:c r="K192" s="44" t="str">
        <x:v>USO returned above its paper-entry price and continued to outperform XOP. This is a continued-tracking result after the formal evaluation horizon.</x:v>
      </x:c>
    </x:row>
    <x:row r="193">
      <x:c r="A193" t="str">
        <x:v>EV-2026-188</x:v>
      </x:c>
      <x:c r="B193" t="str">
        <x:v>EEI-2026-001</x:v>
      </x:c>
      <x:c r="C193" s="56" t="n">
        <x:v>46288.833333333336</x:v>
      </x:c>
      <x:c r="D193" t="str">
        <x:v>Paper-trade outcome</x:v>
      </x:c>
      <x:c r="E193" t="str">
        <x:v>S&amp;P Global Market Intelligence via StockAnalysis</x:v>
      </x:c>
      <x:c r="F193" t="str">
        <x:v>Daily closing market data</x:v>
      </x:c>
      <x:c r="G193" s="44" t="str">
        <x:v>https://stockanalysis.com/etf/xop/history/</x:v>
      </x:c>
      <x:c r="H193" s="44" t="str">
        <x:v>XOP closed September 23 at $183.04 versus the $193.84 September 8 opening entry. The $1,000 paper position was worth $944.28, down $55.72 or 5.57%; XOP rose only 0.79% for the session.</x:v>
      </x:c>
      <x:c r="I193" s="44" t="str">
        <x:v>Continues to weaken the indirect equity expression</x:v>
      </x:c>
      <x:c r="J193" s="44" t="n">
        <x:v>5</x:v>
      </x:c>
      <x:c r="K193" s="44" t="str">
        <x:v>The producer-equity fund remains the expression failure and materially lags both direct crude funds, reinforcing the methodology's clean-expression rule.</x:v>
      </x:c>
    </x:row>
    <x:row r="194">
      <x:c r="A194" t="str">
        <x:v>EV-2026-189</x:v>
      </x:c>
      <x:c r="B194" t="str">
        <x:v>EEI-2026-001</x:v>
      </x:c>
      <x:c r="C194" s="56" t="n">
        <x:v>46288.833333333336</x:v>
      </x:c>
      <x:c r="D194" t="str">
        <x:v>Post-horizon outcome and modifier</x:v>
      </x:c>
      <x:c r="E194" t="str">
        <x:v>Reuters and S&amp;P Global Market Intelligence via StockAnalysis</x:v>
      </x:c>
      <x:c r="F194" t="str">
        <x:v>High-quality reporting and daily closing market data</x:v>
      </x:c>
      <x:c r="G194" s="44" t="str">
        <x:v>https://www.reuters.com/business/energy/oil-falls-increased-gulf-supply-hopes-us-iran-talks-2026-09-23/</x:v>
      </x:c>
      <x:c r="H194" s="44" t="str">
        <x:v>Reuters reported Brent near $99.62 and WTI near $90.08 earlier on September 23 as Gulf supply and diplomacy raised normalization expectations. The direct crude funds later closed sharply higher, with BNO up 4.23% and USO up 3.34% for the session.</x:v>
      </x:c>
      <x:c r="I194" s="44" t="str">
        <x:v>Mixed; physical normalization remains the invalidation path while headline sensitivity persists</x:v>
      </x:c>
      <x:c r="J194" s="44" t="n">
        <x:v>4</x:v>
      </x:c>
      <x:c r="K194" s="44" t="str">
        <x:v>The original thesis succeeded during its formal horizon, but the extended hold remains volatile. Saudi bypass restoration and any durable Hormuz reopening weaken the scarcity premium; renewed disruption can restore it quickly. The portfolio closed at $3,029.01, up $29.01 or 0.97% from inception.</x:v>
      </x:c>
    </x:row>
    <x:row r="195">
      <x:c r="A195" t="str">
        <x:v>EV-2026-190</x:v>
      </x:c>
      <x:c r="B195" t="str">
        <x:v>EEI-2026-009</x:v>
      </x:c>
      <x:c r="C195" s="21" t="n">
        <x:v>46289.51803240741</x:v>
      </x:c>
      <x:c r="D195" t="str">
        <x:v>Physical confirmation and government response</x:v>
      </x:c>
      <x:c r="E195" t="str">
        <x:v>Reuters</x:v>
      </x:c>
      <x:c r="F195" t="str">
        <x:v>High-quality reporting of official statements and physical logistics</x:v>
      </x:c>
      <x:c r="G195" s="44" t="str">
        <x:v>https://www.reuters.com/business/energy/serbia-release-reserve-diesel-due-global-shortage-energy-minister-says-2026-09-24/</x:v>
      </x:c>
      <x:c r="H195" s="44" t="str">
        <x:v>Serbia said it would release about 5,000 metric tons of diesel from state reserves because of the global shortage. August Danube fuel imports fell to roughly 25%-30% of planned volume as low water restricted barge loading to about 30%-40% of normal capacity.</x:v>
      </x:c>
      <x:c r="I195" s="44" t="str">
        <x:v>Strengthens scarcity and materiality</x:v>
      </x:c>
      <x:c r="J195" s="44" t="n">
        <x:v>4</x:v>
      </x:c>
      <x:c r="K195" s="44" t="str">
        <x:v>A small national reserve release is not globally decisive, but it is a concrete government response to physical diesel scarcity and impaired regional logistics.</x:v>
      </x:c>
    </x:row>
    <x:row r="196">
      <x:c r="A196" t="str">
        <x:v>EV-2026-191</x:v>
      </x:c>
      <x:c r="B196" t="str">
        <x:v>EEI-2026-009</x:v>
      </x:c>
      <x:c r="C196" s="21" t="n">
        <x:v>46289.51803240741</x:v>
      </x:c>
      <x:c r="D196" t="str">
        <x:v>Market confirmation and policy contradiction</x:v>
      </x:c>
      <x:c r="E196" t="str">
        <x:v>Reuters</x:v>
      </x:c>
      <x:c r="F196" t="str">
        <x:v>High-quality reporting with observable commodity and inventory data</x:v>
      </x:c>
      <x:c r="G196" s="44" t="str">
        <x:v>https://www.reuters.com/business/energy/oil-prices-edge-lower-iran-says-it-is-open-diplomacy-end-war-2026-09-24/</x:v>
      </x:c>
      <x:c r="H196" s="44" t="str">
        <x:v>Brent rose about 2.36% to $105.51 and WTI 1.89% to $93.90; European diesel futures remained near all-time highs and U.S. distillate stocks fell 428,000 barrels to 107.4 million. The White House denied preparing a 90-day diesel-export ban.</x:v>
      </x:c>
      <x:c r="I196" s="44" t="str">
        <x:v>Confirms physical tightness; reduces immediate policy shock</x:v>
      </x:c>
      <x:c r="J196" s="44" t="n">
        <x:v>4</x:v>
      </x:c>
      <x:c r="K196" s="44" t="str">
        <x:v>Commodity confirmation is strong, but the export-ban reversal, higher U.S. crude inventories and diplomatic options increase headline risk and leave the Entry Window at WAIT.</x:v>
      </x:c>
    </x:row>
    <x:row r="197">
      <x:c r="A197" t="str">
        <x:v>EV-2026-192</x:v>
      </x:c>
      <x:c r="B197" t="str">
        <x:v>EEI-2026-003</x:v>
      </x:c>
      <x:c r="C197" s="21" t="n">
        <x:v>46289.51803240741</x:v>
      </x:c>
      <x:c r="D197" t="str">
        <x:v>Election-outlook confirmation</x:v>
      </x:c>
      <x:c r="E197" t="str">
        <x:v>Reuters / Ipsos</x:v>
      </x:c>
      <x:c r="F197" t="str">
        <x:v>High-quality reporting of a national poll</x:v>
      </x:c>
      <x:c r="G197" s="44" t="str">
        <x:v>https://www.reuters.com/world/us/trump-approval-falls-career-low-32-high-costs-bite-reutersipsos-poll-finds-2026-09-21/</x:v>
      </x:c>
      <x:c r="H197" s="44" t="str">
        <x:v>Registered voters preferred Democratic congressional candidates 43% to 35%, the largest Democratic lead in Reuters/Ipsos polling during 2026. Presidential approval was 32%, and only 17% approved of handling the cost of living.</x:v>
      </x:c>
      <x:c r="I197" s="44" t="str">
        <x:v>Strengthens political-shift probability; no chamber-control conclusion</x:v>
      </x:c>
      <x:c r="J197" s="44" t="n">
        <x:v>4</x:v>
      </x:c>
      <x:c r="K197" s="44" t="str">
        <x:v>The national poll does not resolve individual House districts or Senate races. No new U.S. cash-market session was available to confirm the investment mechanism.</x:v>
      </x:c>
    </x:row>
    <x:row r="198">
      <x:c r="A198" t="str">
        <x:v>EV-2026-193</x:v>
      </x:c>
      <x:c r="B198"/>
      <x:c r="C198" s="21" t="n">
        <x:v>46289.51803240741</x:v>
      </x:c>
      <x:c r="D198" t="str">
        <x:v>Rejected Motley Fool trigger</x:v>
      </x:c>
      <x:c r="E198" t="str">
        <x:v>The Motley Fool — Jack Delaney</x:v>
      </x:c>
      <x:c r="F198" t="str">
        <x:v>Idea generator only; free editorial content</x:v>
      </x:c>
      <x:c r="G198" s="44" t="str">
        <x:v>https://www.fool.com/investing/2026/09/24/easiest-way-invest-in-anthropic-ipo-amazon/</x:v>
      </x:c>
      <x:c r="H198" s="44" t="str">
        <x:v>Free editorial published September 24 at 5:18 a.m. ET proposed Amazon as an indirect way to invest in a possible Anthropic IPO. The author disclosed no Amazon position; Motley Fool recommends Amazon.</x:v>
      </x:c>
      <x:c r="I198" s="44" t="str">
        <x:v>Rejected as speculative and immaterial to the proposed expression</x:v>
      </x:c>
      <x:c r="J198" s="44" t="n">
        <x:v>3</x:v>
      </x:c>
      <x:c r="K198" s="44" t="str">
        <x:v>Ticker AMZN. The possible November IPO was press speculation, while the AWS commitment was previously known. No primary IPO filing, disclosed valuation, new Amazon economics or favorable entry structure was established. Not an official paid-service recommendation; no distinct thesis created.</x:v>
      </x:c>
    </x:row>
    <x:row r="199">
      <x:c r="A199" t="str">
        <x:v>EV-2026-194</x:v>
      </x:c>
      <x:c r="B199"/>
      <x:c r="C199" s="21" t="n">
        <x:v>46289.51803240741</x:v>
      </x:c>
      <x:c r="D199" t="str">
        <x:v>Rejected Motley Fool trigger</x:v>
      </x:c>
      <x:c r="E199" t="str">
        <x:v>The Motley Fool — Keithen Drury</x:v>
      </x:c>
      <x:c r="F199" t="str">
        <x:v>Idea generator only; free editorial content</x:v>
      </x:c>
      <x:c r="G199" s="44" t="str">
        <x:v>https://www.fool.com/investing/2026/09/24/spacex-and-nvidia-just-deepened-their-compute-alli/</x:v>
      </x:c>
      <x:c r="H199" s="44" t="str">
        <x:v>Free editorial published September 24 at 5:15 a.m. ET highlighted SpaceX use of Nvidia Vera compute. The author disclosed an Nvidia position; Motley Fool owns and recommends Nvidia.</x:v>
      </x:c>
      <x:c r="I199" s="44" t="str">
        <x:v>Rejected after primary corroboration and materiality test</x:v>
      </x:c>
      <x:c r="J199" s="44" t="n">
        <x:v>3</x:v>
      </x:c>
      <x:c r="K199" s="44" t="str">
        <x:v>Ticker NVDA. Nvidia publicly corroborated the deployment, but no order value or financial materiality was disclosed relative to Nvidia's scale. AI demand is well known and the price structure offers no non-chasing entry. Not an official paid-service recommendation; no distinct thesis created.</x:v>
      </x:c>
    </x:row>
    <x:row r="200">
      <x:c r="A200" t="str">
        <x:v>EV-2026-195</x:v>
      </x:c>
      <x:c r="B200"/>
      <x:c r="C200" s="21" t="n">
        <x:v>46289.51803240741</x:v>
      </x:c>
      <x:c r="D200" t="str">
        <x:v>Rejected Motley Fool trigger</x:v>
      </x:c>
      <x:c r="E200" t="str">
        <x:v>The Motley Fool — Keith Speights</x:v>
      </x:c>
      <x:c r="F200" t="str">
        <x:v>Idea generator only; free editorial content</x:v>
      </x:c>
      <x:c r="G200" s="44" t="str">
        <x:v>https://www.fool.com/investing/2026/09/24/intuitive-surgical-stock-has-plunged-29-this-year/</x:v>
      </x:c>
      <x:c r="H200" s="44" t="str">
        <x:v>Free editorial published September 24 argued that Intuitive Surgical was attractive after a 29% decline. The writer disclosed an Intuitive Surgical position; Motley Fool owns and recommends the shares and disclosed options positions.</x:v>
      </x:c>
      <x:c r="I200" s="44" t="str">
        <x:v>Rejected as valuation opinion without a new catalyst</x:v>
      </x:c>
      <x:c r="J200" s="44" t="n">
        <x:v>3</x:v>
      </x:c>
      <x:c r="K200" s="44" t="str">
        <x:v>Ticker ISRG. Primary Q2 materials showed revenue up 19%, da Vinci procedure growth of 15%, installed-base growth of 12% and non-GAAP gross margin near 70%, but growth decelerated and valuation remains demanding. Next earnings are the cleaner checkpoint. Not an official paid-service recommendation; no distinct thesis created.</x:v>
      </x:c>
    </x:row>
    <x:row r="201">
      <x:c r="A201" t="str">
        <x:v>EV-2026-196</x:v>
      </x:c>
      <x:c r="B201"/>
      <x:c r="C201" s="21" t="n">
        <x:v>46289.51803240741</x:v>
      </x:c>
      <x:c r="D201" t="str">
        <x:v>Rejected government-award trigger</x:v>
      </x:c>
      <x:c r="E201" t="str">
        <x:v>U.S. Army</x:v>
      </x:c>
      <x:c r="F201" t="str">
        <x:v>Primary government contract announcement</x:v>
      </x:c>
      <x:c r="G201" s="44" t="str">
        <x:v>https://www.army.mil/article/295461/u_s_army_awards_contract_to_modernize_ammunition_management</x:v>
      </x:c>
      <x:c r="H201" s="44" t="str">
        <x:v>The Army announced a $48.094 million firm-fixed-price delivery order to Palantir for ammunition-management modernization after a competitive three-phase evaluation. The underlying announcement was dated September 17 rather than a new September 24 award.</x:v>
      </x:c>
      <x:c r="I201" s="44" t="str">
        <x:v>Rejected as stale and immaterial</x:v>
      </x:c>
      <x:c r="J201" s="44" t="n">
        <x:v>5</x:v>
      </x:c>
      <x:c r="K201" s="44" t="str">
        <x:v>Recipient and parent: Palantir Technologies; action: delivery order; reported value: $48.094 million; competition: three-phase competitive process. Award identifier, initial obligation, NAICS/PSC and complete period of performance were not established in the accessible record. The value is not material to Palantir at company scale and the market had time to expect it.</x:v>
      </x:c>
    </x:row>
    <x:row r="202">
      <x:c r="A202" t="str">
        <x:v>EV-2026-197</x:v>
      </x:c>
      <x:c r="B202" t="str">
        <x:v>EEI-2026-009</x:v>
      </x:c>
      <x:c r="C202" s="21" t="n">
        <x:v>46289.51803240741</x:v>
      </x:c>
      <x:c r="D202" t="str">
        <x:v>Long-run supply modifier</x:v>
      </x:c>
      <x:c r="E202" t="str">
        <x:v>Reuters</x:v>
      </x:c>
      <x:c r="F202" t="str">
        <x:v>High-quality reporting of company and government statements</x:v>
      </x:c>
      <x:c r="G202" s="44" t="str">
        <x:v>https://www.reuters.com/business/energy/russia-starts-exports-arctic-vostok-oil-project-boost-long-term-production-2026-09-24/</x:v>
      </x:c>
      <x:c r="H202" s="44" t="str">
        <x:v>Russia began exports from the Vostok Oil project at about 150,000 barrels per day and expects roughly 600,000 barrels per day in the second half of 2027 and 1 million by 2030.</x:v>
      </x:c>
      <x:c r="I202" s="44" t="str">
        <x:v>Long-run crude-supply contradiction; limited immediate diesel effect</x:v>
      </x:c>
      <x:c r="J202" s="44" t="n">
        <x:v>4</x:v>
      </x:c>
      <x:c r="K202" s="44" t="str">
        <x:v>The project can add crude supply over years, but current volume is small relative to the diesel shortage and does not directly restore refinery capacity, product exports or impaired logistics.</x:v>
      </x:c>
    </x:row>
    <x:row r="203">
      <x:c r="A203" t="str">
        <x:v>EV-2026-198</x:v>
      </x:c>
      <x:c r="B203" t="str">
        <x:v>EEI-2026-003</x:v>
      </x:c>
      <x:c r="C203" s="21" t="n">
        <x:v>46289.65069444444</x:v>
      </x:c>
      <x:c r="D203" t="str">
        <x:v>Intraday breadth and sector check</x:v>
      </x:c>
      <x:c r="E203" t="str">
        <x:v>Current ETF market data</x:v>
      </x:c>
      <x:c r="F203" t="str">
        <x:v>Quoted market data</x:v>
      </x:c>
      <x:c r="G203" s="44" t="str">
        <x:v>https://www.reuters.com/lseg/</x:v>
      </x:c>
      <x:c r="H203" s="44" t="str">
        <x:v>At approximately 11:24 a.m. ET, SPY was -0.46% and RSP -0.50%; IWM -0.83%, XLI -0.91%, XLB -1.03%, XBI -1.04%, CPER -0.30% and XLF -0.36%. XLV +0.85% was the only positive candidate.</x:v>
      </x:c>
      <x:c r="I203" s="44" t="str">
        <x:v>Weakens breadth and cyclical confirmation</x:v>
      </x:c>
      <x:c r="J203" s="44" t="n">
        <x:v>5</x:v>
      </x:c>
      <x:c r="K203" s="44" t="str">
        <x:v>Defensive XLV strength does not confirm broad uncertainty relief, while biotech and small caps declined.</x:v>
      </x:c>
    </x:row>
    <x:row r="204">
      <x:c r="A204" t="str">
        <x:v>EV-2026-199</x:v>
      </x:c>
      <x:c r="B204" t="str">
        <x:v>EEI-2026-003</x:v>
      </x:c>
      <x:c r="C204" s="21" t="n">
        <x:v>46289.65069444444</x:v>
      </x:c>
      <x:c r="D204" t="str">
        <x:v>Rates, oil and inflation modifier</x:v>
      </x:c>
      <x:c r="E204" t="str">
        <x:v>Reuters</x:v>
      </x:c>
      <x:c r="F204" t="str">
        <x:v>High-quality reporting</x:v>
      </x:c>
      <x:c r="G204" s="44" t="str">
        <x:v>https://www.reuters.com/business/energy/oil-prices-edge-lower-iran-says-it-is-open-diplomacy-end-war-2026-09-24/</x:v>
      </x:c>
      <x:c r="H204" s="44" t="str">
        <x:v>Reuters reported Brent near $105.51 and WTI near $93.90 on September 24. Reuters' Morning Bid also noted U.S. Treasury yields above 5% amid strong data, energy costs and expectations for additional tightening.</x:v>
      </x:c>
      <x:c r="I204" s="44" t="str">
        <x:v>Strengthens the inflation-to-rates headwind</x:v>
      </x:c>
      <x:c r="J204" s="44" t="n">
        <x:v>4</x:v>
      </x:c>
      <x:c r="K204" s="44" t="str">
        <x:v>Diplomatic signals and the denial of an export ban offer possible oil relief; earnings estimates remain supportive.</x:v>
      </x:c>
    </x:row>
    <x:row r="205">
      <x:c r="A205" t="str">
        <x:v>EV-2026-200</x:v>
      </x:c>
      <x:c r="B205" t="str">
        <x:v>EEI-2026-001</x:v>
      </x:c>
      <x:c r="C205" s="21" t="n">
        <x:v>46289.833333333336</x:v>
      </x:c>
      <x:c r="D205" t="str">
        <x:v>Paper-trade outcome</x:v>
      </x:c>
      <x:c r="E205" t="str">
        <x:v>S&amp;P Global Market Intelligence via StockAnalysis</x:v>
      </x:c>
      <x:c r="F205" t="str">
        <x:v>Daily closing market data</x:v>
      </x:c>
      <x:c r="G205" s="44" t="str">
        <x:v>https://stockanalysis.com/etf/bno/history/</x:v>
      </x:c>
      <x:c r="H205" s="44" t="str">
        <x:v>BNO closed September 24 at $61.56 versus the $57.21 September 8 opening entry. The $1,000 paper position was worth $1,076.04, up $76.04 or 7.60%; BNO rose 1.99% for the session.</x:v>
      </x:c>
      <x:c r="I205" s="44" t="str">
        <x:v>Supports the cleanest direct expression</x:v>
      </x:c>
      <x:c r="J205" s="44" t="n">
        <x:v>5</x:v>
      </x:c>
      <x:c r="K205" s="44" t="str">
        <x:v>BNO remains the strongest of the three positions. This is continued tracking after the formal September 18 horizon and does not change the completed outcome score.</x:v>
      </x:c>
    </x:row>
    <x:row r="206">
      <x:c r="A206" t="str">
        <x:v>EV-2026-201</x:v>
      </x:c>
      <x:c r="B206" t="str">
        <x:v>EEI-2026-001</x:v>
      </x:c>
      <x:c r="C206" s="21" t="n">
        <x:v>46289.833333333336</x:v>
      </x:c>
      <x:c r="D206" t="str">
        <x:v>Paper-trade outcome</x:v>
      </x:c>
      <x:c r="E206" t="str">
        <x:v>S&amp;P Global Market Intelligence via StockAnalysis</x:v>
      </x:c>
      <x:c r="F206" t="str">
        <x:v>Daily closing market data</x:v>
      </x:c>
      <x:c r="G206" s="44" t="str">
        <x:v>https://stockanalysis.com/etf/uso/history/</x:v>
      </x:c>
      <x:c r="H206" s="44" t="str">
        <x:v>USO closed September 24 at $153.25 versus the $144.60 September 8 opening entry. The $1,000 paper position was worth $1,059.82, up $59.82 or 5.98%; USO rose 2.97% for the session.</x:v>
      </x:c>
      <x:c r="I206" s="44" t="str">
        <x:v>Supports direct crude expression</x:v>
      </x:c>
      <x:c r="J206" s="44" t="n">
        <x:v>5</x:v>
      </x:c>
      <x:c r="K206" s="44" t="str">
        <x:v>USO remains profitable and continues to outperform XOP. This is a post-horizon observation.</x:v>
      </x:c>
    </x:row>
    <x:row r="207">
      <x:c r="A207" t="str">
        <x:v>EV-2026-202</x:v>
      </x:c>
      <x:c r="B207" t="str">
        <x:v>EEI-2026-001</x:v>
      </x:c>
      <x:c r="C207" s="21" t="n">
        <x:v>46289.833333333336</x:v>
      </x:c>
      <x:c r="D207" t="str">
        <x:v>Paper-trade outcome</x:v>
      </x:c>
      <x:c r="E207" t="str">
        <x:v>S&amp;P Global Market Intelligence via StockAnalysis</x:v>
      </x:c>
      <x:c r="F207" t="str">
        <x:v>Daily closing market data</x:v>
      </x:c>
      <x:c r="G207" s="44" t="str">
        <x:v>https://stockanalysis.com/etf/xop/history/</x:v>
      </x:c>
      <x:c r="H207" s="44" t="str">
        <x:v>XOP closed September 24 at $184.31 versus the $193.84 September 8 opening entry. The $1,000 paper position was worth $950.84, down $49.16 or 4.92%; XOP rose 0.91% for the session.</x:v>
      </x:c>
      <x:c r="I207" s="44" t="str">
        <x:v>Continues to weaken the indirect equity expression</x:v>
      </x:c>
      <x:c r="J207" s="44" t="n">
        <x:v>5</x:v>
      </x:c>
      <x:c r="K207" s="44" t="str">
        <x:v>The producer-equity proxy remains below entry and materially trails both direct crude funds, reinforcing the clean-expression rule.</x:v>
      </x:c>
    </x:row>
    <x:row r="208">
      <x:c r="A208" t="str">
        <x:v>EV-2026-203</x:v>
      </x:c>
      <x:c r="B208" t="str">
        <x:v>EEI-2026-001</x:v>
      </x:c>
      <x:c r="C208" s="21" t="n">
        <x:v>46289.833333333336</x:v>
      </x:c>
      <x:c r="D208" t="str">
        <x:v>Diplomatic invalidation development</x:v>
      </x:c>
      <x:c r="E208" t="str">
        <x:v>Reuters</x:v>
      </x:c>
      <x:c r="F208" t="str">
        <x:v>High-quality reporting</x:v>
      </x:c>
      <x:c r="G208" s="44" t="str">
        <x:v>https://www.reuters.com/world/asia-pacific/us-iran-discuss-phased-deal-reopen-hormuz-end-us-blockade-sources-say-2026-09-24/</x:v>
      </x:c>
      <x:c r="H208" s="44" t="str">
        <x:v>U.S. and Iranian negotiators were exploring a phased arrangement under which Iran would reopen Hormuz and the United States would lift its economic blockade, but neither side wanted to give up leverage first and no agreement had been reached.</x:v>
      </x:c>
      <x:c r="I208" s="44" t="str">
        <x:v>Weakens extended-hold thesis; not yet an invalidation</x:v>
      </x:c>
      <x:c r="J208" s="44" t="n">
        <x:v>4</x:v>
      </x:c>
      <x:c r="K208" s="44" t="str">
        <x:v>A durable reopening would compress the scarcity premium. The paper portfolio nevertheless closed at $3,086.69, +$86.69 (+2.89%) from inception. The formal September 18 outcome remains unchanged.</x:v>
      </x:c>
    </x:row>
    <x:row r="209">
      <x:c r="A209" t="str">
        <x:v>EV-2026-204</x:v>
      </x:c>
      <x:c r="B209" t="str">
        <x:v>EEI-2026-001</x:v>
      </x:c>
      <x:c r="C209" s="21" t="n">
        <x:v>46289.833333333336</x:v>
      </x:c>
      <x:c r="D209" t="str">
        <x:v>Continuing disruption confirmation</x:v>
      </x:c>
      <x:c r="E209" t="str">
        <x:v>Reuters</x:v>
      </x:c>
      <x:c r="F209" t="str">
        <x:v>High-quality reporting of joint government statement</x:v>
      </x:c>
      <x:c r="G209" s="44" t="str">
        <x:v>https://www.reuters.com/world/middle-east/un-80-countries-demand-reopening-hormuz-condemn-iran-houthi-attacks-2026-09-24/</x:v>
      </x:c>
      <x:c r="H209" s="44" t="str">
        <x:v>A joint statement backed by about 80 countries called for the urgent reopening of Hormuz and condemned continuing disruption to international trade and energy security, while also warning that Houthi activity near Bab el-Mandeb increased shipping risk.</x:v>
      </x:c>
      <x:c r="I209" s="44" t="str">
        <x:v>Confirms disruption remains unresolved</x:v>
      </x:c>
      <x:c r="J209" s="44" t="n">
        <x:v>4</x:v>
      </x:c>
      <x:c r="K209" s="44" t="str">
        <x:v>The statement confirms the chokepoint problem is still live, but political pressure for reopening and active U.S.-Iran talks make the extended hold highly headline-sensitive.</x:v>
      </x:c>
    </x:row>
    <x:row r="210">
      <x:c r="A210" t="str">
        <x:v>EV-2026-205</x:v>
      </x:c>
      <x:c r="B210" t="str">
        <x:v>EEI-2026-003</x:v>
      </x:c>
      <x:c r="C210" s="21" t="n">
        <x:v>46290.66180555556</x:v>
      </x:c>
      <x:c r="D210" t="str">
        <x:v>Competitive-state election confirmation</x:v>
      </x:c>
      <x:c r="E210" t="str">
        <x:v>Reuters</x:v>
      </x:c>
      <x:c r="F210" t="str">
        <x:v>High-quality reporting of polls, campaign filings and party behavior</x:v>
      </x:c>
      <x:c r="G210" s="44" t="str">
        <x:v>https://www.reuters.com/world/us/rush-money-campaign-stops-show-republicans-feel-vulnerable-iowa-kansas-2026-09-25/</x:v>
      </x:c>
      <x:c r="H210" s="44" t="str">
        <x:v>Reuters reported unusual Republican campaign attention and spending in Iowa, Kansas and Nebraska. A September 22 Iowa poll put the Democratic Senate candidate ahead 50% to 42%; Kansas polling showed the Democratic challenger at 45% versus 43%, within the margin of error.</x:v>
      </x:c>
      <x:c r="I210" s="44" t="str">
        <x:v>Strengthens political-shift probability with state-level evidence</x:v>
      </x:c>
      <x:c r="J210" s="44" t="n">
        <x:v>5</x:v>
      </x:c>
      <x:c r="K210" s="44" t="str">
        <x:v>The races remain unsettled, polls have sampling error, and vulnerability in several states does not establish control of either chamber.</x:v>
      </x:c>
    </x:row>
    <x:row r="211">
      <x:c r="A211" t="str">
        <x:v>EV-2026-206</x:v>
      </x:c>
      <x:c r="B211" t="str">
        <x:v>EEI-2026-003</x:v>
      </x:c>
      <x:c r="C211" s="21" t="n">
        <x:v>46290.66180555556</x:v>
      </x:c>
      <x:c r="D211" t="str">
        <x:v>Market, rates and sector confirmation</x:v>
      </x:c>
      <x:c r="E211" t="str">
        <x:v>Current ETF market data and Reuters</x:v>
      </x:c>
      <x:c r="F211" t="str">
        <x:v>Quoted market data and high-quality reporting</x:v>
      </x:c>
      <x:c r="G211" s="44" t="str">
        <x:v>https://www.reuters.com/world/china/global-markets-global-markets-2026-09-24/</x:v>
      </x:c>
      <x:c r="H211" s="44" t="str">
        <x:v>At approximately 11:40 a.m. ET, SPY was +0.12%, RSP +0.05%, IWM -0.14%, XLI +0.37%, XLB -0.22%, XLV +0.04%, XBI -0.79%, XLF +0.04% and CPER -0.27%. Reuters reported the 10-year Treasury yield at 5.196% on September 24 and a 71% market-implied chance of an October rate increase.</x:v>
      </x:c>
      <x:c r="I211" s="44" t="str">
        <x:v>XLI improves selectively; broad confirmation remains absent</x:v>
      </x:c>
      <x:c r="J211" s="44" t="n">
        <x:v>5</x:v>
      </x:c>
      <x:c r="K211" s="44" t="str">
        <x:v>SPY and RSP were positive, and earnings estimates remain supportive, but small caps, biotech, materials and copper contradicted broad risk appetite.</x:v>
      </x:c>
    </x:row>
    <x:row r="212">
      <x:c r="A212" t="str">
        <x:v>EV-2026-207</x:v>
      </x:c>
      <x:c r="B212" t="str">
        <x:v>EEI-2026-001</x:v>
      </x:c>
      <x:c r="C212" s="56" t="n">
        <x:v>46290.833333333336</x:v>
      </x:c>
      <x:c r="D212" t="str">
        <x:v>Paper-trade outcome</x:v>
      </x:c>
      <x:c r="E212" t="str">
        <x:v>S&amp;P Global Market Intelligence via StockAnalysis</x:v>
      </x:c>
      <x:c r="F212" t="str">
        <x:v>Regular-session closing market data</x:v>
      </x:c>
      <x:c r="G212" s="44" t="str">
        <x:v>https://stockanalysis.com/etf/bno/</x:v>
      </x:c>
      <x:c r="H212" s="44" t="str">
        <x:v>BNO closed September 25 at $59.65 versus the $57.21 September 8 opening entry. The $1,000 paper position was worth $1,042.65, up $42.65 or 4.26%.</x:v>
      </x:c>
      <x:c r="I212" s="44" t="str">
        <x:v>Supports the cleanest direct expression, but with a shrinking gain</x:v>
      </x:c>
      <x:c r="J212" s="44" t="n">
        <x:v>5</x:v>
      </x:c>
      <x:c r="K212" s="44" t="str">
        <x:v>BNO remains the strongest position. This is continued tracking after the formal September 18 horizon and does not change the completed outcome score.</x:v>
      </x:c>
    </x:row>
    <x:row r="213">
      <x:c r="A213" t="str">
        <x:v>EV-2026-208</x:v>
      </x:c>
      <x:c r="B213" t="str">
        <x:v>EEI-2026-001</x:v>
      </x:c>
      <x:c r="C213" s="56" t="n">
        <x:v>46290.833333333336</x:v>
      </x:c>
      <x:c r="D213" t="str">
        <x:v>Paper-trade outcome</x:v>
      </x:c>
      <x:c r="E213" t="str">
        <x:v>S&amp;P Global Market Intelligence via StockAnalysis</x:v>
      </x:c>
      <x:c r="F213" t="str">
        <x:v>Regular-session closing market data</x:v>
      </x:c>
      <x:c r="G213" s="44" t="str">
        <x:v>https://stockanalysis.com/etf/uso/</x:v>
      </x:c>
      <x:c r="H213" s="44" t="str">
        <x:v>USO closed September 25 at $148.39 versus the $144.60 September 8 opening entry. The $1,000 paper position was worth $1,026.21, up $26.21 or 2.62%.</x:v>
      </x:c>
      <x:c r="I213" s="44" t="str">
        <x:v>Supports direct crude expression, but the extended-hold cushion has narrowed</x:v>
      </x:c>
      <x:c r="J213" s="44" t="n">
        <x:v>5</x:v>
      </x:c>
      <x:c r="K213" s="44" t="str">
        <x:v>USO remains above entry and continues to outperform XOP. This is a post-horizon observation.</x:v>
      </x:c>
    </x:row>
    <x:row r="214">
      <x:c r="A214" t="str">
        <x:v>EV-2026-209</x:v>
      </x:c>
      <x:c r="B214" t="str">
        <x:v>EEI-2026-001</x:v>
      </x:c>
      <x:c r="C214" s="56" t="n">
        <x:v>46290.833333333336</x:v>
      </x:c>
      <x:c r="D214" t="str">
        <x:v>Paper-trade outcome</x:v>
      </x:c>
      <x:c r="E214" t="str">
        <x:v>S&amp;P Global Market Intelligence via StockAnalysis</x:v>
      </x:c>
      <x:c r="F214" t="str">
        <x:v>Regular-session closing market data</x:v>
      </x:c>
      <x:c r="G214" s="44" t="str">
        <x:v>https://stockanalysis.com/etf/xop/</x:v>
      </x:c>
      <x:c r="H214" s="44" t="str">
        <x:v>XOP closed September 25 at $181.50 versus the $193.84 September 8 opening entry. The $1,000 paper position was worth $936.34, down $63.66 or 6.37%.</x:v>
      </x:c>
      <x:c r="I214" s="44" t="str">
        <x:v>Continues to weaken the indirect equity expression</x:v>
      </x:c>
      <x:c r="J214" s="44" t="n">
        <x:v>5</x:v>
      </x:c>
      <x:c r="K214" s="44" t="str">
        <x:v>The producer-equity proxy remains the expression failure and materially trails both direct crude funds, reinforcing the methodology's clean-expression rule.</x:v>
      </x:c>
    </x:row>
    <x:row r="215">
      <x:c r="A215" t="str">
        <x:v>EV-2026-210</x:v>
      </x:c>
      <x:c r="B215" t="str">
        <x:v>EEI-2026-001</x:v>
      </x:c>
      <x:c r="C215" s="56" t="n">
        <x:v>46290.833333333336</x:v>
      </x:c>
      <x:c r="D215" t="str">
        <x:v>Post-horizon reversal and diplomatic modifier</x:v>
      </x:c>
      <x:c r="E215" t="str">
        <x:v>Reuters and S&amp;P Global Market Intelligence via StockAnalysis</x:v>
      </x:c>
      <x:c r="F215" t="str">
        <x:v>High-quality reporting and regular-session closing market data</x:v>
      </x:c>
      <x:c r="G215" s="44" t="str">
        <x:v>https://www.reuters.com/world/asia-pacific/us-iran-discuss-phased-deal-reopen-hormuz-end-us-blockade-sources-say-2026-09-24/</x:v>
      </x:c>
      <x:c r="H215" s="44" t="str">
        <x:v>U.S. and Iranian negotiators were exploring a phased arrangement to reopen Hormuz and lift the U.S. economic blockade, although sequencing remained unresolved and no agreement had been reached. By the September 25 close, the three-position paper portfolio had fallen to $3,005.20, up only $5.20 or 0.17% from inception.</x:v>
      </x:c>
      <x:c r="I215" s="44" t="str">
        <x:v>Materially weakens the extended-hold thesis; not a retroactive change to the formal result</x:v>
      </x:c>
      <x:c r="J215" s="44" t="n">
        <x:v>4</x:v>
      </x:c>
      <x:c r="K215" s="44" t="str">
        <x:v>Diplomacy, increased Hormuz flows and partial Saudi bypass restoration are compressing the scarcity premium. The original thesis still succeeded during its formal horizon, while the extended hold is now essentially at breakeven.</x:v>
      </x:c>
    </x:row>
    <x:row r="216">
      <x:c r="A216" t="str">
        <x:v>EV-2026-211</x:v>
      </x:c>
      <x:c r="B216" t="str">
        <x:v>EEI-2026-001</x:v>
      </x:c>
      <x:c r="C216" s="56" t="n">
        <x:v>46290.833333333336</x:v>
      </x:c>
      <x:c r="D216" t="str">
        <x:v>Continuing infrastructure-risk confirmation</x:v>
      </x:c>
      <x:c r="E216" t="str">
        <x:v>Reuters</x:v>
      </x:c>
      <x:c r="F216" t="str">
        <x:v>High-quality reporting; attack claims not independently verified</x:v>
      </x:c>
      <x:c r="G216" s="44" t="str">
        <x:v>https://www.reuters.com/world/middle-east/houthis-say-they-attacked-riyadh-aramco-facilities-yanbu-2026-09-24/</x:v>
      </x:c>
      <x:c r="H216" s="44" t="str">
        <x:v>The Houthis claimed missile and drone attacks on Riyadh and Aramco facilities at Yanbu, while Saudi Arabia said it intercepted six ballistic missiles aimed at Taif and Yanbu. Damage to oil infrastructure was not confirmed.</x:v>
      </x:c>
      <x:c r="I216" s="44" t="str">
        <x:v>Confirms residual infrastructure risk, but not a verified new supply loss</x:v>
      </x:c>
      <x:c r="J216" s="44" t="n">
        <x:v>4</x:v>
      </x:c>
      <x:c r="K216" s="44" t="str">
        <x:v>The chokepoint and bypass network remain exposed to renewed disruption. Without confirmed damage, this is risk evidence rather than proof of a fresh supply shock.</x:v>
      </x:c>
    </x:row>
    <x:row r="217">
      <x:c r="A217" t="str">
        <x:v>EV-2026-212</x:v>
      </x:c>
      <x:c r="B217" t="str">
        <x:v>EEI-2026-003</x:v>
      </x:c>
      <x:c r="C217" s="21" t="n">
        <x:v>46291.50768518519</x:v>
      </x:c>
      <x:c r="D217" t="str">
        <x:v>Independent confirmation</x:v>
      </x:c>
      <x:c r="E217" t="str">
        <x:v>Cook Political Report</x:v>
      </x:c>
      <x:c r="F217" t="str">
        <x:v>Specialist nonpartisan analysis</x:v>
      </x:c>
      <x:c r="G217" s="44" t="str">
        <x:v>https://www.cookpolitical.com/</x:v>
      </x:c>
      <x:c r="H217" s="44" t="str">
        <x:v>On September 25 Cook shifted 15 House race ratings toward Democrats and said Republicans are on track to lose their House majority; on September 23 it described Senate control as a true toss-up.</x:v>
      </x:c>
      <x:c r="I217" s="44" t="str">
        <x:v>Strengthens</x:v>
      </x:c>
      <x:c r="J217" s="44" t="n">
        <x:v>4</x:v>
      </x:c>
      <x:c r="K217" s="44" t="str">
        <x:v>This is forecast evidence, not an election result. It independently reinforces the Reuters/Ipsos generic-ballot lead and previously logged state polling; House conviction rises more than Senate conviction.</x:v>
      </x:c>
    </x:row>
    <x:row r="218">
      <x:c r="A218" t="str">
        <x:v>EV-2026-213</x:v>
      </x:c>
      <x:c r="B218" t="str">
        <x:v>EEI-2026-003</x:v>
      </x:c>
      <x:c r="C218" s="21" t="n">
        <x:v>46291.50768518519</x:v>
      </x:c>
      <x:c r="D218" t="str">
        <x:v>Market confirmation</x:v>
      </x:c>
      <x:c r="E218" t="str">
        <x:v>Reuters via MarketScreener</x:v>
      </x:c>
      <x:c r="F218" t="str">
        <x:v>High quality reporting</x:v>
      </x:c>
      <x:c r="G218" s="44" t="str">
        <x:v>https://www.marketscreener.com/news/wall-street-climbs-as-investors-buy-ai-stocks-microsoft-rallies-ce785adfd18fff20</x:v>
      </x:c>
      <x:c r="H218" s="44" t="str">
        <x:v>At the September 25 close SPY rose 0.53%, RSP 0.40%, IWM 0.11%, XLI 0.94%, XLB 0.22%, XBI fell 0.67%, XLF rose 0.52% and CPER fell 0.02%.</x:v>
      </x:c>
      <x:c r="I218" s="44" t="str">
        <x:v>Mixed</x:v>
      </x:c>
      <x:c r="J218" s="44" t="n">
        <x:v>4</x:v>
      </x:c>
      <x:c r="K218" s="44" t="str">
        <x:v>Industrials led and seven of eleven sectors advanced, but equal-weight and small caps lagged SPY and biotech declined. This supports Strong rather than Actionable and keeps Entry Window at WAIT.</x:v>
      </x:c>
    </x:row>
    <x:row r="219">
      <x:c r="A219" t="str">
        <x:v>EV-2026-214</x:v>
      </x:c>
      <x:c r="B219" t="str">
        <x:v>EEI-2026-003</x:v>
      </x:c>
      <x:c r="C219" s="21" t="n">
        <x:v>46291.50768518519</x:v>
      </x:c>
      <x:c r="D219" t="str">
        <x:v>Trigger</x:v>
      </x:c>
      <x:c r="E219" t="str">
        <x:v>The Motley Fool / Ben Gran</x:v>
      </x:c>
      <x:c r="F219" t="str">
        <x:v>Public editorial trigger only</x:v>
      </x:c>
      <x:c r="G219" s="44" t="str">
        <x:v>https://www.fool.com/investing/2026/09/26/history-shows-this-midterm-election-result-could-b/</x:v>
      </x:c>
      <x:c r="H219" s="44" t="str">
        <x:v>A free September 26 article argued that a Democratic Congress under a Republican president could modestly alter near-term returns and cited a third-party forecast of Democratic control.</x:v>
      </x:c>
      <x:c r="I219" s="44" t="str">
        <x:v>Neutral trigger</x:v>
      </x:c>
      <x:c r="J219" s="44" t="n">
        <x:v>2</x:v>
      </x:c>
      <x:c r="K219" s="44" t="str">
        <x:v>Published 6:33 a.m. ET. Ben Gran disclosed no position; Motley Fool disclosed positions/recommendations in USB and VOO. Not an official paid-service recommendation. Promotional framing and the cited forecast were not treated as confirmation; Cook and Reuters/Ipsos supplied the independent evidence.</x:v>
      </x:c>
    </x:row>
    <x:row r="220">
      <x:c r="A220" t="str">
        <x:v>EV-2026-215</x:v>
      </x:c>
      <x:c r="B220" t="str"/>
      <x:c r="C220" s="21" t="n">
        <x:v>46291.50768518519</x:v>
      </x:c>
      <x:c r="D220" t="str">
        <x:v>Rejected trigger</x:v>
      </x:c>
      <x:c r="E220" t="str">
        <x:v>The Motley Fool / Alex Carchidi</x:v>
      </x:c>
      <x:c r="F220" t="str">
        <x:v>Public editorial trigger only</x:v>
      </x:c>
      <x:c r="G220" s="44" t="str">
        <x:v>https://www.fool.com/investing/2026/09/26/bitcoin-is-not-the-only-cryptocurrency-with-a-halv/</x:v>
      </x:c>
      <x:c r="H220" s="44" t="str">
        <x:v>The article presented Zcash protocol changes, privacy demand and a future halving as potential catalysts after a roughly 197% year-to-date rise.</x:v>
      </x:c>
      <x:c r="I220" s="44" t="str">
        <x:v>Rejected</x:v>
      </x:c>
      <x:c r="J220" s="44" t="n">
        <x:v>2</x:v>
      </x:c>
      <x:c r="K220" s="44" t="str">
        <x:v>Free editorial, not a verified paid-service recommendation. Rejected as a distinct thesis: extreme prior appreciation, speculative demand, weak valuation anchor, regulatory risk and no independently verified new material catalyst produced unfavorable already-priced and entry-risk conditions.</x:v>
      </x:c>
    </x:row>
    <x:row r="221">
      <x:c r="A221" t="str">
        <x:v>EV-2026-216</x:v>
      </x:c>
      <x:c r="B221" t="str"/>
      <x:c r="C221" s="21" t="n">
        <x:v>46291.50768518519</x:v>
      </x:c>
      <x:c r="D221" t="str">
        <x:v>Rejected trigger</x:v>
      </x:c>
      <x:c r="E221" t="str">
        <x:v>The Motley Fool / Jack Delaney</x:v>
      </x:c>
      <x:c r="F221" t="str">
        <x:v>Public editorial trigger only</x:v>
      </x:c>
      <x:c r="G221" s="44" t="str">
        <x:v>https://www.fool.com/investing/2026/09/26/2-ai-stocks-that-could-split-in-2027/</x:v>
      </x:c>
      <x:c r="H221" s="44" t="str">
        <x:v>The article speculated that Costco and Micron could split their shares in 2027.</x:v>
      </x:c>
      <x:c r="I221" s="44" t="str">
        <x:v>Rejected</x:v>
      </x:c>
      <x:c r="J221" s="44" t="n">
        <x:v>2</x:v>
      </x:c>
      <x:c r="K221" s="44" t="str">
        <x:v>Published 6:54 a.m. ET. The author disclosed no position; Motley Fool disclosed positions/recommendations in Costco and Micron. Free editorial. Neither company had announced the proposed split, and a split would not change intrinsic economics; Micron's AI-memory catalyst is already established rather than new.</x:v>
      </x:c>
    </x:row>
    <x:row r="222">
      <x:c r="A222" t="str">
        <x:v>EV-2026-217</x:v>
      </x:c>
      <x:c r="B222" t="str"/>
      <x:c r="C222" s="21" t="n">
        <x:v>46291.50768518519</x:v>
      </x:c>
      <x:c r="D222" t="str">
        <x:v>Rejected trigger</x:v>
      </x:c>
      <x:c r="E222" t="str">
        <x:v>The Motley Fool / Neil Patel</x:v>
      </x:c>
      <x:c r="F222" t="str">
        <x:v>Public editorial trigger only</x:v>
      </x:c>
      <x:c r="G222" s="44" t="str">
        <x:v>https://www.fool.com/investing/2026/09/26/how-much-will-procter-gamble-pay-in-dividends-over/</x:v>
      </x:c>
      <x:c r="H222" s="44" t="str">
        <x:v>The article projected Procter &amp; Gamble dividend payments over the next five years.</x:v>
      </x:c>
      <x:c r="I222" s="44" t="str">
        <x:v>Rejected</x:v>
      </x:c>
      <x:c r="J222" s="44" t="n">
        <x:v>2</x:v>
      </x:c>
      <x:c r="K222" s="44" t="str">
        <x:v>Published 6:25 a.m. ET. The author and Motley Fool disclosed no position. Free editorial. Generic dividend extrapolation did not identify a new material economic-variable catalyst, so no thesis was opened.</x:v>
      </x:c>
    </x:row>
    <x:row r="223">
      <x:c r="A223" t="str">
        <x:v>EV-2026-218</x:v>
      </x:c>
      <x:c r="B223" t="str"/>
      <x:c r="C223" s="21" t="n">
        <x:v>46291.50768518519</x:v>
      </x:c>
      <x:c r="D223" t="str">
        <x:v>Rejected trigger</x:v>
      </x:c>
      <x:c r="E223" t="str">
        <x:v>The Motley Fool / John Ballard</x:v>
      </x:c>
      <x:c r="F223" t="str">
        <x:v>Public editorial trigger only</x:v>
      </x:c>
      <x:c r="G223" s="44" t="str">
        <x:v>https://www.fool.com/investing/2026/09/26/2-ai-infrastructure-stocks-to-buy-now/</x:v>
      </x:c>
      <x:c r="H223" s="44" t="str">
        <x:v>The article highlighted IREN and Vertiv as AI-infrastructure beneficiaries.</x:v>
      </x:c>
      <x:c r="I223" s="44" t="str">
        <x:v>Rejected</x:v>
      </x:c>
      <x:c r="J223" s="44" t="n">
        <x:v>3</x:v>
      </x:c>
      <x:c r="K223" s="44" t="str">
        <x:v>Free editorial. Ballard disclosed owning IREN; Motley Fool disclosed Microsoft and Vertiv positions/recommendations. IREN's Horizon 1 Microsoft delivery and $9.7 billion contract were independently checked against its August 13 issuer release and SEC materials, while Vertiv's long-term growth targets were previously published. The catalysts were months old, execution and financing risks remain, and large prior price gains make the setup too priced-in for a new thesis.</x:v>
      </x:c>
    </x:row>
    <x:row r="224">
      <x:c r="A224" t="str">
        <x:v>EV-2026-219</x:v>
      </x:c>
      <x:c r="B224" t="str"/>
      <x:c r="C224" s="21" t="n">
        <x:v>46291.50768518519</x:v>
      </x:c>
      <x:c r="D224" t="str">
        <x:v>Rejected trigger</x:v>
      </x:c>
      <x:c r="E224" t="str">
        <x:v>The Motley Fool / John Ballard</x:v>
      </x:c>
      <x:c r="F224" t="str">
        <x:v>Public editorial trigger only</x:v>
      </x:c>
      <x:c r="G224" s="44" t="str">
        <x:v>https://www.fool.com/investing/2026/09/26/2-semiconductor-stocks-to-buy-and-hold-for-10-year/</x:v>
      </x:c>
      <x:c r="H224" s="44" t="str">
        <x:v>The article highlighted Marvell and ASML as long-term AI semiconductor beneficiaries.</x:v>
      </x:c>
      <x:c r="I224" s="44" t="str">
        <x:v>Rejected</x:v>
      </x:c>
      <x:c r="J224" s="44" t="n">
        <x:v>3</x:v>
      </x:c>
      <x:c r="K224" s="44" t="str">
        <x:v>Free editorial. The author disclosed no position; Motley Fool disclosed positions/recommendations in ASML, Marvell and Micron. Marvell's August results and ASML's July capacity outlook were older public catalysts, while elevated valuation and strong prior appreciation reduce unpriced edge. No new distinct thesis was opened.</x:v>
      </x:c>
    </x:row>
    <x:row r="225">
      <x:c r="A225" t="str">
        <x:v>EV-2026-220</x:v>
      </x:c>
      <x:c r="B225" t="str">
        <x:v>EEI-2026-005</x:v>
      </x:c>
      <x:c r="C225" s="21" t="n">
        <x:v>46292.51123842593</x:v>
      </x:c>
      <x:c r="D225" t="str">
        <x:v>Supporting</x:v>
      </x:c>
      <x:c r="E225" t="str">
        <x:v>Bristol Myers Squibb</x:v>
      </x:c>
      <x:c r="F225" t="str">
        <x:v>Primary company clinical data</x:v>
      </x:c>
      <x:c r="G225" s="44" t="str">
        <x:v>https://news.bms.com/news/corporate-financial/2026/Bristol-Myers-Squibb-Announces-First-Presentation-of-Results-for-ZENBEXUS-iberdomide-in-Combination-with-Daratumumab-from-Phase-3-EXCALIBER-RRMM-Trial-in-Relapsed-or-Refractory-Multiple-Myeloma/default.aspx</x:v>
      </x:c>
      <x:c r="H225" s="44" t="str">
        <x:v>In the September 25 detailed Phase 3 EXCALIBER-RRMM presentation, ZENBEXUS plus daratumumab and dexamethasone produced an MRD-negative complete response in 41.1% of evaluable patients versus 20.7% for DVd; overall response was 88.9% versus 76.1%, and complete response or better was 45.9% versus 24.9%.</x:v>
      </x:c>
      <x:c r="I225" s="44" t="str">
        <x:v>Strengthens clinical support; does not change stage</x:v>
      </x:c>
      <x:c r="J225" s="44" t="n">
        <x:v>5</x:v>
      </x:c>
      <x:c r="K225" s="44" t="str">
        <x:v>The detailed presentation reinforces an already known positive trial and the August accelerated approval. It does not establish the product revenue needed to offset the broader patent cliff.</x:v>
      </x:c>
    </x:row>
    <x:row r="226">
      <x:c r="A226" t="str">
        <x:v>EV-2026-221</x:v>
      </x:c>
      <x:c r="B226" t="str">
        <x:v>EEI-2026-005</x:v>
      </x:c>
      <x:c r="C226" s="21" t="n">
        <x:v>46292.51123842593</x:v>
      </x:c>
      <x:c r="D226" t="str">
        <x:v>Contradictory</x:v>
      </x:c>
      <x:c r="E226" t="str">
        <x:v>Bristol Myers Squibb</x:v>
      </x:c>
      <x:c r="F226" t="str">
        <x:v>Primary company clinical data</x:v>
      </x:c>
      <x:c r="G226" s="44" t="str">
        <x:v>https://news.bms.com/news/corporate-financial/2026/Bristol-Myers-Squibb-Announces-First-Presentation-of-Results-for-ZENBEXUS-iberdomide-in-Combination-with-Daratumab-from-Phase-3-EXCALIBER-RRMM-Trial-in-Relapsed-or-Refractory-Multiple-Myeloma/default.aspx</x:v>
      </x:c>
      <x:c r="H226" s="44" t="str">
        <x:v>The confirmatory progression-free-survival endpoint in the 800-patient cohort remains ongoing. Grade 3/4 neutropenia occurred in 84.3% of ZENBEXUS patients versus 11.3% for DVd, and Grade 3/4 infections occurred in 39.2% versus 21.6%.</x:v>
      </x:c>
      <x:c r="I226" s="44" t="str">
        <x:v>Limits commercial and full-approval certainty</x:v>
      </x:c>
      <x:c r="J226" s="44" t="n">
        <x:v>5</x:v>
      </x:c>
      <x:c r="K226" s="44" t="str">
        <x:v>The safety burden and unresolved PFS endpoint prevent promotion of EEI-2026-005 despite strong response-depth data.</x:v>
      </x:c>
    </x:row>
    <x:row r="227">
      <x:c r="A227" t="str">
        <x:v>EV-2026-222</x:v>
      </x:c>
      <x:c r="B227"/>
      <x:c r="C227" s="21" t="n">
        <x:v>46292.51123842593</x:v>
      </x:c>
      <x:c r="D227" t="str">
        <x:v>Rejected trigger</x:v>
      </x:c>
      <x:c r="E227" t="str">
        <x:v>The Motley Fool / Daniel Sparks</x:v>
      </x:c>
      <x:c r="F227" t="str">
        <x:v>Public editorial trigger only</x:v>
      </x:c>
      <x:c r="G227" s="44" t="str">
        <x:v>https://www.fool.com/investing/2026/09/27/broadcom-stock-is-back-where-it-ended-2025-but-its-earnings-are-about-43-higher-is-it-a-buy/</x:v>
      </x:c>
      <x:c r="H227" s="44" t="str">
        <x:v>The free September 27 article argued Broadcom was attractive after a 29% drawdown while adjusted trailing EPS was about 43% above fiscal 2025. It cited the September 2 company forecast for $115 billion of fiscal 2027 AI revenue and $230 billion in 2028.</x:v>
      </x:c>
      <x:c r="I227" s="44" t="str">
        <x:v>Rejected</x:v>
      </x:c>
      <x:c r="J227" s="44" t="n">
        <x:v>3</x:v>
      </x:c>
      <x:c r="K227" s="44" t="str">
        <x:v>Daniel Sparks and clients disclosed no Broadcom position; Motley Fool disclosed a Broadcom position and recommendation. Primary results support growth, but the catalyst was already public, the stock still traded near 36 times trailing adjusted earnings, the top five customers represented about 55% of revenue and financing backstops add risk. No distinct thesis was opened.</x:v>
      </x:c>
    </x:row>
    <x:row r="228">
      <x:c r="A228" t="str">
        <x:v>EV-2026-223</x:v>
      </x:c>
      <x:c r="B228"/>
      <x:c r="C228" s="21" t="n">
        <x:v>46292.51123842593</x:v>
      </x:c>
      <x:c r="D228" t="str">
        <x:v>Rejected trigger</x:v>
      </x:c>
      <x:c r="E228" t="str">
        <x:v>The Motley Fool / Keith Speights</x:v>
      </x:c>
      <x:c r="F228" t="str">
        <x:v>Public editorial trigger only</x:v>
      </x:c>
      <x:c r="G228" s="44" t="str">
        <x:v>https://www.fool.com/investing/2026/09/27/anthropic-and-openai-are-both-racing-to-ipo-ge-ver/</x:v>
      </x:c>
      <x:c r="H228" s="44" t="str">
        <x:v>The free September 27 article presented GE Vernova as an AI-power infrastructure beneficiary, citing 88% year-over-year Q2 order growth and more than $5 billion of first-half data-center electrification orders.</x:v>
      </x:c>
      <x:c r="I228" s="44" t="str">
        <x:v>Rejected</x:v>
      </x:c>
      <x:c r="J228" s="44" t="n">
        <x:v>3</x:v>
      </x:c>
      <x:c r="K228" s="44" t="str">
        <x:v>Keith Speights disclosed no position; Motley Fool disclosed a GE Vernova position and recommendation. The cited quarterly results were already public, the stock was up about 45% in 2026 and traded near 38 times forward earnings. No independently verified new material catalyst or favorable entry justified a distinct thesis.</x:v>
      </x:c>
    </x:row>
    <x:row r="229">
      <x:c r="A229" t="str">
        <x:v>EV-2026-224</x:v>
      </x:c>
      <x:c r="B229"/>
      <x:c r="C229" s="21" t="n">
        <x:v>46292.51123842593</x:v>
      </x:c>
      <x:c r="D229" t="str">
        <x:v>Rejected trigger</x:v>
      </x:c>
      <x:c r="E229" t="str">
        <x:v>The Motley Fool / Reuben Gregg Brewer</x:v>
      </x:c>
      <x:c r="F229" t="str">
        <x:v>Public editorial trigger only</x:v>
      </x:c>
      <x:c r="G229" s="44" t="str">
        <x:v>https://www.fool.com/investing/2026/09/27/blue-owl-stock-yields-about-9-after-falling-45-fro/</x:v>
      </x:c>
      <x:c r="H229" s="44" t="str">
        <x:v>The free September 27 article examined Blue Owl after a roughly 45% share decline and a yield near 9.8%. It noted the $0.23 quarterly dividend exceeded Q2 distributable earnings of $0.22 per share.</x:v>
      </x:c>
      <x:c r="I229" s="44" t="str">
        <x:v>Rejected</x:v>
      </x:c>
      <x:c r="J229" s="44" t="n">
        <x:v>3</x:v>
      </x:c>
      <x:c r="K229" s="44" t="str">
        <x:v>The author and Motley Fool disclosed no Blue Owl position. SEC materials confirm the fixed dividend policy, while Reuters reported $4.7 billion of Q2 withdrawal requests across two flagship private-credit funds and continued 5% limits. Dividend coverage and redemption risk remain unresolved, so the high yield is not a qualifying positive catalyst and no thesis was opened.</x:v>
      </x:c>
    </x:row>
    <x:row r="230">
      <x:c r="A230" t="str">
        <x:v>EV-2026-225</x:v>
      </x:c>
      <x:c r="B230" t="str">
        <x:v>EEI-2026-009</x:v>
      </x:c>
      <x:c r="C230" s="21" t="n">
        <x:v>46293.498344907406</x:v>
      </x:c>
      <x:c r="D230" t="str">
        <x:v>Market confirmation</x:v>
      </x:c>
      <x:c r="E230" t="str">
        <x:v>Reuters</x:v>
      </x:c>
      <x:c r="F230" t="str">
        <x:v>High-quality reporting and market data</x:v>
      </x:c>
      <x:c r="G230" s="44" t="str">
        <x:v>https://www.reuters.com/business/energy/oil-rebounds-after-trump-rejects-iran-peace-deal-2026-09-27/</x:v>
      </x:c>
      <x:c r="H230" s="44" t="str">
        <x:v>Brent rose 3.82% to $108.30 and WTI rose 3.81% to $95.93 after the United States rejected Iran's peace proposal; an independent economist said the market remained in deficit despite improving Hormuz flows.</x:v>
      </x:c>
      <x:c r="I230" s="44" t="str">
        <x:v>Strengthens scarcity; weakens entry</x:v>
      </x:c>
      <x:c r="J230" s="44" t="n">
        <x:v>5</x:v>
      </x:c>
      <x:c r="K230" s="44" t="str">
        <x:v>Middle East exports also rebounded to 12.8 million barrels per day, the highest since the war began. The two-sided evidence supports Actionable / WAIT rather than a confidence or entry upgrade.</x:v>
      </x:c>
    </x:row>
    <x:row r="231">
      <x:c r="A231" t="str">
        <x:v>EV-2026-226</x:v>
      </x:c>
      <x:c r="B231" t="str">
        <x:v>EEI-2026-011</x:v>
      </x:c>
      <x:c r="C231" s="21" t="n">
        <x:v>46293.498344907406</x:v>
      </x:c>
      <x:c r="D231" t="str">
        <x:v>Normalization modifier</x:v>
      </x:c>
      <x:c r="E231" t="str">
        <x:v>Reuters</x:v>
      </x:c>
      <x:c r="F231" t="str">
        <x:v>High-quality reporting and shipping context</x:v>
      </x:c>
      <x:c r="G231" s="44" t="str">
        <x:v>https://www.reuters.com/business/energy/oil-rebounds-after-trump-rejects-iran-peace-deal-2026-09-27/</x:v>
      </x:c>
      <x:c r="H231" s="44" t="str">
        <x:v>Preliminary Kpler data showed Middle East crude exports at 12.8 million barrels per day in September, the highest since the war began, as Saudi Arabia and the UAE raised shipments.</x:v>
      </x:c>
      <x:c r="I231" s="44" t="str">
        <x:v>Mixed</x:v>
      </x:c>
      <x:c r="J231" s="44" t="n">
        <x:v>5</x:v>
      </x:c>
      <x:c r="K231" s="44" t="str">
        <x:v>Higher volumes can consume vessel-days, but improving Hormuz flows and continued talks reduce disruption risk. No fresh verified VLCC-rate evidence changed the Strong / WAIT classification.</x:v>
      </x:c>
    </x:row>
    <x:row r="232">
      <x:c r="A232" t="str">
        <x:v>EV-2026-227</x:v>
      </x:c>
      <x:c r="B232" t="str"/>
      <x:c r="C232" s="21" t="n">
        <x:v>46293.498344907406</x:v>
      </x:c>
      <x:c r="D232" t="str">
        <x:v>Rejected trigger</x:v>
      </x:c>
      <x:c r="E232" t="str">
        <x:v>The Motley Fool / Adria Cimino</x:v>
      </x:c>
      <x:c r="F232" t="str">
        <x:v>Public editorial trigger only</x:v>
      </x:c>
      <x:c r="G232" s="44" t="str">
        <x:v>https://www.fool.com/investing/2026/09/28/eli-lilly-just-announced-game-changing-news/</x:v>
      </x:c>
      <x:c r="H232" s="44" t="str">
        <x:v>The free September 28 article cited roughly 700,000 new Medicare GLP-1 users, Lilly capturing about seven of ten prescriptions, and Foundayo taking about 30% of new oral starts as a multi-year obesity-market catalyst.</x:v>
      </x:c>
      <x:c r="I232" s="44" t="str">
        <x:v>Rejected</x:v>
      </x:c>
      <x:c r="J232" s="44" t="n">
        <x:v>3</x:v>
      </x:c>
      <x:c r="K232" s="44" t="str">
        <x:v>Published 4:03 a.m. ET. The author disclosed no position; Motley Fool disclosed positions and recommendations in LLY and NVO. Reuters and Lilly results confirm demand, but the catalyst was already public, LLY already reflected leadership expectations, and no new unpriced event justified a distinct thesis.</x:v>
      </x:c>
    </x:row>
    <x:row r="233">
      <x:c r="A233" t="str">
        <x:v>EV-2026-228</x:v>
      </x:c>
      <x:c r="B233" t="str"/>
      <x:c r="C233" s="21" t="n">
        <x:v>46293.498344907406</x:v>
      </x:c>
      <x:c r="D233" t="str">
        <x:v>Rejected trigger</x:v>
      </x:c>
      <x:c r="E233" t="str">
        <x:v>The Motley Fool / James Halley</x:v>
      </x:c>
      <x:c r="F233" t="str">
        <x:v>Public editorial trigger only</x:v>
      </x:c>
      <x:c r="G233" s="44" t="str">
        <x:v>https://www.fool.com/investing/2026/09/28/i-keep-adding-to-this-pipeline-stock-heres-why-the/</x:v>
      </x:c>
      <x:c r="H233" s="44" t="str">
        <x:v>The free September 28 article presented WMB's covered dividend, take-or-pay pipeline cash flows, data-center power demand and project backlog as a long-term growth catalyst.</x:v>
      </x:c>
      <x:c r="I233" s="44" t="str">
        <x:v>Rejected</x:v>
      </x:c>
      <x:c r="J233" s="44" t="n">
        <x:v>3</x:v>
      </x:c>
      <x:c r="K233" s="44" t="str">
        <x:v>Published 2:00 a.m. ET. The author disclosed owning WMB. The operating facts came from already public quarterly and project information; shares were up more than 15% in 2026 and valuation exceeded 28 times forward earnings, leaving no new unpriced catalyst or favorable entry.</x:v>
      </x:c>
    </x:row>
    <x:row r="234">
      <x:c r="A234" t="str">
        <x:v>EV-2026-229</x:v>
      </x:c>
      <x:c r="B234" t="str"/>
      <x:c r="C234" s="21" t="n">
        <x:v>46293.498344907406</x:v>
      </x:c>
      <x:c r="D234" t="str">
        <x:v>Rejected trigger</x:v>
      </x:c>
      <x:c r="E234" t="str">
        <x:v>The Motley Fool / Neil Patel</x:v>
      </x:c>
      <x:c r="F234" t="str">
        <x:v>Public editorial trigger only</x:v>
      </x:c>
      <x:c r="G234" s="44" t="str">
        <x:v>https://www.fool.com/investing/2026/09/28/financial-stock-great-business-bad-investment-how/</x:v>
      </x:c>
      <x:c r="H234" s="44" t="str">
        <x:v>The free September 28 article argued that AXP's 2026 decline and sub-19 price-to-earnings ratio created a better entry while revenue, profit, premium-card demand and credit quality remained solid.</x:v>
      </x:c>
      <x:c r="I234" s="44" t="str">
        <x:v>Rejected</x:v>
      </x:c>
      <x:c r="J234" s="44" t="n">
        <x:v>3</x:v>
      </x:c>
      <x:c r="K234" s="44" t="str">
        <x:v>Published 2:45 a.m. ET. American Express is an advertising partner; the author disclosed no position and Motley Fool disclosed an AXP position and recommendation. Primary Q2 results support the business, but the article supplied valuation framing rather than a new material catalyst.</x:v>
      </x:c>
    </x:row>
    <x:row r="235">
      <x:c r="A235" t="str">
        <x:v>EV-2026-230</x:v>
      </x:c>
      <x:c r="B235" t="str"/>
      <x:c r="C235" s="21" t="n">
        <x:v>46293.498344907406</x:v>
      </x:c>
      <x:c r="D235" t="str">
        <x:v>Rejected trigger</x:v>
      </x:c>
      <x:c r="E235" t="str">
        <x:v>The Motley Fool / Chris Neiger</x:v>
      </x:c>
      <x:c r="F235" t="str">
        <x:v>Public editorial trigger only</x:v>
      </x:c>
      <x:c r="G235" s="44" t="str">
        <x:v>https://www.fool.com/investing/2026/09/28/oracle-vs-salesforce-which-enterprise-ai-stock-has/</x:v>
      </x:c>
      <x:c r="H235" s="44" t="str">
        <x:v>The free September 28 comparison favored enterprise-AI exposure after Oracle reported 121% cloud-infrastructure growth and Salesforce advanced agentic AI products.</x:v>
      </x:c>
      <x:c r="I235" s="44" t="str">
        <x:v>Rejected</x:v>
      </x:c>
      <x:c r="J235" s="44" t="n">
        <x:v>3</x:v>
      </x:c>
      <x:c r="K235" s="44" t="str">
        <x:v>The author disclosed no position; Motley Fool disclosed positions and recommendations in ORCL and CRM. Oracle's growth, $28.5 billion quarterly capital spending, negative free cash flow and project risk were already public, while the comparison identified no new material catalyst.</x:v>
      </x:c>
    </x:row>
    <x:row r="236">
      <x:c r="A236" t="str">
        <x:v>EV-2026-231</x:v>
      </x:c>
      <x:c r="B236" t="str"/>
      <x:c r="C236" s="21" t="n">
        <x:v>46293.498344907406</x:v>
      </x:c>
      <x:c r="D236" t="str">
        <x:v>Rejected trigger</x:v>
      </x:c>
      <x:c r="E236" t="str">
        <x:v>The Motley Fool / Keithen Drury</x:v>
      </x:c>
      <x:c r="F236" t="str">
        <x:v>Public editorial trigger only</x:v>
      </x:c>
      <x:c r="G236" s="44" t="str">
        <x:v>https://www.fool.com/investing/2026/09/28/better-ai-stock-spacex-or-nvidia/</x:v>
      </x:c>
      <x:c r="H236" s="44" t="str">
        <x:v>The free September 28 article preferred NVDA to SPCX based on stronger profitability, scale and SpaceX's stated Nvidia exclusivity.</x:v>
      </x:c>
      <x:c r="I236" s="44" t="str">
        <x:v>Rejected</x:v>
      </x:c>
      <x:c r="J236" s="44" t="n">
        <x:v>3</x:v>
      </x:c>
      <x:c r="K236" s="44" t="str">
        <x:v>Published 5:39 a.m. ET. The analysis reused already public quarterly results and partnership statements. NVDA traded near its 52-week high and both companies carried very large valuations; no new catalyst or entry edge justified a distinct thesis.</x:v>
      </x:c>
    </x:row>
    <x:row r="237">
      <x:c r="A237" t="str">
        <x:v>EV-2026-232</x:v>
      </x:c>
      <x:c r="B237" t="str"/>
      <x:c r="C237" s="21" t="n">
        <x:v>46293.498344907406</x:v>
      </x:c>
      <x:c r="D237" t="str">
        <x:v>Rejected trigger</x:v>
      </x:c>
      <x:c r="E237" t="str">
        <x:v>The Motley Fool / Daniel Sparks</x:v>
      </x:c>
      <x:c r="F237" t="str">
        <x:v>Public editorial trigger only</x:v>
      </x:c>
      <x:c r="G237" s="44" t="str">
        <x:v>https://www.fool.com/investing/2026/09/28/prediction-netflix-stock-gets-back-to-usd100-before-2030/</x:v>
      </x:c>
      <x:c r="H237" s="44" t="str">
        <x:v>The free September 28 article projected NFLX could reach $100 before 2030 if revenue grows about 11% annually, margins expand and buybacks continue.</x:v>
      </x:c>
      <x:c r="I237" s="44" t="str">
        <x:v>Rejected</x:v>
      </x:c>
      <x:c r="J237" s="44" t="n">
        <x:v>2</x:v>
      </x:c>
      <x:c r="K237" s="44" t="str">
        <x:v>Published 4:37 a.m. ET. The case rests on extrapolating management guidance and assumed 2029 margins rather than a newly verified catalyst. Advertising, pricing, competition and growth-deceleration risks remain, so no thesis was opened.</x:v>
      </x:c>
    </x:row>
    <x:row r="238">
      <x:c r="A238" t="str">
        <x:v>EV-2026-233</x:v>
      </x:c>
      <x:c r="B238" t="str">
        <x:v>EEI-2026-009</x:v>
      </x:c>
      <x:c r="C238" s="21" t="n">
        <x:v>46293.498344907406</x:v>
      </x:c>
      <x:c r="D238" t="str">
        <x:v>Neutral trigger</x:v>
      </x:c>
      <x:c r="E238" t="str">
        <x:v>The Motley Fool / Sean Williams</x:v>
      </x:c>
      <x:c r="F238" t="str">
        <x:v>Public editorial trigger only</x:v>
      </x:c>
      <x:c r="G238" s="44" t="str">
        <x:v>https://www.fool.com/investing/2026/09/28/donald-trump-float-idea-partial-or-full-ban-diesel-exports-unintended-consequences-catastrophic/</x:v>
      </x:c>
      <x:c r="H238" s="44" t="str">
        <x:v>The free September 28 article argued that restricting U.S. diesel exports could lower domestic prices temporarily while worsening global scarcity and rerouting costs.</x:v>
      </x:c>
      <x:c r="I238" s="44" t="str">
        <x:v>No independent thesis change</x:v>
      </x:c>
      <x:c r="J238" s="44" t="n">
        <x:v>2</x:v>
      </x:c>
      <x:c r="K238" s="44" t="str">
        <x:v>Published 4:06 a.m. ET. The author disclosed no position; Motley Fool disclosed a Chevron position and recommendation. The article repeated an already logged policy risk and was not used as confirmation; Reuters supplied the independent energy evidence.</x:v>
      </x:c>
    </x:row>
    <x:row r="239">
      <x:c r="A239" t="str">
        <x:v>EV-2026-234</x:v>
      </x:c>
      <x:c r="B239" t="str">
        <x:v>EEI-2026-003</x:v>
      </x:c>
      <x:c r="C239" s="53" t="n">
        <x:v>46293.62850694445</x:v>
      </x:c>
      <x:c r="D239" t="str">
        <x:v>Supporting</x:v>
      </x:c>
      <x:c r="E239" t="str">
        <x:v>Reuters</x:v>
      </x:c>
      <x:c r="F239" t="str">
        <x:v>High-quality reporting and campaign-finance review</x:v>
      </x:c>
      <x:c r="G239" s="44" t="str">
        <x:v>https://www.reuters.com/legal/government/republicans-pour-money-into-dozens-us-house-races-previously-considered-safe-2026-09-27/</x:v>
      </x:c>
      <x:c r="H239" s="44" t="str">
        <x:v>Major Republican groups began spending in at least 39 additional House races after internal polling showed risk in districts previously considered safe; leaders warned campaigns not to assume victory even where Trump won by double digits.</x:v>
      </x:c>
      <x:c r="I239" s="44" t="str">
        <x:v>Strengthens House-shift evidence</x:v>
      </x:c>
      <x:c r="J239" s="44" t="n">
        <x:v>5</x:v>
      </x:c>
      <x:c r="K239" s="44" t="str">
        <x:v>Campaign allocation is an independent behavioral signal that supports Cook's district-rating changes, but the Republican funding advantage and unresolved voting outcome prevent an Actionable classification.</x:v>
      </x:c>
    </x:row>
    <x:row r="240">
      <x:c r="A240" t="str">
        <x:v>EV-2026-235</x:v>
      </x:c>
      <x:c r="B240" t="str">
        <x:v>EEI-2026-003</x:v>
      </x:c>
      <x:c r="C240" s="53" t="n">
        <x:v>46293.62850694445</x:v>
      </x:c>
      <x:c r="D240" t="str">
        <x:v>Market confirmation</x:v>
      </x:c>
      <x:c r="E240" t="str">
        <x:v>Reuters and current fund market data</x:v>
      </x:c>
      <x:c r="F240" t="str">
        <x:v>High-quality reporting and live market data</x:v>
      </x:c>
      <x:c r="G240" s="44" t="str">
        <x:v>https://www.reuters.com/world/china/global-markets-global-markets-2026-09-28/</x:v>
      </x:c>
      <x:c r="H240" s="44" t="str">
        <x:v>Brent rose about 4% to $108.50, the 10-year Treasury yield reached about 5.22%, and markets implied a 68% chance of another Fed hike in October. Near 10:53 a.m. ET, SPY, RSP, IWM, XLI, XLB, XLF and CPER were all lower; only XLV and XBI were slightly positive, while VIXY rose.</x:v>
      </x:c>
      <x:c r="I240" s="44" t="str">
        <x:v>Contradicts broad risk participation</x:v>
      </x:c>
      <x:c r="J240" s="44" t="n">
        <x:v>5</x:v>
      </x:c>
      <x:c r="K240" s="44" t="str">
        <x:v>Equal weight modestly outperformed SPY, but negative absolute breadth among the tracked candidates, weaker cyclicals and higher volatility exposure do not confirm the expected broad uncertainty-relief mechanism.</x:v>
      </x:c>
    </x:row>
    <x:row r="241">
      <x:c r="A241" t="str">
        <x:v>EV-2026-236</x:v>
      </x:c>
      <x:c r="B241" t="str">
        <x:v>EEI-2026-003</x:v>
      </x:c>
      <x:c r="C241" s="53" t="n">
        <x:v>46293.62850694445</x:v>
      </x:c>
      <x:c r="D241" t="str">
        <x:v>Policy modifier</x:v>
      </x:c>
      <x:c r="E241" t="str">
        <x:v>Reuters</x:v>
      </x:c>
      <x:c r="F241" t="str">
        <x:v>High-quality reporting</x:v>
      </x:c>
      <x:c r="G241" s="44" t="str">
        <x:v>https://www.reuters.com/legal/government/democrats-probe-lucrative-trump-family-business-deals-if-they-win-midterms-2026-09-28/</x:v>
      </x:c>
      <x:c r="H241" s="44" t="str">
        <x:v>Democratic lawmakers and staff described plans to use subpoena power and expanded investigative staff if the party controls either chamber, with inquiries potentially beginning in February.</x:v>
      </x:c>
      <x:c r="I241" s="44" t="str">
        <x:v>Clarifies oversight mechanism; no direct sector signal</x:v>
      </x:c>
      <x:c r="J241" s="44" t="n">
        <x:v>4</x:v>
      </x:c>
      <x:c r="K241" s="44" t="str">
        <x:v>This defines a plausible policy consequence of a chamber shift, but it is conditional on control and maps more directly to oversight and legal risk than to the broad equity, industrial, materials, health-care, financial or small-cap candidates.</x:v>
      </x:c>
    </x:row>
    <x:row r="242">
      <x:c r="A242" t="str">
        <x:v>EV-2026-237</x:v>
      </x:c>
      <x:c r="B242" t="str">
        <x:v>EEI-2026-001</x:v>
      </x:c>
      <x:c r="C242" s="56" t="n">
        <x:v>46293.833333333336</x:v>
      </x:c>
      <x:c r="D242" t="str">
        <x:v>Paper-trade outcome</x:v>
      </x:c>
      <x:c r="E242" t="str">
        <x:v>S&amp;P Global Market Intelligence via StockAnalysis</x:v>
      </x:c>
      <x:c r="F242" t="str">
        <x:v>Regular-session closing market data</x:v>
      </x:c>
      <x:c r="G242" s="44" t="str">
        <x:v>https://stockanalysis.com/etf/bno/</x:v>
      </x:c>
      <x:c r="H242" s="44" t="str">
        <x:v>BNO closed September 28 at $60.33 versus the $57.21 September 8 opening entry. The $1,000 paper position was worth $1,054.54, up $54.54 or 5.45%; BNO gained 1.14% for the session.</x:v>
      </x:c>
      <x:c r="I242" s="44" t="str">
        <x:v>Supports the cleanest direct expression</x:v>
      </x:c>
      <x:c r="J242" s="44" t="n">
        <x:v>5</x:v>
      </x:c>
      <x:c r="K242" s="44" t="str">
        <x:v>BNO remains the strongest of the three positions. This is continued tracking after the formal September 18 horizon and does not change the completed outcome score.</x:v>
      </x:c>
    </x:row>
    <x:row r="243">
      <x:c r="A243" t="str">
        <x:v>EV-2026-238</x:v>
      </x:c>
      <x:c r="B243" t="str">
        <x:v>EEI-2026-001</x:v>
      </x:c>
      <x:c r="C243" s="56" t="n">
        <x:v>46293.833333333336</x:v>
      </x:c>
      <x:c r="D243" t="str">
        <x:v>Paper-trade outcome</x:v>
      </x:c>
      <x:c r="E243" t="str">
        <x:v>S&amp;P Global Market Intelligence via StockAnalysis</x:v>
      </x:c>
      <x:c r="F243" t="str">
        <x:v>Regular-session closing market data</x:v>
      </x:c>
      <x:c r="G243" s="44" t="str">
        <x:v>https://stockanalysis.com/etf/uso/</x:v>
      </x:c>
      <x:c r="H243" s="44" t="str">
        <x:v>USO closed September 28 at $150.01 versus the $144.60 September 8 opening entry. The $1,000 paper position was worth $1,037.41, up $37.41 or 3.74%; USO gained 1.13% for the session.</x:v>
      </x:c>
      <x:c r="I243" s="44" t="str">
        <x:v>Supports direct crude expression</x:v>
      </x:c>
      <x:c r="J243" s="44" t="n">
        <x:v>5</x:v>
      </x:c>
      <x:c r="K243" s="44" t="str">
        <x:v>USO remains above entry and continues to outperform XOP. This is a post-horizon observation.</x:v>
      </x:c>
    </x:row>
    <x:row r="244">
      <x:c r="A244" t="str">
        <x:v>EV-2026-239</x:v>
      </x:c>
      <x:c r="B244" t="str">
        <x:v>EEI-2026-001</x:v>
      </x:c>
      <x:c r="C244" s="56" t="n">
        <x:v>46293.833333333336</x:v>
      </x:c>
      <x:c r="D244" t="str">
        <x:v>Paper-trade outcome</x:v>
      </x:c>
      <x:c r="E244" t="str">
        <x:v>S&amp;P Global Market Intelligence via StockAnalysis</x:v>
      </x:c>
      <x:c r="F244" t="str">
        <x:v>Regular-session closing market data</x:v>
      </x:c>
      <x:c r="G244" s="44" t="str">
        <x:v>https://stockanalysis.com/etf/xop/</x:v>
      </x:c>
      <x:c r="H244" s="44" t="str">
        <x:v>XOP closed September 28 at $180.14 versus the $193.84 September 8 opening entry. The $1,000 paper position was worth $929.32, down $70.68 or 7.07%; XOP fell 0.75% for the session.</x:v>
      </x:c>
      <x:c r="I244" s="44" t="str">
        <x:v>Continues to weaken the indirect equity expression</x:v>
      </x:c>
      <x:c r="J244" s="44" t="n">
        <x:v>5</x:v>
      </x:c>
      <x:c r="K244" s="44" t="str">
        <x:v>The producer-equity proxy remains the expression failure and materially trails both direct crude funds, reinforcing the methodology's clean-expression rule.</x:v>
      </x:c>
    </x:row>
    <x:row r="245">
      <x:c r="A245" t="str">
        <x:v>EV-2026-240</x:v>
      </x:c>
      <x:c r="B245" t="str">
        <x:v>EEI-2026-001</x:v>
      </x:c>
      <x:c r="C245" s="56" t="n">
        <x:v>46293.833333333336</x:v>
      </x:c>
      <x:c r="D245" t="str">
        <x:v>Post-horizon scarcity confirmation</x:v>
      </x:c>
      <x:c r="E245" t="str">
        <x:v>Reuters</x:v>
      </x:c>
      <x:c r="F245" t="str">
        <x:v>High-quality reporting and market data</x:v>
      </x:c>
      <x:c r="G245" s="44" t="str">
        <x:v>https://www.reuters.com/business/energy/oil-rebounds-after-trump-rejects-iran-peace-deal-2026-09-27/</x:v>
      </x:c>
      <x:c r="H245" s="44" t="str">
        <x:v>Oil rebounded after President Trump rejected Iran's proposal to end the conflict and reopen Hormuz. The diplomatic setback kept Middle East supply risk elevated and lifted the direct crude paper positions at the September 28 close.</x:v>
      </x:c>
      <x:c r="I245" s="44" t="str">
        <x:v>Confirms residual scarcity risk and headline sensitivity</x:v>
      </x:c>
      <x:c r="J245" s="44" t="n">
        <x:v>5</x:v>
      </x:c>
      <x:c r="K245" s="44" t="str">
        <x:v>BNO and USO rose while XOP fell. The three-position portfolio closed at $3,021.27, up $21.27 or 0.71% from inception. The formal September 18 result remains unchanged.</x:v>
      </x:c>
    </x:row>
    <x:row r="246">
      <x:c r="A246" t="str">
        <x:v>EV-2026-241</x:v>
      </x:c>
      <x:c r="B246" t="str">
        <x:v>EEI-2026-001</x:v>
      </x:c>
      <x:c r="C246" s="56" t="n">
        <x:v>46293.833333333336</x:v>
      </x:c>
      <x:c r="D246" t="str">
        <x:v>Post-horizon normalization modifier</x:v>
      </x:c>
      <x:c r="E246" t="str">
        <x:v>Reuters</x:v>
      </x:c>
      <x:c r="F246" t="str">
        <x:v>High-quality reporting based on preliminary Kpler data</x:v>
      </x:c>
      <x:c r="G246" s="44" t="str">
        <x:v>https://www.reuters.com/business/energy/oil-rebounds-after-trump-rejects-iran-peace-deal-2026-09-27/</x:v>
      </x:c>
      <x:c r="H246" s="44" t="str">
        <x:v>Preliminary Kpler data showed crude exports from key Middle East producers at 12.8 million barrels per day in September, the highest level since the war began, as Saudi Arabia and the UAE increased shipments. Further Qatar-mediated talks were also expected.</x:v>
      </x:c>
      <x:c r="I246" s="44" t="str">
        <x:v>Offsets the scarcity signal and limits extended-hold upside</x:v>
      </x:c>
      <x:c r="J246" s="44" t="n">
        <x:v>5</x:v>
      </x:c>
      <x:c r="K246" s="44" t="str">
        <x:v>The market is adapting even though Hormuz risk persists. Higher export volumes and continuing diplomacy remain the main path toward further compression of the scarcity premium.</x:v>
      </x:c>
    </x:row>
    <x:row r="247">
      <x:c r="A247" t="str">
        <x:v>EV-2026-242</x:v>
      </x:c>
      <x:c r="B247" t="str">
        <x:v>EEI-2026-002</x:v>
      </x:c>
      <x:c r="C247" s="21" t="n">
        <x:v>46294.50347222222</x:v>
      </x:c>
      <x:c r="D247" t="str">
        <x:v>Contradictory</x:v>
      </x:c>
      <x:c r="E247" t="str">
        <x:v>Reuters via Business Recorder</x:v>
      </x:c>
      <x:c r="F247" t="str">
        <x:v>High quality reporting</x:v>
      </x:c>
      <x:c r="G247" s="44" t="str">
        <x:v>https://www.brecorder.com/news/40441719/qatar-linked-lng-traffic-thru-hormuz-picks-up</x:v>
      </x:c>
      <x:c r="H247" s="44" t="str">
        <x:v>Visible Qatar-linked LNG tanker transits resumed in September after none were observed in August; GasLog Skagen emerged outside Hormuz with a Ras Laffan cargo.</x:v>
      </x:c>
      <x:c r="I247" s="44" t="str">
        <x:v>Weakens</x:v>
      </x:c>
      <x:c r="J247" s="44" t="n">
        <x:v>4</x:v>
      </x:c>
      <x:c r="K247" s="44" t="str">
        <x:v>Partial route normalization; force majeure and damaged-train constraints remain.</x:v>
      </x:c>
    </x:row>
    <x:row r="248">
      <x:c r="A248" t="str">
        <x:v>EV-2026-243</x:v>
      </x:c>
      <x:c r="B248" t="str">
        <x:v>EEI-2026-009</x:v>
      </x:c>
      <x:c r="C248" s="21" t="n">
        <x:v>46294.50347222222</x:v>
      </x:c>
      <x:c r="D248" t="str">
        <x:v>Neutral</x:v>
      </x:c>
      <x:c r="E248" t="str">
        <x:v>Reuters</x:v>
      </x:c>
      <x:c r="F248" t="str">
        <x:v>High quality reporting</x:v>
      </x:c>
      <x:c r="G248" s="44" t="str">
        <x:v>https://www.reuters.com/business/energy/oil-prices-rise-second-session-continued-middle-east-supply-concern-2026-09-29/</x:v>
      </x:c>
      <x:c r="H248" s="44" t="str">
        <x:v>The U.S. considered broader sales of red-dyed diesel as an alternative to an export ban; Gulf crude exports reached 12.8 million bpd while costly workarounds persisted.</x:v>
      </x:c>
      <x:c r="I248" s="44" t="str">
        <x:v>Mixed</x:v>
      </x:c>
      <x:c r="J248" s="44" t="n">
        <x:v>4</x:v>
      </x:c>
      <x:c r="K248" s="44" t="str">
        <x:v>Reduces immediate export-ban risk without resolving global diesel scarcity.</x:v>
      </x:c>
    </x:row>
    <x:row r="249">
      <x:c r="A249" t="str">
        <x:v>EV-2026-244</x:v>
      </x:c>
      <x:c r="B249" t="str">
        <x:v>EEI-2026-011</x:v>
      </x:c>
      <x:c r="C249" s="21" t="n">
        <x:v>46294.50347222222</x:v>
      </x:c>
      <x:c r="D249" t="str">
        <x:v>Supporting and contradictory</x:v>
      </x:c>
      <x:c r="E249" t="str">
        <x:v>Reuters</x:v>
      </x:c>
      <x:c r="F249" t="str">
        <x:v>High quality reporting</x:v>
      </x:c>
      <x:c r="G249" s="44" t="str">
        <x:v>https://www.reuters.com/business/energy/oil-prices-rise-second-session-continued-middle-east-supply-concern-2026-09-29/</x:v>
      </x:c>
      <x:c r="H249" s="44" t="str">
        <x:v>Higher Gulf exports still relied on inefficient ship-to-ship transfers, but aggregate exports recovered and mediation continued.</x:v>
      </x:c>
      <x:c r="I249" s="44" t="str">
        <x:v>Mixed</x:v>
      </x:c>
      <x:c r="J249" s="44" t="n">
        <x:v>4</x:v>
      </x:c>
      <x:c r="K249" s="44" t="str">
        <x:v>Supports vessel-day use while increasing normalization risk.</x:v>
      </x:c>
    </x:row>
    <x:row r="250">
      <x:c r="A250" t="str">
        <x:v>EV-2026-245</x:v>
      </x:c>
      <x:c r="B250" t="str">
        <x:v>EEI-2026-003</x:v>
      </x:c>
      <x:c r="C250" s="21" t="n">
        <x:v>46294.50347222222</x:v>
      </x:c>
      <x:c r="D250" t="str">
        <x:v>Supporting</x:v>
      </x:c>
      <x:c r="E250" t="str">
        <x:v>Associated Press</x:v>
      </x:c>
      <x:c r="F250" t="str">
        <x:v>High quality reporting</x:v>
      </x:c>
      <x:c r="G250" s="44" t="str">
        <x:v>https://apnews.com/article/196b287c170f2e8e6386908b441339d2</x:v>
      </x:c>
      <x:c r="H250" s="44" t="str">
        <x:v>Republicans shifted Senate resources toward defending Texas and Ohio as their Georgia and North Carolina prospects weakened.</x:v>
      </x:c>
      <x:c r="I250" s="44" t="str">
        <x:v>Strengthens</x:v>
      </x:c>
      <x:c r="J250" s="44" t="n">
        <x:v>4</x:v>
      </x:c>
      <x:c r="K250" s="44" t="str">
        <x:v>Campaign allocation is independent behavior evidence, not an election result.</x:v>
      </x:c>
    </x:row>
    <x:row r="251">
      <x:c r="A251" t="str">
        <x:v>EV-2026-246</x:v>
      </x:c>
      <x:c r="B251" t="str">
        <x:v>EEI-2026-003</x:v>
      </x:c>
      <x:c r="C251" s="21" t="n">
        <x:v>46294.50347222222</x:v>
      </x:c>
      <x:c r="D251" t="str">
        <x:v>Contradictory and market confirmation</x:v>
      </x:c>
      <x:c r="E251" t="str">
        <x:v>Reuters</x:v>
      </x:c>
      <x:c r="F251" t="str">
        <x:v>High quality reporting</x:v>
      </x:c>
      <x:c r="G251" s="44" t="str">
        <x:v>https://www.reuters.com/world/china/global-markets-global-markets-2026-09-29/</x:v>
      </x:c>
      <x:c r="H251" s="44" t="str">
        <x:v>The U.S. 10-year yield was near 5.27%, oil remained elevated and global equities faced rate pressure.</x:v>
      </x:c>
      <x:c r="I251" s="44" t="str">
        <x:v>Weakens entry</x:v>
      </x:c>
      <x:c r="J251" s="44" t="n">
        <x:v>4</x:v>
      </x:c>
      <x:c r="K251" s="44" t="str">
        <x:v>High yields and oil remain adverse to broadening and small-cap confirmation.</x:v>
      </x:c>
    </x:row>
    <x:row r="252">
      <x:c r="A252" t="str">
        <x:v>EV-2026-247</x:v>
      </x:c>
      <x:c r="B252"/>
      <x:c r="C252" s="21" t="n">
        <x:v>46294.50347222222</x:v>
      </x:c>
      <x:c r="D252" t="str">
        <x:v>Rejected Motley Fool trigger</x:v>
      </x:c>
      <x:c r="E252" t="str">
        <x:v>The Motley Fool — Stefon Walters</x:v>
      </x:c>
      <x:c r="F252" t="str">
        <x:v>Idea generator only</x:v>
      </x:c>
      <x:c r="G252" s="44" t="str">
        <x:v>https://www.fool.com/investing/2026/09/25/the-magnificent-seven-stocks-heres-the-1-im-buying/</x:v>
      </x:c>
      <x:c r="H252" s="44" t="str">
        <x:v>A free September 25 editorial called Alphabet the best Magnificent Seven value, citing 82% Google Cloud growth and roughly $514 billion of cloud backlog.</x:v>
      </x:c>
      <x:c r="I252" s="44" t="str">
        <x:v>Rejected</x:v>
      </x:c>
      <x:c r="J252" s="44" t="n">
        <x:v>2</x:v>
      </x:c>
      <x:c r="K252" s="44" t="str">
        <x:v>Ticker GOOGL; long-term AI/cloud thesis. The author disclosed positions in Apple, Microsoft and TSM, not Alphabet; Motley Fool disclosed an Alphabet position and recommendation. SEC and company records confirm the growth, but Q2 also produced negative $5.9 billion free cash flow and $195-$205 billion 2026 capex guidance. The catalyst was two months old, not a new paid-service recommendation, and did not justify a distinct thesis or entry.</x:v>
      </x:c>
    </x:row>
    <x:row r="253">
      <x:c r="A253" t="str">
        <x:v>EV-2026-248</x:v>
      </x:c>
      <x:c r="B253" t="str">
        <x:v>EEI-2026-012</x:v>
      </x:c>
      <x:c r="C253" s="21" t="n">
        <x:v>46294.50347222222</x:v>
      </x:c>
      <x:c r="D253" t="str">
        <x:v>Primary confirmation</x:v>
      </x:c>
      <x:c r="E253" t="str">
        <x:v>U.S. Department of War / Air Force</x:v>
      </x:c>
      <x:c r="F253" t="str">
        <x:v>Primary government</x:v>
      </x:c>
      <x:c r="G253" s="44" t="str">
        <x:v>https://www.war.gov/News/Contracts/Contract/Article/4613098/contracts-for-sept-28-2026/</x:v>
      </x:c>
      <x:c r="H253" s="44" t="str">
        <x:v>New award FA8556-26-C-B001 is a sole-source, not-to-exceed $20,699,334,581 multiyear AMRAAM contract through June 30, 2033; $85,715 of FY2026 weapons funds and $154,266,225 of FMS funds were obligated at award.</x:v>
      </x:c>
      <x:c r="I253" s="44" t="str">
        <x:v>Strengthens</x:v>
      </x:c>
      <x:c r="J253" s="44" t="n">
        <x:v>5</x:v>
      </x:c>
      <x:c r="K253" s="44" t="str">
        <x:v>Recipient Raytheon Co.; parent RTX Corp.; Air Force Life Cycle Management Center. New contract action, not a routine modification. Fixed-price incentive firm and firm-fixed-price undefinitized. FMS includes 16 named allies. NAICS/PSC and USAspending current/potential fields were not yet indexed at scan time and are left unresolved rather than inferred.</x:v>
      </x:c>
    </x:row>
    <x:row r="254">
      <x:c r="A254" t="str">
        <x:v>EV-2026-249</x:v>
      </x:c>
      <x:c r="B254" t="str">
        <x:v>EEI-2026-012</x:v>
      </x:c>
      <x:c r="C254" s="21" t="n">
        <x:v>46294.50347222222</x:v>
      </x:c>
      <x:c r="D254" t="str">
        <x:v>Primary confirmation</x:v>
      </x:c>
      <x:c r="E254" t="str">
        <x:v>RTX / Raytheon</x:v>
      </x:c>
      <x:c r="F254" t="str">
        <x:v>Primary company</x:v>
      </x:c>
      <x:c r="G254" s="44" t="str">
        <x:v>https://www.rtx.com/news/news-center/2026/09/28/rtxs-raytheon-awarded-20-7-billion-multi-year-contract-for-amraam-under-landmar</x:v>
      </x:c>
      <x:c r="H254" s="44" t="str">
        <x:v>RTX confirmed the five-year contract plus two option years and said production nearly doubled in 2025, with a goal of at least 1,900 AMRAAM missiles annually.</x:v>
      </x:c>
      <x:c r="I254" s="44" t="str">
        <x:v>Strengthens</x:v>
      </x:c>
      <x:c r="J254" s="44" t="n">
        <x:v>5</x:v>
      </x:c>
      <x:c r="K254" s="44" t="str">
        <x:v>Issuer announcement; confirm economics through obligations and filings rather than promotional language.</x:v>
      </x:c>
    </x:row>
    <x:row r="255">
      <x:c r="A255" t="str">
        <x:v>EV-2026-250</x:v>
      </x:c>
      <x:c r="B255" t="str">
        <x:v>EEI-2026-012</x:v>
      </x:c>
      <x:c r="C255" s="21" t="n">
        <x:v>46294.50347222222</x:v>
      </x:c>
      <x:c r="D255" t="str">
        <x:v>Independent confirmation</x:v>
      </x:c>
      <x:c r="E255" t="str">
        <x:v>Reuters</x:v>
      </x:c>
      <x:c r="F255" t="str">
        <x:v>High quality reporting</x:v>
      </x:c>
      <x:c r="G255" s="44" t="str">
        <x:v>https://www.reuters.com/business/aerospace-defense/pentagon-awards-rtxs-raytheon-207-billion-contract-for-amraam-missiles-amid-2026-09-28/</x:v>
      </x:c>
      <x:c r="H255" s="44" t="str">
        <x:v>Reuters confirmed the provisional multiyear award and reported that full-scale investment depends on Congressional appropriations.</x:v>
      </x:c>
      <x:c r="I255" s="44" t="str">
        <x:v>Strengthens with modifier</x:v>
      </x:c>
      <x:c r="J255" s="44" t="n">
        <x:v>4</x:v>
      </x:c>
      <x:c r="K255" s="44" t="str">
        <x:v>Independent confirmation and strongest funding contradiction. RTX 2025 sales exceeded $88 billion, making the ceiling about 23.5% of one year of company sales, but only about $154.35 million was initially obligated and revenue recognition spans years.</x:v>
      </x:c>
    </x:row>
    <x:row r="256">
      <x:c r="A256" t="str">
        <x:v>EV-2026-251</x:v>
      </x:c>
      <x:c r="B256" t="str">
        <x:v>EEI-2026-012</x:v>
      </x:c>
      <x:c r="C256" s="21" t="n">
        <x:v>46294.50347222222</x:v>
      </x:c>
      <x:c r="D256" t="str">
        <x:v>Market confirmation</x:v>
      </x:c>
      <x:c r="E256" t="str">
        <x:v>Wall Street Journal</x:v>
      </x:c>
      <x:c r="F256" t="str">
        <x:v>High quality reporting</x:v>
      </x:c>
      <x:c r="G256" s="44" t="str">
        <x:v>https://www.wsj.com/business/raytheon-gets-20-7-billion-contract-to-accelerate-amraam-missile-production-25f96d73</x:v>
      </x:c>
      <x:c r="H256" s="44" t="str">
        <x:v>RTX shares rose about 1.3% to $190 after hours following the award announcement.</x:v>
      </x:c>
      <x:c r="I256" s="44" t="str">
        <x:v>Modest confirmation</x:v>
      </x:c>
      <x:c r="J256" s="44" t="n">
        <x:v>4</x:v>
      </x:c>
      <x:c r="K256" s="44" t="str">
        <x:v>The reaction was positive but not a sustained breakout; current scan quote was about $187.66.</x:v>
      </x:c>
    </x:row>
    <x:row r="257">
      <x:c r="A257" t="str">
        <x:v>EV-2026-252</x:v>
      </x:c>
      <x:c r="B257"/>
      <x:c r="C257" s="21" t="n">
        <x:v>46294.50347222222</x:v>
      </x:c>
      <x:c r="D257" t="str">
        <x:v>Rejected corporate trigger</x:v>
      </x:c>
      <x:c r="E257" t="str">
        <x:v>Reuters</x:v>
      </x:c>
      <x:c r="F257" t="str">
        <x:v>High quality reporting</x:v>
      </x:c>
      <x:c r="G257" s="44" t="str">
        <x:v>https://www.reuters.com/business/ftse-100-rises-astraZeneca-lifts-healthcare-sector-2026-09-29/</x:v>
      </x:c>
      <x:c r="H257" s="44" t="str">
        <x:v>AstraZeneca announced a $2 billion investment in Summit Therapeutics and Summit shares jumped about 18.4%.</x:v>
      </x:c>
      <x:c r="I257" s="44" t="str">
        <x:v>Rejected as entry</x:v>
      </x:c>
      <x:c r="J257" s="44" t="n">
        <x:v>4</x:v>
      </x:c>
      <x:c r="K257" s="44" t="str">
        <x:v>A material oncology partnership, but the immediate price jump, clinical concentration and incomplete program economics create headline-chasing risk. No distinct thesis was opened without further primary clinical and transaction review.</x:v>
      </x:c>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3fdf9d27f72a463e"/>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271d3f23a444487f"/>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60.33</x:v>
      </x:c>
      <x:c r="K6" s="46" t="n">
        <x:f>I6*J6</x:f>
        <x:v>1054.535920293655</x:v>
      </x:c>
      <x:c r="L6" s="46" t="n">
        <x:f>K6-H6</x:f>
        <x:v>54.535920293654954</x:v>
      </x:c>
      <x:c r="M6" s="48" t="n">
        <x:f>L6/H6</x:f>
        <x:v>0.054535920293654956</x:v>
      </x:c>
      <x:c r="N6" s="30"/>
      <x:c r="O6" s="32"/>
      <x:c r="P6" s="32" t="str">
        <x:f>IF(OR(I6="",O6=""),"",I6*O6)</x:f>
      </x:c>
      <x:c r="Q6" s="32" t="str">
        <x:f>IF(P6="","",P6-H6)</x:f>
      </x:c>
      <x:c r="R6" s="29" t="str">
        <x:v>09/28/26 close: $60.33; position value $1,054.54; +$54.54 (+5.45%). BNO gained 1.14% for the session after the latest Hormuz reopening proposal was rejected. It remains the strongest position and cleanest Brent-linked expression.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150.01</x:v>
      </x:c>
      <x:c r="K7" s="46" t="n">
        <x:f>I7*J7</x:f>
        <x:v>1037.4135546334717</x:v>
      </x:c>
      <x:c r="L7" s="46" t="n">
        <x:f>K7-H7</x:f>
        <x:v>37.413554633471676</x:v>
      </x:c>
      <x:c r="M7" s="48" t="n">
        <x:f>L7/H7</x:f>
        <x:v>0.03741355463347168</x:v>
      </x:c>
      <x:c r="N7" s="30"/>
      <x:c r="O7" s="32"/>
      <x:c r="P7" s="32" t="str">
        <x:f>IF(OR(I7="",O7=""),"",I7*O7)</x:f>
      </x:c>
      <x:c r="Q7" s="32" t="str">
        <x:f>IF(P7="","",P7-H7)</x:f>
      </x:c>
      <x:c r="R7" s="29" t="str">
        <x:v>09/28/26 close: $150.01; position value $1,037.41; +$37.41 (+3.74%). USO gained 1.13% as the diplomatic setback restored part of crude's scarcity premium. Direct crude exposure continues to outperform XOP.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180.14</x:v>
      </x:c>
      <x:c r="K8" s="46" t="n">
        <x:f>I8*J8</x:f>
        <x:v>929.3231531159719</x:v>
      </x:c>
      <x:c r="L8" s="46" t="n">
        <x:f>K8-H8</x:f>
        <x:v>-70.67684688402812</x:v>
      </x:c>
      <x:c r="M8" s="48" t="n">
        <x:f>L8/H8</x:f>
        <x:v>-0.07067684688402812</x:v>
      </x:c>
      <x:c r="N8" s="30"/>
      <x:c r="O8" s="32"/>
      <x:c r="P8" s="32" t="str">
        <x:f>IF(OR(I8="",O8=""),"",I8*O8)</x:f>
      </x:c>
      <x:c r="Q8" s="32" t="str">
        <x:f>IF(P8="","",P8-H8)</x:f>
      </x:c>
      <x:c r="R8" s="29" t="str">
        <x:v>09/28/26 close: $180.14; position value $929.32; -$70.68 (-7.07%). XOP fell 0.75% despite gains in the direct crude funds, widening its expression shortfall.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d04b77c0981d4763"/>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 Dashboard sync: GitHub commit f91195d20b574ff0e2ce917134e5ea81112c1d97 succeeded. Render auto-deploy could not be independently verified because the connected Render session returned INVALID_ARGUMENT for both workspace and service queries; the public site is not represented as current.</x:v>
      </x:c>
    </x:row>
    <x:row r="25">
      <x:c r="A25" s="27" t="str">
        <x:v>RUN-2026-09-21-0826</x:v>
      </x:c>
      <x:c r="B25" s="54" t="n">
        <x:v>46286.35158564815</x:v>
      </x:c>
      <x:c r="C25" s="27" t="str">
        <x:v>Easy E Invest daily scan</x:v>
      </x:c>
      <x:c r="D25" s="29" t="str">
        <x:v>Separate reviews: energy market; 2026 midterm thesis; Motley Fool watch; plus cross-sector government awards, trade policy, macro, fixed income, healthcare, consumer, technology, defense, critical minerals, shipping and market confirmation</x:v>
      </x:c>
      <x:c r="E25" s="29" t="str">
        <x:v>Methodology and prior ledger; Reuters; Wall Street Journal; Associated Press; EIA and Indian government data as reported; USAspending and defense-award searches; public Motley Fool editorial pages; current market data</x:v>
      </x:c>
      <x:c r="F25" s="29" t="n">
        <x:v>9</x:v>
      </x:c>
      <x:c r="G25" s="29" t="n">
        <x:v>4</x:v>
      </x:c>
      <x:c r="H25" s="29" t="n">
        <x:v>1</x:v>
      </x:c>
      <x:c r="I25" s="29" t="str">
        <x:v>Yes</x:v>
      </x:c>
      <x:c r="J25" s="29" t="str">
        <x:v>Created EEI-2026-011, Gulf tanker shortage and VLCC freight, as Strong 4/5 with trading edge 1/5 and Entry Window WAIT after record freight, a large ship-to-ship shuttle system and Trafigura's tanker-fleet launch confirmed the mechanism. EEI-2026-002 advanced from Developing to Strong at confidence 4/5, with trading edge reduced to 2/5 and Entry Window WAIT: QatarEnergy disclosed a multi-year LNG repair burden and possible expansion delays, while Indian coal demand strengthened; alternative LNG supply and logistical constraints remain material contradictions. EEI-2026-009 remains Actionable 5/5, edge 1/5 and WAIT after EIA data extended the distillate-inventory shortage through most of 2027; record margins and mixed equity pricing argue against chasing. The separate midterm thesis received a factual Nevada policy observation but no chamber-control conclusion or ledger-score change. A new public Motley Fool Bloom Energy podcast was investigated and rejected as a repeated, already-priced catalyst; BMY, LULU and AVAV were unchanged. No new public-company USAspending award passed full confirmation and materiality checks. No real trade was made.</x:v>
      </x:c>
    </x:row>
    <x:row r="26">
      <x:c r="A26" s="27" t="str">
        <x:v>RUN-2026-09-21-1108</x:v>
      </x:c>
      <x:c r="B26" s="54" t="n">
        <x:v>46286.4643402778</x:v>
      </x:c>
      <x:c r="C26" s="27" t="str">
        <x:v>2026 midterm thesis check</x:v>
      </x:c>
      <x:c r="D26" s="29" t="str">
        <x:v>EEI-2026-003 only: congressional-control outlook, policy developments, breadth, volatility, rates, inflation, oil, earnings and candidate sectors</x:v>
      </x:c>
      <x:c r="E26" s="29" t="str">
        <x:v>Methodology and prior ledger; Reuters; Cook Political Report public ratings summary; delayed ETF market data; Federal Reserve commentary context</x:v>
      </x:c>
      <x:c r="F26" s="29" t="n">
        <x:v>0</x:v>
      </x:c>
      <x:c r="G26" s="29" t="n">
        <x:v>1</x:v>
      </x:c>
      <x:c r="H26" s="29" t="n">
        <x:v>0</x:v>
      </x:c>
      <x:c r="I26" s="29" t="str">
        <x:v>Yes</x:v>
      </x:c>
      <x:c r="J26" s="29" t="str">
        <x:v>No independent House or Senate control trigger emerged. Oil fell more than 3%, the 10-year yield moved below 5% and exchange breadth was positive, but SPY's AI-led gain substantially exceeded RSP while XLI, XLB and XLF lagged. XBI outperformed and IWM participated less strongly, providing limited confirmation outside mega-cap technology. The U.S.-China talks established an AI-safety dialogue but did not extend the November trade truce. EEI-2026-003 remains Developing; the investment-thesis confidence and trading-edge fields are unchanged; Entry Window WAIT remains inactive until Actionable. No automatic trade.</x:v>
      </x:c>
    </x:row>
    <x:row r="27">
      <x:c r="A27" s="27" t="str">
        <x:v>RUN-2026-09-22-0806</x:v>
      </x:c>
      <x:c r="B27" s="28" t="n">
        <x:v>46287.50418981481</x:v>
      </x:c>
      <x:c r="C27" s="27" t="str">
        <x:v>Easy E Invest daily scan</x:v>
      </x:c>
      <x:c r="D27" s="29" t="str">
        <x:v>Separate reviews: energy market; 2026 midterm thesis; Motley Fool watch; plus cross-sector government awards, industrial gas demand, geothermal, defense, technology, healthcare, shipping and market confirmation</x:v>
      </x:c>
      <x:c r="E27" s="29" t="str">
        <x:v>Methodology and prior ledger; Reuters; U.S. Army; U.S. Department of Energy; public Motley Fool editorial pages; company materials; current commodity and premarket data</x:v>
      </x:c>
      <x:c r="F27" s="29" t="n">
        <x:v>8</x:v>
      </x:c>
      <x:c r="G27" s="29" t="n">
        <x:v>3</x:v>
      </x:c>
      <x:c r="H27" s="29" t="n">
        <x:v>0</x:v>
      </x:c>
      <x:c r="I27" s="29" t="str">
        <x:v>Yes</x:v>
      </x:c>
      <x:c r="J27" s="29" t="str">
        <x:v>Saudi Arabia restarted the East-West Pipeline at a low rate and Iran signaled possible Hormuz reopening, producing the strongest current normalization evidence. EEI-2026-009 remains Actionable 5/5, edge 1/5 and WAIT because diesel prices and refined-product scarcity remain separately confirmed, while refining equities weakened. EEI-2026-011 remains Strong 4/5, edge 1/5 and WAIT: Venezuelan Aframax costs confirm global tanker scarcity, but pipeline restoration and possible route normalization directly challenge Gulf shuttle demand. EEI-2026-003 received a neutral factual update only; no House or Senate control conclusion was made. Public Motley Fool ideas on META, IONQ, ASTS and BNTX were investigated and rejected as new theses; BMY, LULU and AVAV were unchanged. The Lockheed $1.2 billion PrSM IDIQ and DOE $99 million geothermal selections did not clear parent-company materiality or final-award tests. No real trade was made. Render auto-deploy verification could not be completed because the connected Render session has no workspace selected. The connector requires an explicit user-confirmed workspace ID and does not permit an automated run to choose one; the public site is not represented as current.</x:v>
      </x:c>
    </x:row>
    <x:row r="28">
      <x:c r="A28" s="27" t="str">
        <x:v>RUN-2026-09-22-1128</x:v>
      </x:c>
      <x:c r="B28" s="54" t="n">
        <x:v>46287.64480324074</x:v>
      </x:c>
      <x:c r="C28" s="27" t="str">
        <x:v>2026 midterm thesis check</x:v>
      </x:c>
      <x:c r="D28" s="29" t="str">
        <x:v>EEI-2026-003 only: congressional-control outlook, policy developments, breadth, volatility, rates, inflation, oil, earnings and candidate sectors</x:v>
      </x:c>
      <x:c r="E28" s="29" t="str">
        <x:v>Methodology and prior ledger; Reuters; Cook Political Report public ratings summary; FactSet Earnings Insight; delayed ETF market data; volatility reporting</x:v>
      </x:c>
      <x:c r="F28" s="29" t="n">
        <x:v>0</x:v>
      </x:c>
      <x:c r="G28" s="29" t="n">
        <x:v>1</x:v>
      </x:c>
      <x:c r="H28" s="29" t="n">
        <x:v>0</x:v>
      </x:c>
      <x:c r="I28" s="29" t="str">
        <x:v>Yes</x:v>
      </x:c>
      <x:c r="J28" s="29" t="str">
        <x:v>No independently confirmed House or Senate control trigger emerged. Oil below $100, the 10-year yield below 5%, VIX near 14.8 and positive exchange breadth improved the macro and risk setting. XBI and XLV provided the clearest candidate follow-through, while XLB, CPER and IWM also participated. The central breadth test remained incomplete because RSP did not outperform SPY, XLI lagged and XLF fell sharply, while large technology stocks led the Nasdaq to an intraday record. EEI-2026-003 remains Developing; investment-thesis confidence and trading edge are unchanged; Entry Window WAIT remains inactive until Actionable. No automatic trade.</x:v>
      </x:c>
    </x:row>
    <x:row r="29">
      <x:c r="A29" s="27" t="str">
        <x:v>RUN-2026-09-23-0753</x:v>
      </x:c>
      <x:c r="B29" s="28" t="n">
        <x:v>46288.49553240741</x:v>
      </x:c>
      <x:c r="C29" s="27" t="str">
        <x:v>Easy E Invest daily scan</x:v>
      </x:c>
      <x:c r="D29" s="29" t="str">
        <x:v>Separate reviews: energy market; 2026 midterm thesis; Motley Fool watch; plus cross-sector government awards, transportation policy, biotechnology, semiconductors, defense, shipping and market confirmation</x:v>
      </x:c>
      <x:c r="E29" s="29" t="str">
        <x:v>Methodology and prior ledger; Reuters; U.S. Department of War; public USAspending searches; Viking Therapeutics primary materials; public Motley Fool editorial pages; current commodity and market data</x:v>
      </x:c>
      <x:c r="F29" s="29" t="n">
        <x:v>10</x:v>
      </x:c>
      <x:c r="G29" s="29" t="n">
        <x:v>3</x:v>
      </x:c>
      <x:c r="H29" s="29" t="n">
        <x:v>0</x:v>
      </x:c>
      <x:c r="I29" s="29" t="str">
        <x:v>Yes</x:v>
      </x:c>
      <x:c r="J29" s="29" t="str">
        <x:v>EEI-2026-009 remains Actionable with confidence 5/5, trading edge 1/5 and Entry Window WAIT. The European gasoil premium to Brent reached a record near $95 per barrel after the United States began examining diesel-export restrictions, but implementation could reduce U.S. refinery utilization and the listed refiner expressions weakened. EEI-2026-011 remains Strong 4/5, edge 1/5 and WAIT: exceptional freight gained further official confirmation, while a proposed international Hormuz mission and bypass-pipeline restoration increased normalization risk. EEI-2026-003 received a factual affordability and market-breadth update only; no House or Senate control conclusion was made and its existing fields remain unchanged. Public Motley Fool ideas on VKTX, MU, SNDK and NVDA were investigated and rejected as distinct theses after primary and market checks. BMY, LULU and AVAV had no meaningful new primary evidence. The Trideum $400 million IDIQ lacked a public-company mapping and complete USAspending detail; the proposed $30 billion aviation request was not an enacted award. No new thesis was created and no real trade was made.</x:v>
      </x:c>
    </x:row>
    <x:row r="30">
      <x:c r="A30" s="27" t="str">
        <x:v>RUN-2026-09-23-1113</x:v>
      </x:c>
      <x:c r="B30" s="54" t="n">
        <x:v>46288.634351851855</x:v>
      </x:c>
      <x:c r="C30" s="27" t="str">
        <x:v>2026 midterm thesis check</x:v>
      </x:c>
      <x:c r="D30" s="29" t="str">
        <x:v>EEI-2026-003 only: congressional-control outlook, policy developments, breadth, volatility, rates, inflation, oil, earnings and candidate sectors</x:v>
      </x:c>
      <x:c r="E30" s="29" t="str">
        <x:v>Methodology and current ledger; Reuters; current ETF market data; live U.S. Treasury market data; FactSet earnings context</x:v>
      </x:c>
      <x:c r="F30" s="29" t="n">
        <x:v>0</x:v>
      </x:c>
      <x:c r="G30" s="29" t="n">
        <x:v>2</x:v>
      </x:c>
      <x:c r="H30" s="29" t="n">
        <x:v>0</x:v>
      </x:c>
      <x:c r="I30" s="29" t="str">
        <x:v>Yes</x:v>
      </x:c>
      <x:c r="J30" s="29" t="str">
        <x:v>No independently confirmed House or Senate control trigger emerged. The morning's small-cap, health-care and biotech strength reversed by the dedicated check: IWM and XBI fell sharply, while CPER and XLB also weakened. RSP fell slightly less than SPY and XLI held positive, providing only narrow relative confirmation. Brent remained below $100, but the 10-year Treasury yield returned above 5%, strengthening the rates contradiction. EEI-2026-003 remains Developing at confidence 3/5 and trading edge 1/5. Entry Window WAIT remains inactive until Actionable. No automatic trade.</x:v>
      </x:c>
    </x:row>
    <x:row r="31">
      <x:c r="A31" s="27" t="str">
        <x:v>RUN-2026-09-24-0826</x:v>
      </x:c>
      <x:c r="B31" s="28" t="n">
        <x:v>46289.51803240741</x:v>
      </x:c>
      <x:c r="C31" s="27" t="str">
        <x:v>Easy E Invest daily scan</x:v>
      </x:c>
      <x:c r="D31" s="29" t="str">
        <x:v>Separate reviews: energy market; 2026 midterm thesis; Motley Fool watch; plus cross-sector government awards, defense, healthcare, consumer, technology, sanctions, geopolitics, supply chains and market confirmation</x:v>
      </x:c>
      <x:c r="E31" s="29" t="str">
        <x:v>Methodology and current ledger; Reuters; U.S. Army; public USAspending and contract searches; Intuitive Surgical primary results; Nvidia public company statement; public Motley Fool editorial pages; current commodity and inventory data</x:v>
      </x:c>
      <x:c r="F31" s="29" t="n">
        <x:v>8</x:v>
      </x:c>
      <x:c r="G31" s="29" t="n">
        <x:v>2</x:v>
      </x:c>
      <x:c r="H31" s="29" t="n">
        <x:v>0</x:v>
      </x:c>
      <x:c r="I31" s="29" t="str">
        <x:v>Yes</x:v>
      </x:c>
      <x:c r="J31" s="29" t="str">
        <x:v>EEI-2026-009 remains Actionable at confidence 5/5, trading edge 1/5 and Entry Window WAIT. Serbia's emergency diesel-reserve release, impaired Danube imports, near-record European diesel and falling U.S. distillate stocks strengthened physical confirmation; the U.S. export-ban denial and normalization paths limited incremental edge. EEI-2026-003 remains Developing at 3/5, edge 1/5 and WAIT inactive until Actionable: Reuters/Ipsos showed a meaningful 43%-35% Democratic generic-ballot lead and record-low presidential approval, but national polling does not resolve House districts, Senate races or market breadth. Public Motley Fool ideas on AMZN/Anthropic, NVDA/SpaceX and ISRG were investigated and rejected as distinct theses after primary, materiality, valuation and entry checks. BMY, LULU and AVAV had no meaningful new primary evidence. A Palantir Army order was stale and immaterial; no new USAspending public-company award passed complete confirmation and materiality checks. No thesis matured for formal outcome evaluation and no real trade was made.</x:v>
      </x:c>
    </x:row>
    <x:row r="32">
      <x:c r="A32" s="27" t="str">
        <x:v>RUN-2026-09-24-1137</x:v>
      </x:c>
      <x:c r="B32" s="28" t="n">
        <x:v>46289.65069444444</x:v>
      </x:c>
      <x:c r="C32" s="27" t="str">
        <x:v>2026 midterm thesis check EEI-2026-003 only: congressional-control outlook, policy developments, breadth, volatility, rates, inflation, oil, earnings and candidate sectors</x:v>
      </x:c>
      <x:c r="D32" s="29" t="str">
        <x:v>Methodology and current ledger; Reuters/Ipsos; Reuters; current ETF market data; FactSet earnings context</x:v>
      </x:c>
      <x:c r="E32" s="29" t="n">
        <x:v>0</x:v>
      </x:c>
      <x:c r="F32" s="29" t="n">
        <x:v>2</x:v>
      </x:c>
      <x:c r="G32" s="29" t="n">
        <x:v>0</x:v>
      </x:c>
      <x:c r="H32" s="29" t="str">
        <x:v>Yes</x:v>
      </x:c>
      <x:c r="I32" s="29" t="str">
        <x:v>The Reuters/Ipsos poll strengthens the probability of a political shift but does not establish House or Senate control. Live market confirmation weakened: RSP lagged SPY and small caps, industrials, materials, biotech, copper and financials were negative, while only defensive XLV advanced. The 10-year yield remained above 5% and Brent near $105.50, preserving the inflation-to-rates contradiction. EEI-2026-003 remains Developing, financial-thesis confidence 3/5, trading edge 1/5; Entry Window WAIT inactive. No automatic trade.</x:v>
      </x:c>
      <x:c r="J32" s="29" t="str">
        <x:v>Dedicated check completed; frozen initial prediction preserved.</x:v>
      </x:c>
    </x:row>
    <x:row r="33">
      <x:c r="A33" s="27" t="str">
        <x:v>RUN-2026-09-25-0808</x:v>
      </x:c>
      <x:c r="B33" s="28" t="n">
        <x:v>46290.50555555556</x:v>
      </x:c>
      <x:c r="C33" s="27" t="str">
        <x:v>Easy E Invest daily scan</x:v>
      </x:c>
      <x:c r="D33" s="29" t="str">
        <x:v>Separate reviews: energy market; 2026 midterm thesis; Motley Fool watch; plus cross-sector government awards, policy, sanctions, supply chains, healthcare, consumer, housing, technology and market confirmation</x:v>
      </x:c>
      <x:c r="E33" s="29" t="str">
        <x:v>Methodology and current ledger; Reuters; U.S. government and defense-award searches; public USAspending context; company and SEC materials; FDA advisory-committee reporting; public Motley Fool editorial pages; prior-close market data</x:v>
      </x:c>
      <x:c r="F33" s="29" t="n">
        <x:v>5</x:v>
      </x:c>
      <x:c r="G33" s="29" t="n">
        <x:v>0</x:v>
      </x:c>
      <x:c r="H33" s="29" t="n">
        <x:v>0</x:v>
      </x:c>
      <x:c r="I33" s="29" t="str">
        <x:v>No</x:v>
      </x:c>
      <x:c r="J33" s="29" t="str">
        <x:v>No qualifying change. Energy and tanker evidence remained within the existing scarcity-versus-normalization balance, so EEI-2026-009 and EEI-2026-011 stayed WAIT with no field changes. No new House or Senate control evidence or market-breadth confirmation changed EEI-2026-003. Public Motley Fool items on Target, Lennar, GRAIL, Robinhood and Micron were screened; the first four were investigated as potential candidates and rejected as distinct theses because the catalyst was already public, operating confirmation was incomplete, or the price move left no favorable entry. Micron repeated a previously reviewed catalyst. BMY, LULU and AVAV had no new primary evidence. No public-company USAspending or defense award passed the new-award, confirmation and materiality tests. No thesis matured for formal outcome evaluation and no real trade was made.</x:v>
      </x:c>
    </x:row>
    <x:row r="34">
      <x:c r="A34" s="27" t="str">
        <x:v>RUN-2026-09-25-1153</x:v>
      </x:c>
      <x:c r="B34" s="28" t="n">
        <x:v>46290.66180555556</x:v>
      </x:c>
      <x:c r="C34" s="27" t="str">
        <x:v>2026 midterm thesis check</x:v>
      </x:c>
      <x:c r="D34" s="29" t="str">
        <x:v>EEI-2026-003 only: congressional-control outlook, policy developments, breadth, volatility, rates, inflation, oil, earnings and candidate sectors</x:v>
      </x:c>
      <x:c r="E34" s="29" t="str">
        <x:v>Methodology and current ledger; Reuters; Reuters/Ipsos; current ETF market data; FactSet earnings context</x:v>
      </x:c>
      <x:c r="F34" s="29" t="n">
        <x:v>0</x:v>
      </x:c>
      <x:c r="G34" s="29" t="n">
        <x:v>2</x:v>
      </x:c>
      <x:c r="H34" s="29" t="n">
        <x:v>0</x:v>
      </x:c>
      <x:c r="I34" s="29" t="str">
        <x:v>Yes</x:v>
      </x:c>
      <x:c r="J34" s="29" t="str">
        <x:v>Competitive-state polls and campaign behavior in Iowa, Kansas and Nebraska independently strengthen the political-shift trigger beyond the national generic ballot, but no chamber-control outcome is established. XLI showed the clearest relative strength; RSP still lagged SPY and IWM, XBI, XLB and CPER were negative. The 10-year yield above 5% and high oil-linked inflation risk remain adverse modifiers. EEI-2026-003 remains Developing at financial-thesis confidence 3/5 and trading edge 1/5. Entry Window WAIT remains inactive until Actionable. No automatic trade.</x:v>
      </x:c>
    </x:row>
    <x:row r="35">
      <x:c r="A35" s="27" t="str">
        <x:v>RUN-2026-09-26-0811</x:v>
      </x:c>
      <x:c r="B35" s="28" t="n">
        <x:v>46291.50768518519</x:v>
      </x:c>
      <x:c r="C35" s="27" t="str">
        <x:v>Easy E Invest daily scan</x:v>
      </x:c>
      <x:c r="D35" s="29" t="str">
        <x:v>Cross-sector: energy, 2026 midterms, Motley Fool follow-through, macro, rates, commodities, defense, healthcare, technology, regulation, sanctions, supply chains and government awards</x:v>
      </x:c>
      <x:c r="E35" s="29" t="str">
        <x:v>Cook Political Report; Reuters; public market data; USAspending and federal award reporting; Congress and regulatory sources; SEC and issuer materials; public Motley Fool editorial feed</x:v>
      </x:c>
      <x:c r="F35" s="29" t="n">
        <x:v>6</x:v>
      </x:c>
      <x:c r="G35" s="29" t="n">
        <x:v>1</x:v>
      </x:c>
      <x:c r="H35" s="29" t="n">
        <x:v>0</x:v>
      </x:c>
      <x:c r="I35" s="29" t="str">
        <x:v>Yes</x:v>
      </x:c>
      <x:c r="J35" s="29" t="str">
        <x:v>EEI-2026-003 promoted from Developing to Strong and confidence from 3/5 to 4/5 after Cook shifted 15 House races toward Democrats and explicitly called Republicans on track to lose the House. Trading edge remains 1/5 and Entry Window WAIT because Senate control is a toss-up and breadth is incomplete. Energy had no material change. Five public Motley Fool idea clusters were investigated and rejected as distinct theses for weak novelty, already-priced risk or lack of material catalyst. No new material USAspending award passed new-award, independent-confirmation and company-materiality tests. No horizon matured for formal outcome scoring.</x:v>
      </x:c>
    </x:row>
    <x:row r="36">
      <x:c r="A36" s="27" t="str">
        <x:v>RUN-2026-09-26-1145</x:v>
      </x:c>
      <x:c r="B36" s="54" t="n">
        <x:v>46291.65670138889</x:v>
      </x:c>
      <x:c r="C36" s="27" t="str">
        <x:v>2026 midterm thesis check</x:v>
      </x:c>
      <x:c r="D36" s="29" t="str">
        <x:v>EEI-2026-003 only: congressional-control outlook, policy developments, breadth, volatility, rates, inflation, oil, earnings and candidate sectors</x:v>
      </x:c>
      <x:c r="E36" s="29" t="str">
        <x:v>Methodology and current ledger; Cook Political Report; Reuters; Friday closing market evidence already recorded in the ledger</x:v>
      </x:c>
      <x:c r="F36" s="29" t="n">
        <x:v>0</x:v>
      </x:c>
      <x:c r="G36" s="29" t="n">
        <x:v>0</x:v>
      </x:c>
      <x:c r="H36" s="29" t="n">
        <x:v>0</x:v>
      </x:c>
      <x:c r="I36" s="29" t="str">
        <x:v>No</x:v>
      </x:c>
      <x:c r="J36" s="29" t="str">
        <x:v>No meaningful change since the September 26 morning scan. Cook's 15 House rating shifts and House-majority assessment remain the strongest independent political confirmation, while Cook still describes Senate control as a toss-up. U.S. cash markets are closed; Friday's final evidence remains mixed, with XLI leading but RSP and IWM lagging SPY and XBI declining. EEI-2026-003 remains Strong at financial-thesis confidence 4/5 and trading edge 1/5. Entry Window remains WAIT and inactive because the thesis is not Actionable. Oil and rates remain separate macro modifiers. No automatic trade.</x:v>
      </x:c>
    </x:row>
    <x:row r="37">
      <x:c r="A37" s="27" t="str">
        <x:v>RUN-2026-09-27-0816</x:v>
      </x:c>
      <x:c r="B37" s="28" t="n">
        <x:v>46292.51123842593</x:v>
      </x:c>
      <x:c r="C37" s="27" t="str">
        <x:v>Easy E Invest daily scan</x:v>
      </x:c>
      <x:c r="D37" s="29" t="str">
        <x:v>Separate reviews: energy market; 2026 midterm thesis; Motley Fool watch; plus cross-sector government awards, policy, sanctions, supply chains, healthcare, technology, private credit and market confirmation</x:v>
      </x:c>
      <x:c r="E37" s="29" t="str">
        <x:v>Methodology and current ledger; Reuters; Cook Political Report context; USAspending and federal contract searches; SEC and issuer materials; public Motley Fool editorials; Friday closing market evidence</x:v>
      </x:c>
      <x:c r="F37" s="29" t="n">
        <x:v>4</x:v>
      </x:c>
      <x:c r="G37" s="29" t="n">
        <x:v>1</x:v>
      </x:c>
      <x:c r="H37" s="29" t="n">
        <x:v>0</x:v>
      </x:c>
      <x:c r="I37" s="29" t="str">
        <x:v>No</x:v>
      </x:c>
      <x:c r="J37" s="29" t="str">
        <x:v>No qualifying notification change. Energy scarcity and tanker theses remained within the existing physical-tightness versus normalization balance; no stage, confidence, edge or Entry Window changed. The midterm thesis had no new chamber-control or market evidence because U.S. cash markets were closed. Detailed ZENBEXUS Phase 3 results strengthened clinical support for EEI-2026-005, but progression-free survival, safety, commercial scale and patent-cliff offset remain unresolved; BMY stays Developing 3/5, edge 3/5, WAIT. New public Motley Fool ideas on AVGO, GEV and OWL were independently checked and rejected as distinct theses because catalysts were already public or risk/valuation prevented a clean unpriced edge. LULU and AVAV had no new primary evidence. No new public-company USAspending award passed new-award, confirmation and materiality tests. No thesis horizon matured for outcome scoring. No real trade was recommended or executed.</x:v>
      </x:c>
    </x:row>
    <x:row r="38">
      <x:c r="A38" s="27" t="str">
        <x:v>RUN-2026-09-27-1114</x:v>
      </x:c>
      <x:c r="B38" s="54" t="n">
        <x:v>46292.63491898148</x:v>
      </x:c>
      <x:c r="C38" s="27" t="str">
        <x:v>2026 midterm thesis check</x:v>
      </x:c>
      <x:c r="D38" s="29" t="str">
        <x:v>EEI-2026-003 only: congressional-control outlook, policy developments, breadth, volatility, rates, inflation, oil, earnings and candidate sectors</x:v>
      </x:c>
      <x:c r="E38" s="29" t="str">
        <x:v>Methodology and current ledger; Reuters; Cook Political Report; Friday closing market evidence already recorded in the ledger</x:v>
      </x:c>
      <x:c r="F38" s="29" t="n">
        <x:v>0</x:v>
      </x:c>
      <x:c r="G38" s="29" t="n">
        <x:v>0</x:v>
      </x:c>
      <x:c r="H38" s="29" t="n">
        <x:v>0</x:v>
      </x:c>
      <x:c r="I38" s="29" t="str">
        <x:v>No</x:v>
      </x:c>
      <x:c r="J38" s="29" t="str">
        <x:v>No meaningful change since the September 27 morning scan. No new independent House or Senate control evidence, enacted policy catalyst or market confirmation emerged. Cook's House assessment and Senate toss-up remain the standing political evidence. U.S. cash markets are closed, so Friday's mixed tape remains the latest test: XLI led, but RSP and IWM lagged SPY and XBI declined. EEI-2026-003 remains Strong at financial-thesis confidence 4/5 and trading edge 1/5. Entry Window remains WAIT and inactive because the thesis is not Actionable. Oil, inflation and rates remain separate macro modifiers. No automatic trade.</x:v>
      </x:c>
    </x:row>
    <x:row r="39">
      <x:c r="A39" s="27" t="str">
        <x:v>RUN-2026-09-28-0757</x:v>
      </x:c>
      <x:c r="B39" s="28" t="n">
        <x:v>46293.498344907406</x:v>
      </x:c>
      <x:c r="C39" s="27" t="str">
        <x:v>Easy E Invest daily scan</x:v>
      </x:c>
      <x:c r="D39" s="29" t="str">
        <x:v>Separate reviews: energy market; 2026 midterm thesis; Motley Fool watch; plus government awards, policy, sanctions, supply chains, macro, rates, metals, healthcare, technology and market confirmation</x:v>
      </x:c>
      <x:c r="E39" s="29" t="str">
        <x:v>Methodology and current ledger; Reuters; USAspending and federal award searches; SEC and issuer materials; public Motley Fool editorials; premarket commodity, rates and global-market data</x:v>
      </x:c>
      <x:c r="F39" s="29" t="n">
        <x:v>7</x:v>
      </x:c>
      <x:c r="G39" s="29" t="n">
        <x:v>2</x:v>
      </x:c>
      <x:c r="H39" s="29" t="n">
        <x:v>0</x:v>
      </x:c>
      <x:c r="I39" s="29" t="str">
        <x:v>No</x:v>
      </x:c>
      <x:c r="J39" s="29" t="str">
        <x:v>No qualifying notification change. EEI-2026-009 remains Actionable at 5/5 confidence, 1/5 trading edge and Entry Window WAIT: oil rebounded about 3.8% after the U.S. rejected Iran's proposal, but Middle East crude exports reached 12.8 million barrels per day and talks continue. EEI-2026-011 remains Strong / WAIT because export recovery raises normalization risk and no new verified VLCC-rate or listed-equity confirmation improved entry quality. EEI-2026-003 had no new independent control or breadth evidence before the U.S. cash-market open. Public Motley Fool ideas on LLY, WMB, AXP, ORCL/CRM, NVDA/SPCX and NFLX were investigated and rejected as distinct theses because their catalysts were already public, promotional or valuation/entry risk left no unpriced edge; a diesel-policy article repeated existing evidence. BMY, LULU and AVAV had no new primary evidence that changed their states. No new USAspending award passed the new-award, confirmation and materiality tests. No horizon matured for outcome scoring, and no real trade was recommended or executed.</x:v>
      </x:c>
    </x:row>
    <x:row r="40">
      <x:c r="A40" s="27" t="str">
        <x:v>RUN-2026-09-28-1105</x:v>
      </x:c>
      <x:c r="B40" s="54" t="n">
        <x:v>46293.62850694445</x:v>
      </x:c>
      <x:c r="C40" s="27" t="str">
        <x:v>2026 midterm thesis check</x:v>
      </x:c>
      <x:c r="D40" s="29" t="str">
        <x:v>EEI-2026-003 only: congressional-control outlook, policy developments, breadth, volatility, rates, inflation, oil, earnings and candidate sectors</x:v>
      </x:c>
      <x:c r="E40" s="29" t="str">
        <x:v>Methodology and current ledger; Cook Political Report; Reuters; Reuters/Ipsos; current fund market data; FactSet earnings context</x:v>
      </x:c>
      <x:c r="F40" s="29" t="n">
        <x:v>0</x:v>
      </x:c>
      <x:c r="G40" s="29" t="n">
        <x:v>3</x:v>
      </x:c>
      <x:c r="H40" s="29" t="n">
        <x:v>0</x:v>
      </x:c>
      <x:c r="I40" s="29" t="str">
        <x:v>Yes</x:v>
      </x:c>
      <x:c r="J40" s="29" t="str">
        <x:v>No stage change. Republican spending in at least 39 additional House races independently supports the House-shift signal, and Democratic oversight plans clarify a conditional policy consequence. Market confirmation weakened: Brent rose near $108.50, the 10-year yield near 5.22%, and the tracked broad and cyclical candidates were lower; RSP held up slightly better than SPY, while only XLV and XBI were positive and VIXY rose. EEI-2026-003 remains Strong at financial-thesis confidence 4/5 and trading edge 1/5. Entry Window remains WAIT and inactive because the thesis is not Actionable. RSP versus SPY remains the central test; XLV/XBI are independent sector watches, not confirmed midterm expressions. Oil and Hormuz remain separate modifiers. No automatic trade.</x:v>
      </x:c>
    </x:row>
    <x:row r="41">
      <x:c r="A41" s="27" t="str">
        <x:v>RUN-2026-09-29-0805</x:v>
      </x:c>
      <x:c r="B41" s="28" t="n">
        <x:v>46294.50347222222</x:v>
      </x:c>
      <x:c r="C41" s="27" t="str">
        <x:v>Easy E Invest daily scan</x:v>
      </x:c>
      <x:c r="D41" s="29" t="str">
        <x:v>Separate reviews: energy market; 2026 midterm thesis; Motley Fool watch; plus government awards, defense, macro, rates, technology, healthcare, sanctions, supply chains and corporate events</x:v>
      </x:c>
      <x:c r="E41" s="29" t="str">
        <x:v>Methodology and current ledger; Department of War and RTX primary records; USAspending public search; Reuters; Associated Press; Cook Political Report; SEC and issuer materials; public Motley Fool editorials; current market data</x:v>
      </x:c>
      <x:c r="F41" s="29" t="n">
        <x:v>7</x:v>
      </x:c>
      <x:c r="G41" s="29" t="n">
        <x:v>5</x:v>
      </x:c>
      <x:c r="H41" s="29" t="n">
        <x:v>0</x:v>
      </x:c>
      <x:c r="I41" s="29" t="str">
        <x:v>Yes</x:v>
      </x:c>
      <x:c r="J41" s="29" t="str">
        <x:v>Created EEI-2026-012 for RTX AMRAAM production as Strong 4/5 with trading edge 1/5 and Entry Window WAIT. The $20.699 billion ceiling is material, but only about $154.35 million was obligated at award, full funding depends on Congress and the ramp was partly anticipated. Energy, tanker and midterm evidence was updated without changing status fields. A public Alphabet Motley Fool idea and an AstraZeneca/Summit corporate trigger were investigated and rejected as distinct entries. No real trade was recommended or executed.</x:v>
      </x:c>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3b36bfa7ac11458f"/>
  </x:tableParts>
</x:worksheet>
</file>