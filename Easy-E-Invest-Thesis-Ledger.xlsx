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e39cd0f03a64e10" /></Relationships>
</file>

<file path=xl/workbook.xml><?xml version="1.0" encoding="utf-8"?>
<x:workbook xmlns:x="http://schemas.openxmlformats.org/spreadsheetml/2006/main">
  <x:sheets>
    <x:sheet xmlns:r="http://schemas.openxmlformats.org/officeDocument/2006/relationships" name="Summary" sheetId="1" r:id="R1d8c61333c7f452b"/>
    <x:sheet xmlns:r="http://schemas.openxmlformats.org/officeDocument/2006/relationships" name="Thesis Ledger" sheetId="2" r:id="R85fca9cf33d94eff"/>
    <x:sheet xmlns:r="http://schemas.openxmlformats.org/officeDocument/2006/relationships" name="Evidence Log" sheetId="3" r:id="Rc51d58e448e24922"/>
    <x:sheet xmlns:r="http://schemas.openxmlformats.org/officeDocument/2006/relationships" name="Source Registry" sheetId="4" r:id="Rfb26209afb1b47df"/>
    <x:sheet xmlns:r="http://schemas.openxmlformats.org/officeDocument/2006/relationships" name="Paper Trades" sheetId="5" r:id="Rc8b24b7d202b47c9"/>
    <x:sheet xmlns:r="http://schemas.openxmlformats.org/officeDocument/2006/relationships" name="Scan Runs" sheetId="6" r:id="Rf89148f40d4143e8"/>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xf numFmtId="209" fontId="0" fillId="0" borderId="0"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5f53589373244cc" /><Relationship Type="http://schemas.openxmlformats.org/officeDocument/2006/relationships/theme" Target="/xl/theme/theme1.xml" Id="R0f7e61f3fbdc4258" /><Relationship Type="http://schemas.openxmlformats.org/officeDocument/2006/relationships/sharedStrings" Target="/xl/sharedStrings.xml" Id="R967b6d2f690347fa" /><Relationship Type="http://schemas.openxmlformats.org/officeDocument/2006/relationships/worksheet" Target="/xl/worksheets/sheet1.xml" Id="R1d8c61333c7f452b" /><Relationship Type="http://schemas.openxmlformats.org/officeDocument/2006/relationships/worksheet" Target="/xl/worksheets/sheet2.xml" Id="R85fca9cf33d94eff" /><Relationship Type="http://schemas.openxmlformats.org/officeDocument/2006/relationships/worksheet" Target="/xl/worksheets/sheet3.xml" Id="Rc51d58e448e24922" /><Relationship Type="http://schemas.openxmlformats.org/officeDocument/2006/relationships/worksheet" Target="/xl/worksheets/sheet4.xml" Id="Rfb26209afb1b47df" /><Relationship Type="http://schemas.openxmlformats.org/officeDocument/2006/relationships/worksheet" Target="/xl/worksheets/sheet5.xml" Id="Rc8b24b7d202b47c9" /><Relationship Type="http://schemas.openxmlformats.org/officeDocument/2006/relationships/worksheet" Target="/xl/worksheets/sheet6.xml" Id="Rf89148f40d4143e8"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58a50e34bb4d4c01" /></Relationships>
</file>

<file path=xl/worksheets/_rels/sheet3.xml.rels>&#65279;<?xml version="1.0" encoding="utf-8"?><Relationships xmlns="http://schemas.openxmlformats.org/package/2006/relationships"><Relationship Type="http://schemas.openxmlformats.org/officeDocument/2006/relationships/table" Target="/xl/tables/table2.xml" Id="Rd27d298b8ce14e82" /></Relationships>
</file>

<file path=xl/worksheets/_rels/sheet4.xml.rels>&#65279;<?xml version="1.0" encoding="utf-8"?><Relationships xmlns="http://schemas.openxmlformats.org/package/2006/relationships"><Relationship Type="http://schemas.openxmlformats.org/officeDocument/2006/relationships/table" Target="/xl/tables/table3.xml" Id="R89cb9788b3de44ca" /></Relationships>
</file>

<file path=xl/worksheets/_rels/sheet5.xml.rels>&#65279;<?xml version="1.0" encoding="utf-8"?><Relationships xmlns="http://schemas.openxmlformats.org/package/2006/relationships"><Relationship Type="http://schemas.openxmlformats.org/officeDocument/2006/relationships/table" Target="/xl/tables/table4.xml" Id="Rc476ab1ecd644124" /></Relationships>
</file>

<file path=xl/worksheets/_rels/sheet6.xml.rels>&#65279;<?xml version="1.0" encoding="utf-8"?><Relationships xmlns="http://schemas.openxmlformats.org/package/2006/relationships"><Relationship Type="http://schemas.openxmlformats.org/officeDocument/2006/relationships/table" Target="/xl/tables/table5.xml" Id="Rff2ef4fb6a5e4c99"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14</x:v>
      </x:c>
      <x:c r="C6" s="1"/>
      <x:c r="D6" s="1"/>
      <x:c r="E6" s="1"/>
      <x:c r="F6" s="1"/>
      <x:c r="G6" s="1"/>
      <x:c r="H6" s="1"/>
      <x:c r="I6" s="1"/>
      <x:c r="J6" s="1"/>
    </x:row>
    <x:row r="7">
      <x:c r="A7" s="1" t="str">
        <x:v>Open theses</x:v>
      </x:c>
      <x:c r="B7" s="40" t="n">
        <x:f>COUNTIFS('Thesis Ledger'!A6:A200,"&lt;&gt;",'Thesis Ledger'!F6:F200,"&lt;&gt;Closed",'Thesis Ledger'!F6:F200,"&lt;&gt;Invalidated")</x:f>
        <x:v>12</x:v>
      </x:c>
      <x:c r="C7" s="1"/>
      <x:c r="D7" s="1"/>
      <x:c r="E7" s="1"/>
      <x:c r="F7" s="1"/>
      <x:c r="G7" s="1"/>
      <x:c r="H7" s="1"/>
      <x:c r="I7" s="1"/>
      <x:c r="J7" s="1"/>
    </x:row>
    <x:row r="8">
      <x:c r="A8" s="1" t="str">
        <x:v>Evaluated theses</x:v>
      </x:c>
      <x:c r="B8" s="40" t="n">
        <x:f>COUNT('Thesis Ledger'!AE6:AE200)</x:f>
        <x:v>2</x:v>
      </x:c>
      <x:c r="C8" s="1"/>
      <x:c r="D8" s="1"/>
      <x:c r="E8" s="1"/>
      <x:c r="F8" s="1"/>
      <x:c r="G8" s="1"/>
      <x:c r="H8" s="1"/>
      <x:c r="I8" s="1"/>
      <x:c r="J8" s="1"/>
    </x:row>
    <x:row r="9">
      <x:c r="A9" s="1" t="str">
        <x:v>Average prediction score</x:v>
      </x:c>
      <x:c r="B9" s="55" t="n">
        <x:f>IFERROR(AVERAGE('Thesis Ledger'!AE6:AE200),"")</x:f>
        <x:v>0.8</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WAIT</x:v>
      </x:c>
      <x:c r="H14" s="13" t="n">
        <x:f>'Thesis Ledger'!D7</x:f>
        <x:v>46275</x:v>
      </x:c>
      <x:c r="I14" s="1" t="str">
        <x:f>'Thesis Ledger'!H7</x:f>
        <x:v>Coal demand from fuel switching</x:v>
      </x:c>
      <x:c r="J14" s="13" t="n">
        <x:f>'Thesis Ledger'!W7</x:f>
        <x:v>46310</x:v>
      </x:c>
    </x:row>
    <x:row r="15">
      <x:c r="A15" s="1" t="str">
        <x:f>'Thesis Ledger'!A8</x:f>
        <x:v>EEI-2026-003</x:v>
      </x:c>
      <x:c r="B15" s="1" t="str">
        <x:f>'Thesis Ledger'!B8</x:f>
        <x:v>2026 midterm political shift</x:v>
      </x:c>
      <x:c r="C15" s="1" t="str">
        <x:f>'Thesis Ledger'!C8</x:f>
        <x:v>Multi-sector</x:v>
      </x:c>
      <x:c r="D15" s="1" t="str">
        <x:f>'Thesis Ledger'!F8</x:f>
        <x:v>Strong</x:v>
      </x:c>
      <x:c r="E15" s="1" t="n">
        <x:f>'Thesis Ledger'!K8</x:f>
        <x:v>4</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WAIT</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 September 30: QatarEnergy extended force majeure for Edison deliveries into early December and for some Asian clients into November, showing that visible vessel transits have not restored contracted LNG supply.</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 September 29 contradiction: visible Qatar-linked LNG tanker transits resumed after none were observed in August, showing partial logistical normalization. Force majeure and damaged-train constraints remain, so this does not yet invalidate the multi-year supply mechanism. September 30 contradiction: more Qatar-linked LNG tankers have resumed visible Hormuz transits, indicating partial route normalization even while force majeure remains in place. October 2 contradiction: September LNG shipments through Hormuz increased to 19-21 cargoes, and S&amp;P Global said sustained activity could restore October flows to about 25% of pre-war levels. Dark transits, naval-escort costs and winter escalation risk keep normalization incomplete.</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 September 29: resumed visible LNG transits weaken the scarcity signal at the margin, while no clean coal-price or public-equity confirmation justifies an entry. September 30: route evidence is mixed. Visible Qatar-linked transits increased, but force majeure remains extended into November or December for some customers. The supply mechanism remains Strong, while the investable mapping and entry remain unconfirmed. October 2: higher LNG transit counts strengthen the normalization countercase, but flows remain far below pre-war levels and do not yet supply a clean coal or public-equity entry signal.</x:v>
      </x:c>
      <x:c r="T7" s="29" t="str">
        <x:v>Conditional research only: COAL for diversified producer exposure, or coal futures for a cleaner commodity expression where suitable. Producer concentration, fund liquidity, coal-grade mismatch, futures roll, policy and headline risks remain material. WAIT for sustained coal-price or producer confirmation after the LNG shock.</x:v>
      </x:c>
      <x:c r="U7" s="29" t="str">
        <x:v>Hormuz reopens and Qatari LNG operations normalize, alternative LNG supply fully offsets lost volumes, coal imports and burn fail to rise, or renewable output and demand destruction absorb the shock.</x:v>
      </x:c>
      <x:c r="V7" s="43" t="n">
        <x:v>46275</x:v>
      </x:c>
      <x:c r="W7" s="43" t="n">
        <x:v>46310</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October 1 checkpoint: partial route normalization and continued customer force majeure remain offsetting evidence; stage stays Strong at 4/5 confidence, 2/5 trading edge and WAIT. The outcome horizon has not matured, so all five formal outcome fields remain blank. Next review October 15. Initial Prediction Frozen was not changed. October 2 checkpoint: LNG logistics improved to their best month since the war began, but only toward a possible 25% of pre-war volume. EEI-2026-002 remains Strong at 4/5 confidence, 2/5 trading edge and WAIT; no outcome field was scored early.</x:v>
      </x:c>
      <x:c r="AE7" s="31" t="str">
        <x:f>IF(COUNTA(Y7:AC7)=0,"",COUNTIF(Y7:AC7,"Yes")/COUNTA(Y7:AC7))</x:f>
      </x:c>
    </x:row>
    <x:row r="8">
      <x:c r="A8" s="27" t="str">
        <x:v>EEI-2026-003</x:v>
      </x:c>
      <x:c r="B8" s="27" t="str">
        <x:v>2026 midterm political shift</x:v>
      </x:c>
      <x:c r="C8" s="27" t="str">
        <x:v>Multi-sector</x:v>
      </x:c>
      <x:c r="D8" s="30" t="n">
        <x:v>46274</x:v>
      </x:c>
      <x:c r="E8" s="30" t="n">
        <x:v>46274.5</x:v>
      </x:c>
      <x:c r="F8" s="27" t="str">
        <x:v>Strong</x:v>
      </x:c>
      <x:c r="G8" s="27" t="str">
        <x:v>Political and policy</x:v>
      </x:c>
      <x:c r="H8" s="27" t="str">
        <x:v>Market breadth, policy expectations and sector leadership</x:v>
      </x:c>
      <x:c r="I8" s="27" t="str">
        <x:v>Mixed to up</x:v>
      </x:c>
      <x:c r="J8" s="27" t="str">
        <x:v>Weeks to months</x:v>
      </x:c>
      <x:c r="K8" s="27" t="n">
        <x:v>4</x:v>
      </x:c>
      <x:c r="L8" s="27" t="n">
        <x:v>1</x:v>
      </x:c>
      <x:c r="M8" s="27" t="str">
        <x:v>WAIT</x:v>
      </x:c>
      <x:c r="N8" s="29" t="str">
        <x:v>Reuters reported on October 1 that Democrats are competitive in ten states Trump won by double digits in 2024, while Republican leaders increasingly fear losing Senate control. The broader map materially strengthens the political-shift signal but remains polling and campaign behavior rather than an election result.</x:v>
      </x:c>
      <x:c r="O8" s="29" t="str">
        <x:v>Expected changes in fiscal, regulatory and sector policy could alter risk appetite and relative performance.</x:v>
      </x:c>
      <x:c r="P8" s="29" t="str">
        <x:v>Cook's House ratings, Reuters/Ipsos national evidence and October 1 Reuters reporting now show the possible Senate path broadening into normally Republican states. Separate Reuters reporting found a $4.9 million super-PAC defense of Florida despite its safe-Republican rating, while Republican leaders told Reuters they expect to lose at least two Senate seats and increasingly fear losing the chamber.</x:v>
      </x:c>
      <x:c r="Q8" s="29" t="str">
        <x:v>Polls and spending are not votes; Democrats must defend two Trump-carried seats and flip four Republican seats, including at least two deep-red states. Republicans still hold large funding advantages in several battlegrounds. The 10-year Treasury yield reached 5.34% before easing near 5.28%, and broad/cyclical premarket participation remained weak. October 2 market contradiction: the 10-year Treasury yield reached 5.34%, its highest in 24 years, while Reuters described equities as highly dependent on AI spending. Political-control evidence remains strong, but rates and concentration still block an investable breadth signal.</x:v>
      </x:c>
      <x:c r="R8" s="29"/>
      <x:c r="S8" s="29" t="str">
        <x:v>October 1 near 8:05 a.m. ET: SPY was about -0.20%, RSP -0.69%, IWM -0.37%, XLI -1.27%, XLF -1.16%, XLV -1.34%, XLB -0.82% and CPER -0.43%; XBI was the lone tracked positive at about +0.55%. The 10-year yield remained near 5.28% after touching 5.34%. Political confirmation strengthened, but the broad-market mechanism did not. October 2: the S&amp;P 500 was up 12% in 2026 and less than 2% below its August record, yet 5.34% Treasury yields and AI-capex concentration weaken the equal-weight and cyclical confirmation needed for entry.</x:v>
      </x:c>
      <x:c r="T8" s="29" t="str">
        <x:v>Conditional only: RSP versus SPY remains the central breadth test. The widened Senate path improves the political case, but the investable case remains WAIT until rates and oil stabilize and equal-weight, small-cap and cyclical participation broadens. No real trade is authorized.</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Strong at confidence 4/5 and trading edge 1/5. October 1 Reuters reporting materially widened the possible Democratic Senate path and documented defensive Republican spending in Florida, but polling error, funding gaps and an adverse rates/breadth backdrop prevent promotion to Actionable. Entry Window remains WAIT and inactive because the thesis is not Actionable. Initial Prediction Frozen was not changed. October 2 checkpoint: Reuters tied possible full Democratic control to policy risk and a potential pre-election pullback, but the rate and breadth backdrop remains adverse. EEI-2026-003 stays Strong at 4/5 confidence, 1/5 trading edge and WAIT.</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3</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 On September 25, detailed Phase 3 EXCALIBER-RRMM results showed MRD-negative complete response of 41.1% with ZENBEXUS versus 20.7% for the comparator, overall response of 88.9% versus 76.1%, and complete response or better of 45.9% versus 24.9%.</x:v>
      </x:c>
      <x:c r="Q10" s="29" t="str">
        <x:v>Legacy portfolio revenue still fell 4%; major exclusivity losses remain multi-year; long-term debt was about $42.1 billion at quarter-end; and one strong quarter does not prove the portfolio can offset the full patent cliff. ZENBEXUS progression-free-survival confirmation is still ongoing, while Grade 3/4 neutropenia was 84.3% versus 11.3% and Grade 3/4 infections were 39.2% versus 21.6%, limiting commercial certainty.</x:v>
      </x:c>
      <x:c r="R10" s="29"/>
      <x:c r="S10" s="29" t="str">
        <x:v>BMY traded near $63.64 during the scan without a distinct new breakout tied to the article. Fundamental confirmation exists, but sustained post-earnings relative strength and another quarter of growth/FCF evidence are still needed.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September 27 review added detailed ZENBEXUS Phase 3 response-depth and safety evidence. The result supports the growth-portfolio mechanism but does not yet quantify patent-cliff offset, and confirmatory progression-free survival remains pending. Motley Fool remains trigger only. Stage stays Developing at 3/5 confidence and 3/5 trading edge; Entry Window stays WAIT pending another quarter of growth-portfolio, cash-flow and debt confirmation. Initial Prediction Frozen was not changed.</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x:v>
      </x:c>
      <x:c r="Q11" s="29" t="str">
        <x:v>Q2 revenue fell about 4% to $2.42 billion, global comparable sales fell 9%, Americas comps fell 12%, gross margin weakened excluding a tariff refund, and full-year revenue guidance was cut to a 5%-7% decline. The core economic variable is still deteriorating.</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x:v>
      </x:c>
      <x:c r="Q12" s="29" t="str">
        <x:v>Space, Cyber and Directed Energy revenue fell 21%; inventory rose to about $410.8 million; material weaknesses remain; a prior restatement corrected an $87.3 million equity overstatement; convertible debt and a high valuation magnify execution risk.</x:v>
      </x:c>
      <x:c r="R12" s="29"/>
      <x:c r="S12" s="29" t="str">
        <x:v>AVAV traded near $146.71 during the scan. Demand and backlog are confirmed, but valuation and accounting-control risk leave limited evidence of a favorable entry rather than merely a valid business catalyst.</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46310</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Serbia said on September 24 that it would release about 5,000 metric tons of diesel from state reserves because of the global shortage. Danube fuel imports had fallen to roughly 25%-30% of planned August volume as low water restricted barge loads. September 30: Russia extended its diesel-export ban for producers through the end of October, tightening a market in which Russia is normally the second-largest diesel exporter.</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Russia's October producer diesel-export ban remains in force. October 1 physical-market reporting added a sharp dated-Brent premium and three tanker strikes in Hormuz, confirming that prompt barrels and refined-product logistics remain stressed despite recovering headline export volumes.</x:v>
      </x:c>
      <x:c r="Q14" s="29" t="str">
        <x:v>Fujairah fuel-oil imports recovered to 2.6 million metric tons in Q3 from 845,000 tons in Q2, September exports reached a more-than-one-year high, and additional October cargoes were expected. Restored supply routes can cap scarcity even while prompt VLSFO and diesel remain tight. October 2 countermeasure: EU governments discussed releasing 50 million barrels of diesel and IEA members another 50 million barrels of crude over a short window. The proposal confirms acute scarcity but could temporarily relieve spot tightness and compress refining margins.</x:v>
      </x:c>
      <x:c r="R14" s="29"/>
      <x:c r="S14" s="29" t="str">
        <x:v>Dated Brent for immediate physical delivery was reported near $121 versus futures around $100, while prompt marine-fuel supply remained tight. The physical evidence strengthens scarcity but also shows a split market: HSFO and Fujairah volumes are normalizing faster than cleaner fuels and diesel. October 2: European gasoil futures fell about 5%, Brent 2.5% and WTI 3.8% after stock-release talks. Physical tightness remains visible, but the fast policy-driven repricing reinforces headline risk and the WAIT entry classification.</x:v>
      </x:c>
      <x:c r="T14" s="29" t="str">
        <x:v>Conditional research only: refiners or direct refined-product exposure require physical spread persistence without chasing the headline. WAIT remains appropriate because listed refiners are indirect, policy and restored routes can compress margins, and the evidence is strongest in prompt physical markets.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n">
        <x:v>46303</x:v>
      </x:c>
      <x:c r="X14" s="43"/>
      <x:c r="Y14" s="29"/>
      <x:c r="Z14" s="29"/>
      <x:c r="AA14" s="29"/>
      <x:c r="AB14" s="29"/>
      <x:c r="AC14" s="29"/>
      <x:c r="AD14" s="29" t="str">
        <x:v>Actionable at confidence 5/5, trading edge 1/5, Entry Window WAIT. October 1 tanker strikes and the dated-Brent premium strengthened physical confirmation, while Fujairah's partial fuel-oil recovery strengthened the normalization countercase. No field change and no real trade. Initial Prediction Frozen was not changed. October 2 checkpoint: proposed European diesel and IEA crude releases are material countermeasures. They validate the shortage while weakening the immediate trade setup. EEI-2026-009 remains Actionable at 5/5 confidence, 1/5 trading edge and Entry Window WAIT.</x:v>
      </x:c>
      <x:c r="AE14" s="31" t="str">
        <x:f>IF(COUNTA(Y14:AC14)=0,"",COUNTIF(Y14:AC14,"Yes")/COUNTA(Y14:AC14))</x:f>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Strong</x:v>
      </x:c>
      <x:c r="G16" s="27" t="str">
        <x:v>Supply chain and energy logistics</x:v>
      </x:c>
      <x:c r="H16" s="27" t="str">
        <x:v>VLCC utilization, spot freight rates and tanker earnings</x:v>
      </x:c>
      <x:c r="I16" s="27" t="str">
        <x:v>Up</x:v>
      </x:c>
      <x:c r="J16" s="27" t="str">
        <x:v>Weeks to months</x:v>
      </x:c>
      <x:c r="K16" s="27" t="n">
        <x:v>4</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Three Liberian-flagged tankers were struck by projectiles while transiting Hormuz with AIS disabled. The ships had recently carried or transferred diesel, Iraqi Basrah crude and refined products, directly reinforcing security, insurance and routing risk for Gulf tanker capacity.</x:v>
      </x:c>
      <x:c r="Q16" s="29" t="str">
        <x:v>Fujairah fuel-oil imports and exports recovered materially in Q3, Saudi and Russian supply reached the hub, and some bunker operations normalized. More available product and routing workarounds can reduce the duration of extreme freight scarcity.</x:v>
      </x:c>
      <x:c r="R16" s="29"/>
      <x:c r="S16" s="29" t="str">
        <x:v>The three strikes confirm operational risk even as flows recover. Ship-to-ship transfers and dark activity keep cargo moving but consume capacity and complexity. No clean listed-tanker equity confirmation or favorable entry structure was established during the scan.</x:v>
      </x:c>
      <x:c r="T16" s="29" t="str">
        <x:v>Conditional only: tanker operators with meaningful spot exposure remain the cleanest equity mapping, but WAIT for verified rate persistence and a non-headline entry. Charter mix, geopolitics, sanctions, operational risk and route normalization remain material.</x:v>
      </x:c>
      <x:c r="U16" s="29" t="str">
        <x:v>Hormuz and Red Sea routes normalize, shuttle transfers unwind, VLCC spot rates retreat toward pre-shock levels, fleet availability rises faster than demand, or company earnings fail to convert record freight into cash flow.</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n">
        <x:v>46300</x:v>
      </x:c>
      <x:c r="X16" s="43"/>
      <x:c r="Y16" s="29"/>
      <x:c r="Z16" s="29"/>
      <x:c r="AA16" s="29"/>
      <x:c r="AB16" s="29"/>
      <x:c r="AC16" s="29"/>
      <x:c r="AD16" s="29" t="str">
        <x:v>Strong at confidence 4/5 and trading edge 1/5, Entry Window WAIT. October 1 tanker strikes strengthened the risk mechanism, while recovering Fujairah supply strengthened normalization evidence. No stage or Entry Window change. Initial Prediction Frozen was not changed.</x:v>
      </x:c>
      <x:c r="AE16" s="31" t="str">
        <x:f>IF(COUNTA(Y16:AC16)=0,"",COUNTIF(Y16:AC16,"Yes")/COUNTA(Y16:AC16))</x:f>
      </x:c>
    </x:row>
    <x:row r="17">
      <x:c r="A17" s="27" t="str">
        <x:v>EEI-2026-012</x:v>
      </x:c>
      <x:c r="B17" s="27" t="str">
        <x:v>RTX AMRAAM multiyear production ramp</x:v>
      </x:c>
      <x:c r="C17" s="27" t="str">
        <x:v>Defense and aerospace</x:v>
      </x:c>
      <x:c r="D17" s="30" t="n">
        <x:v>46290.166666666664</x:v>
      </x:c>
      <x:c r="E17" s="30" t="n">
        <x:v>46294.50347222222</x:v>
      </x:c>
      <x:c r="F17" s="27" t="str">
        <x:v>Strong</x:v>
      </x:c>
      <x:c r="G17" s="27" t="str">
        <x:v>Government award and defense industrial policy</x:v>
      </x:c>
      <x:c r="H17" s="27" t="str">
        <x:v>Raytheon AMRAAM backlog, production volume and recognized defense revenue</x:v>
      </x:c>
      <x:c r="I17" s="27" t="str">
        <x:v>Up</x:v>
      </x:c>
      <x:c r="J17" s="27" t="str">
        <x:v>One to seven years</x:v>
      </x:c>
      <x:c r="K17" s="27" t="n">
        <x:v>4</x:v>
      </x:c>
      <x:c r="L17" s="27" t="n">
        <x:v>1</x:v>
      </x:c>
      <x:c r="M17" s="27" t="str">
        <x:v>WAIT</x:v>
      </x:c>
      <x:c r="N17" s="29" t="str">
        <x:v>The Air Force awarded Raytheon a new sole-source, not-to-exceed $20.699 billion multiyear AMRAAM contract through June 2033. The award covers all-up rounds, guidance sections, direct charges and foreign-military-sales offsets; about $154.35 million was obligated at award.</x:v>
      </x:c>
      <x:c r="O17" s="29" t="str">
        <x:v>Funded missile orders and capacity investment can raise AMRAAM output, Raytheon backlog and recognized defense revenue over multiple years. The same production ramp can support suppliers, but RTX is the only clean named public recipient.</x:v>
      </x:c>
      <x:c r="P17" s="29" t="str">
        <x:v>The Department of War contract notice identifies award FA8556-26-C-B001 as a sole-source multiyear action, and RTX confirmed a five-year term plus two option years. RTX said 2025 output nearly doubled and the program targets at least 1,900 missiles annually. RTX had already reported $119 billion of defense backlog and 18% Raytheon sales growth in Q2.</x:v>
      </x:c>
      <x:c r="Q17" s="29" t="str">
        <x:v>The $20.699 billion figure is a ceiling, not funded revenue. Only about $154.35 million was obligated initially; the action is partly undefinitized and Congress has not appropriated the full multiyear amount. February production agreements made the ramp partly expected, while fixed-price execution, supply-chain capacity and margin conversion remain material risks.</x:v>
      </x:c>
      <x:c r="R17" s="29"/>
      <x:c r="S17" s="29" t="str">
        <x:v>RTX rose about 1.3% after hours on the announcement but was near $187.66 at the scan, without a distinct sustained breakout. Market recognition is positive but modest relative to the headline ceiling, consistent with the small initial obligation and prior expectations.</x:v>
      </x:c>
      <x:c r="T17" s="29" t="str">
        <x:v>RTX is the direct conditional expression. Broad defense ETFs dilute AMRAAM exposure. WAIT for larger funded obligations, appropriations and backlog-to-revenue evidence, or an orderly non-headline pullback or consolidation. Valuation, fixed-price execution, supply-chain and capital-allocation risks remain.</x:v>
      </x:c>
      <x:c r="U17" s="29" t="str">
        <x:v>Congress fails to fund the multiyear plan, obligations remain immaterial, production does not approach the 1,900-unit goal, cost overruns or supplier constraints compress margins, or backlog fails to convert into cash flow.</x:v>
      </x:c>
      <x:c r="V17" s="43" t="str">
        <x:v>2026-09-29: The new AMRAAM award should increase Raytheon funded backlog, production volume and recognized defense revenue over one to seven years, but the $20.699 billion ceiling will convert only as Congress funds orders and RTX executes deliveries. Initial Entry Window: WAIT because only about $154.35 million was initially obligated, the ramp was partly anticipated and valuation leaves limited unpriced edge.</x:v>
      </x:c>
      <x:c r="W17" s="43" t="n">
        <x:v>46325.166666666664</x:v>
      </x:c>
      <x:c r="X17" s="43"/>
      <x:c r="Y17" s="29"/>
      <x:c r="Z17" s="29"/>
      <x:c r="AA17" s="29"/>
      <x:c r="AB17" s="29"/>
      <x:c r="AC17" s="29"/>
      <x:c r="AD17" s="29" t="str">
        <x:v>Open. New Strong thesis at confidence 4/5 and trading edge 1/5. Primary government and company records establish the award and production mechanism; limited initial obligations, appropriation risk, partial prior anticipation and fixed-price execution risk keep Entry Window WAIT. No real trade is authorized.</x:v>
      </x:c>
      <x:c r="AE17" s="31" t="str">
        <x:f>IF(COUNTA(Y17:AC17)=0,"",COUNTIF(Y17:AC17,"Yes")/COUNTA(Y17:AC17))</x:f>
      </x:c>
    </x:row>
    <x:row r="18">
      <x:c r="A18" s="27" t="str">
        <x:v>EEI-2026-013</x:v>
      </x:c>
      <x:c r="B18" s="27" t="str">
        <x:v>Boeing F/A-XX development and defense backlog</x:v>
      </x:c>
      <x:c r="C18" s="27" t="str">
        <x:v>Defense and aerospace</x:v>
      </x:c>
      <x:c r="D18" s="30" t="n">
        <x:v>46295.51619212963</x:v>
      </x:c>
      <x:c r="E18" s="30" t="n">
        <x:v>46295.51619212963</x:v>
      </x:c>
      <x:c r="F18" s="27" t="str">
        <x:v>Strong</x:v>
      </x:c>
      <x:c r="G18" s="27" t="str">
        <x:v>Government contract award</x:v>
      </x:c>
      <x:c r="H18" s="27" t="str">
        <x:v>Boeing defense development backlog and funded revenue conversion</x:v>
      </x:c>
      <x:c r="I18" s="27" t="str">
        <x:v>Up</x:v>
      </x:c>
      <x:c r="J18" s="27" t="str">
        <x:v>Years</x:v>
      </x:c>
      <x:c r="K18" s="27" t="n">
        <x:v>4</x:v>
      </x:c>
      <x:c r="L18" s="27" t="n">
        <x:v>1</x:v>
      </x:c>
      <x:c r="M18" s="27" t="str">
        <x:v>WAIT</x:v>
      </x:c>
      <x:c r="N18" s="29" t="str">
        <x:v>The Pentagon selected Boeing for the Navy's F/A-XX next-generation stealth fighter development contract, reported at about $20 billion for test aircraft. The program could become much larger if production proceeds in the 2030s.</x:v>
      </x:c>
      <x:c r="O18" s="29" t="str">
        <x:v>A large new development program can sustain Boeing's St. Louis fighter engineering and production base, expand Defense, Space &amp; Security backlog and create long-duration revenue if appropriations, engineering milestones and later production awards convert into funded work.</x:v>
      </x:c>
      <x:c r="P18" s="29" t="str">
        <x:v>Reuters reported the Pentagon's selection and a roughly $20 billion development value. Congress had already provided $750 million in the 2025 spending law and another $1.4 billion for fiscal 2026. Boeing's Q2 filing reported $7.5 billion of quarterly Defense, Space &amp; Security revenue and $715 billion of total company backlog, establishing company-scale context.</x:v>
      </x:c>
      <x:c r="Q18" s="29" t="str">
        <x:v>The public announcement did not disclose an award identifier, current obligated amount, NAICS or PSC, detailed period of performance or contract type. The Navy previously considered a delay because of engineering and supply-chain capacity; first production is not expected until the 2030s. Boeing is simultaneously developing the Air Force F-47, its defense segment remained near break-even, and the FAA's MAX 10 delay shows material company-wide execution risk.</x:v>
      </x:c>
      <x:c r="R18" s="29" t="str"/>
      <x:c r="S18" s="29" t="str">
        <x:v>Boeing rose about 2.25% after hours and roughly 2.1% premarket, while Northrop Grumman fell about 3.5%. The immediate reaction confirms importance but also shows that part of the award was repriced quickly.</x:v>
      </x:c>
      <x:c r="T18" s="29" t="str">
        <x:v>BA is the direct conditional expression, but commercial-aircraft, certification, labor, balance-sheet and fixed-price defense risks dilute the F/A-XX catalyst. WAIT for disclosed funding and backlog treatment, a clearer contract structure and evidence that defense margins can absorb parallel sixth-generation programs without a headline-chasing entry.</x:v>
      </x:c>
      <x:c r="U18" s="29" t="str">
        <x:v>The award is delayed, materially underfunded, reduced or reversed; engineering capacity prevents simultaneous F-47 and F/A-XX execution; cost overruns erase margin; or funded backlog and defense cash flow fail to improve.</x:v>
      </x:c>
      <x:c r="V18" s="43" t="str">
        <x:v>2026-09-30: The F/A-XX selection should increase Boeing's long-duration defense backlog and preserve its fighter franchise, but revenue and margin conversion depend on appropriations, undisclosed contract terms and execution across two sixth-generation programs. Initial Entry Window: WAIT pending funded backlog disclosure and non-headline price confirmation.</x:v>
      </x:c>
      <x:c r="W18" s="43" t="n">
        <x:v>46325.5</x:v>
      </x:c>
      <x:c r="X18" s="43"/>
      <x:c r="Y18" s="29"/>
      <x:c r="Z18" s="29"/>
      <x:c r="AA18" s="29"/>
      <x:c r="AB18" s="29"/>
      <x:c r="AC18" s="29"/>
      <x:c r="AD18" s="29" t="str">
        <x:v>Open. New Strong thesis at confidence 4/5 and trading edge 1/5. The Pentagon selection and program value are material, but the public record lacks the award identifier, obligated amount, contract type and detailed performance period. Market reaction was immediate and Boeing retains substantial commercial and defense execution risk. Entry Window WAIT. No real trade is authorized.</x:v>
      </x:c>
      <x:c r="AE18" s="31" t="str">
        <x:f>IF(COUNTA(Y18:AC18)=0,"",COUNTIF(Y18:AC18,"Yes")/COUNTA(Y18:AC18))</x:f>
      </x:c>
    </x:row>
    <x:row r="19">
      <x:c r="A19" s="27" t="str">
        <x:v>EEI-2026-014</x:v>
      </x:c>
      <x:c r="B19" s="27" t="str">
        <x:v>AI memory scarcity and Micron contracted demand</x:v>
      </x:c>
      <x:c r="C19" s="27" t="str">
        <x:v>Semiconductors and technology</x:v>
      </x:c>
      <x:c r="D19" s="30" t="n">
        <x:v>46296</x:v>
      </x:c>
      <x:c r="E19" s="30" t="n">
        <x:v>46296.345</x:v>
      </x:c>
      <x:c r="F19" s="27" t="str">
        <x:v>Strong</x:v>
      </x:c>
      <x:c r="G19" s="27" t="str">
        <x:v>Corporate earnings and Motley Fool idea trigger</x:v>
      </x:c>
      <x:c r="H19" s="27" t="str">
        <x:v>AI-memory pricing, contracted demand, revenue and operating cash flow</x:v>
      </x:c>
      <x:c r="I19" s="27" t="str">
        <x:v>Up</x:v>
      </x:c>
      <x:c r="J19" s="27" t="str">
        <x:v>Quarters to two years</x:v>
      </x:c>
      <x:c r="K19" s="27" t="n">
        <x:v>4</x:v>
      </x:c>
      <x:c r="L19" s="27" t="n">
        <x:v>1</x:v>
      </x:c>
      <x:c r="M19" s="27" t="str">
        <x:v>WAIT</x:v>
      </x:c>
      <x:c r="N19" s="29" t="str">
        <x:v>A free October 1 Motley Fool news editorial flagged Micron's record quarter and long-term supply agreements. Micron's primary release and independent reporting confirmed a large earnings inflection and signed customer commitments; Motley Fool remains the trigger only.</x:v>
      </x:c>
      <x:c r="O19" s="29" t="str">
        <x:v>AI servers require high-bandwidth and other advanced memory. Tight supply plus take-or-pay commitments, deposits and pricing floors can sustain pricing, utilization, revenue and cash flow while reducing the usual memory-cycle volatility.</x:v>
      </x:c>
      <x:c r="P19" s="29" t="str">
        <x:v>Micron reported Q4 revenue of $54.23 billion, GAAP net income of $37.70 billion, operating cash flow of $43.97 billion and FY2026 adjusted free cash flow of $62.31 billion. It guided Q1 FY2027 revenue to $61.5 billion plus or minus $1.5 billion. Reuters reported strategic-customer commitments rose to $32 billion from $22 billion in June. Nvidia separately said extreme memory pricing exceeded expectations and supply should remain a bottleneck through fiscal 2028.</x:v>
      </x:c>
      <x:c r="Q19" s="29" t="str">
        <x:v>Micron shares had risen nearly sixfold over the prior year and were little changed after the report, suggesting exceptional results were substantially expected. Q1 gross-margin guidance eased slightly, capital spending is accelerating, customer and AI concentration are high, and memory remains historically cyclical.</x:v>
      </x:c>
      <x:c r="R19" s="29"/>
      <x:c r="S19" s="29" t="str">
        <x:v>Micron was roughly flat to modestly positive before the October 1 open despite the earnings beat. Asian chip markets rallied, confirming the industry read-through, while the 10-year Treasury yield near 5.28% and weak U.S. breadth limited equity confirmation. Strong business evidence does not yet establish a favorable entry.</x:v>
      </x:c>
      <x:c r="T19" s="29" t="str">
        <x:v>MU shares are the direct conditional expression; semiconductor ETFs dilute the memory-specific mechanism. WAIT for a non-headline consolidation or retracement that holds while signed demand, pricing and free cash flow remain intact. Valuation, cycle, customer concentration, capex and technology-substitution risks apply.</x:v>
      </x:c>
      <x:c r="U19" s="29" t="str">
        <x:v>Strategic commitments are cancelled or fail to convert, memory pricing and margins fall faster than expected, AI infrastructure spending slows materially, free cash flow deteriorates despite capex, or the stock fails to hold a post-earnings consolidation.</x:v>
      </x:c>
      <x:c r="V19" s="43" t="str">
        <x:v>2026-10-01: AI-driven memory scarcity and signed customer commitments will keep Micron revenue, pricing power and operating cash flow elevated over the next several quarters, but the equity's nearly sixfold one-year move makes immediate entry unattractive. Initial Entry Window: WAIT.</x:v>
      </x:c>
      <x:c r="W19" s="43" t="n">
        <x:v>46386</x:v>
      </x:c>
      <x:c r="X19" s="43"/>
      <x:c r="Y19" s="29"/>
      <x:c r="Z19" s="29"/>
      <x:c r="AA19" s="29"/>
      <x:c r="AB19" s="29"/>
      <x:c r="AC19" s="29"/>
      <x:c r="AD19" s="29" t="str">
        <x:v>Opened Strong at confidence 4/5 and trading edge 1/5. Primary earnings, signed demand and Nvidia's independent memory-scarcity disclosure support the mechanism. Entry Window WAIT because the stock already reflects much of the improvement, breadth and rates are adverse, and post-earnings price confirmation is weak. Motley Fool is trigger only.</x:v>
      </x:c>
      <x:c r="AE19" s="31" t="str">
        <x:f>IF(COUNTA(Y19:AC19)=0,"",COUNTIF(Y19:AC19,"Yes")/COUNTA(Y19:AC19))</x:f>
      </x:c>
    </x:row>
    <x:row r="20">
      <x:c r="A20" s="27"/>
      <x:c r="B20" s="27"/>
      <x:c r="C20" s="27"/>
      <x:c r="D20" s="30"/>
      <x:c r="E20" s="30"/>
      <x:c r="F20" s="27"/>
      <x:c r="G20" s="27"/>
      <x:c r="H20" s="27"/>
      <x:c r="I20" s="27"/>
      <x:c r="J20" s="27"/>
      <x:c r="K20" s="27"/>
      <x:c r="L20" s="27"/>
      <x:c r="M20" s="27"/>
      <x:c r="N20" s="29"/>
      <x:c r="O20" s="29"/>
      <x:c r="P20" s="29"/>
      <x:c r="Q20" s="29"/>
      <x:c r="R20" s="29"/>
      <x:c r="S20" s="29"/>
      <x:c r="T20" s="29"/>
      <x:c r="U20" s="29"/>
      <x:c r="V20" s="43"/>
      <x:c r="W20" s="43"/>
      <x:c r="X20" s="43"/>
      <x:c r="Y20" s="29"/>
      <x:c r="Z20" s="29"/>
      <x:c r="AA20" s="29"/>
      <x:c r="AB20" s="29"/>
      <x:c r="AC20" s="29"/>
      <x:c r="AD20" s="29"/>
      <x:c r="AE20" s="31" t="str">
        <x:f>IF(COUNTA(Y20:AC20)=0,"",COUNTIF(Y20:AC20,"Yes")/COUNTA(Y20:AC20))</x:f>
      </x:c>
    </x:row>
    <x:row r="21">
      <x:c r="A21" s="27"/>
      <x:c r="B21" s="27"/>
      <x:c r="C21" s="27"/>
      <x:c r="D21" s="30"/>
      <x:c r="E21" s="30"/>
      <x:c r="F21" s="27"/>
      <x:c r="G21" s="27"/>
      <x:c r="H21" s="27"/>
      <x:c r="I21" s="27"/>
      <x:c r="J21" s="27"/>
      <x:c r="K21" s="27"/>
      <x:c r="L21" s="27"/>
      <x:c r="M21" s="27"/>
      <x:c r="N21" s="29"/>
      <x:c r="O21" s="29"/>
      <x:c r="P21" s="29"/>
      <x:c r="Q21" s="29"/>
      <x:c r="R21" s="29"/>
      <x:c r="S21" s="29"/>
      <x:c r="T21" s="29"/>
      <x:c r="U21" s="29"/>
      <x:c r="V21" s="43"/>
      <x:c r="W21" s="43"/>
      <x:c r="X21" s="43"/>
      <x:c r="Y21" s="29"/>
      <x:c r="Z21" s="29"/>
      <x:c r="AA21" s="29"/>
      <x:c r="AB21" s="29"/>
      <x:c r="AC21" s="29"/>
      <x:c r="AD21" s="29"/>
      <x:c r="AE21" s="31" t="str">
        <x:f>IF(COUNTA(Y21:AC21)=0,"",COUNTIF(Y21:AC21,"Yes")/COUNTA(Y21:AC21))</x:f>
      </x:c>
    </x:row>
    <x:row r="22">
      <x:c r="A22" s="27"/>
      <x:c r="B22" s="27"/>
      <x:c r="C22" s="27"/>
      <x:c r="D22" s="30"/>
      <x:c r="E22" s="30"/>
      <x:c r="F22" s="27"/>
      <x:c r="G22" s="27"/>
      <x:c r="H22" s="27"/>
      <x:c r="I22" s="27"/>
      <x:c r="J22" s="27"/>
      <x:c r="K22" s="27"/>
      <x:c r="L22" s="27"/>
      <x:c r="M22" s="27"/>
      <x:c r="N22" s="29"/>
      <x:c r="O22" s="29"/>
      <x:c r="P22" s="29"/>
      <x:c r="Q22" s="29"/>
      <x:c r="R22" s="29"/>
      <x:c r="S22" s="29"/>
      <x:c r="T22" s="29"/>
      <x:c r="U22" s="29"/>
      <x:c r="V22" s="43"/>
      <x:c r="W22" s="43"/>
      <x:c r="X22" s="43"/>
      <x:c r="Y22" s="29"/>
      <x:c r="Z22" s="29"/>
      <x:c r="AA22" s="29"/>
      <x:c r="AB22" s="29"/>
      <x:c r="AC22" s="29"/>
      <x:c r="AD22" s="29"/>
      <x:c r="AE22" s="31" t="str">
        <x:f>IF(COUNTA(Y22:AC22)=0,"",COUNTIF(Y22:AC22,"Yes")/COUNTA(Y22:AC22))</x:f>
      </x:c>
    </x:row>
    <x:row r="23">
      <x:c r="A23" s="27"/>
      <x:c r="B23" s="27"/>
      <x:c r="C23" s="27"/>
      <x:c r="D23" s="30"/>
      <x:c r="E23" s="30"/>
      <x:c r="F23" s="27"/>
      <x:c r="G23" s="27"/>
      <x:c r="H23" s="27"/>
      <x:c r="I23" s="27"/>
      <x:c r="J23" s="27"/>
      <x:c r="K23" s="27"/>
      <x:c r="L23" s="27"/>
      <x:c r="M23" s="27"/>
      <x:c r="N23" s="29"/>
      <x:c r="O23" s="29"/>
      <x:c r="P23" s="29"/>
      <x:c r="Q23" s="29"/>
      <x:c r="R23" s="29"/>
      <x:c r="S23" s="29"/>
      <x:c r="T23" s="29"/>
      <x:c r="U23" s="29"/>
      <x:c r="V23" s="43"/>
      <x:c r="W23" s="43"/>
      <x:c r="X23" s="43"/>
      <x:c r="Y23" s="29"/>
      <x:c r="Z23" s="29"/>
      <x:c r="AA23" s="29"/>
      <x:c r="AB23" s="29"/>
      <x:c r="AC23" s="29"/>
      <x:c r="AD23" s="29"/>
      <x:c r="AE23" s="31" t="str">
        <x:f>IF(COUNTA(Y23:AC23)=0,"",COUNTIF(Y23:AC23,"Yes")/COUNTA(Y23:AC23))</x:f>
      </x:c>
    </x:row>
    <x:row r="24">
      <x:c r="A24" s="27"/>
      <x:c r="B24" s="27"/>
      <x:c r="C24" s="27"/>
      <x:c r="D24" s="30"/>
      <x:c r="E24" s="30"/>
      <x:c r="F24" s="27"/>
      <x:c r="G24" s="27"/>
      <x:c r="H24" s="27"/>
      <x:c r="I24" s="27"/>
      <x:c r="J24" s="27"/>
      <x:c r="K24" s="27"/>
      <x:c r="L24" s="27"/>
      <x:c r="M24" s="27"/>
      <x:c r="N24" s="29"/>
      <x:c r="O24" s="29"/>
      <x:c r="P24" s="29"/>
      <x:c r="Q24" s="29"/>
      <x:c r="R24" s="29"/>
      <x:c r="S24" s="29"/>
      <x:c r="T24" s="29"/>
      <x:c r="U24" s="29"/>
      <x:c r="V24" s="43"/>
      <x:c r="W24" s="43"/>
      <x:c r="X24" s="43"/>
      <x:c r="Y24" s="29"/>
      <x:c r="Z24" s="29"/>
      <x:c r="AA24" s="29"/>
      <x:c r="AB24" s="29"/>
      <x:c r="AC24" s="29"/>
      <x:c r="AD24" s="29"/>
      <x:c r="AE24" s="31" t="str">
        <x:f>IF(COUNTA(Y24:AC24)=0,"",COUNTIF(Y24:AC24,"Yes")/COUNTA(Y24:AC24))</x:f>
      </x:c>
    </x:row>
    <x:row r="25">
      <x:c r="A25" s="27"/>
      <x:c r="B25" s="27"/>
      <x:c r="C25" s="27"/>
      <x:c r="D25" s="30"/>
      <x:c r="E25" s="30"/>
      <x:c r="F25" s="27"/>
      <x:c r="G25" s="27"/>
      <x:c r="H25" s="27"/>
      <x:c r="I25" s="27"/>
      <x:c r="J25" s="27"/>
      <x:c r="K25" s="27"/>
      <x:c r="L25" s="27"/>
      <x:c r="M25" s="27"/>
      <x:c r="N25" s="29"/>
      <x:c r="O25" s="29"/>
      <x:c r="P25" s="29"/>
      <x:c r="Q25" s="29"/>
      <x:c r="R25" s="29"/>
      <x:c r="S25" s="29"/>
      <x:c r="T25" s="29"/>
      <x:c r="U25" s="29"/>
      <x:c r="V25" s="43"/>
      <x:c r="W25" s="43"/>
      <x:c r="X25" s="43"/>
      <x:c r="Y25" s="29"/>
      <x:c r="Z25" s="29"/>
      <x:c r="AA25" s="29"/>
      <x:c r="AB25" s="29"/>
      <x:c r="AC25" s="29"/>
      <x:c r="AD25" s="29"/>
      <x:c r="AE25" s="31" t="str">
        <x:f>IF(COUNTA(Y25:AC25)=0,"",COUNTIF(Y25:AC25,"Yes")/COUNTA(Y25:AC25))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58a50e34bb4d4c01"/>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A189" t="str">
        <x:v>EV-2026-184</x:v>
      </x:c>
      <x:c r="B189" t="str">
        <x:v>EEI-2026-003</x:v>
      </x:c>
      <x:c r="C189" s="53" t="n">
        <x:v>46288.634351851855</x:v>
      </x:c>
      <x:c r="D189" t="str">
        <x:v>Intraday reversal and candidate confirmation</x:v>
      </x:c>
      <x:c r="E189" t="str">
        <x:v>Current ETF market data and Reuters</x:v>
      </x:c>
      <x:c r="F189" t="str">
        <x:v>Quoted market data with high-quality reporting context</x:v>
      </x:c>
      <x:c r="G189" s="44" t="str">
        <x:v>https://www.reuters.com/world/china/wall-st-futures-steady-with-focus-mideast-talks-us-china-summit-2026-09-23/</x:v>
      </x:c>
      <x:c r="H189" s="44" t="str">
        <x:v>Around 11:02 a.m. ET, SPY was down 0.42%, RSP 0.31%, IWM 1.32%, XLI was up 0.22%, XLB was down 0.20%, XLV 0.34%, XBI 3.52%, XLF was up 0.04% and CPER was down 2.10%.</x:v>
      </x:c>
      <x:c r="I189" s="44" t="str">
        <x:v>Weakens breadth and prior health-care follow-through</x:v>
      </x:c>
      <x:c r="J189" s="44" t="n">
        <x:v>5</x:v>
      </x:c>
      <x:c r="K189" s="44" t="str">
        <x:v>RSP fell slightly less than SPY and XLI held positive, but the sharp XBI and IWM reversals removed the morning's main confirmation. Copper and broad materials also failed to confirm.</x:v>
      </x:c>
    </x:row>
    <x:row r="190">
      <x:c r="A190" t="str">
        <x:v>EV-2026-185</x:v>
      </x:c>
      <x:c r="B190" t="str">
        <x:v>EEI-2026-003</x:v>
      </x:c>
      <x:c r="C190" s="53" t="n">
        <x:v>46288.634351851855</x:v>
      </x:c>
      <x:c r="D190" t="str">
        <x:v>Rates and oil modifier</x:v>
      </x:c>
      <x:c r="E190" t="str">
        <x:v>Reuters and live U.S. Treasury market data</x:v>
      </x:c>
      <x:c r="F190" t="str">
        <x:v>High-quality reporting and quoted market data</x:v>
      </x:c>
      <x:c r="G190" s="44" t="str">
        <x:v>https://www.reuters.com/business/energy/oil-falls-increased-gulf-supply-hopes-us-iran-talks-2026-09-23/</x:v>
      </x:c>
      <x:c r="H190" s="44" t="str">
        <x:v>Reuters reported Brent near $99.62 and WTI near $90.08 as supply-normalization expectations improved. A live 10-year Treasury quote nevertheless rose to roughly 5.07% around 10:50 a.m. ET.</x:v>
      </x:c>
      <x:c r="I190" s="44" t="str">
        <x:v>Oil headwind eased, but rate contradiction strengthened</x:v>
      </x:c>
      <x:c r="J190" s="44" t="n">
        <x:v>4</x:v>
      </x:c>
      <x:c r="K190" s="44" t="str">
        <x:v>The return above 5% shows that lower oil alone is not enough to deliver the lower-rate, broad-participation mechanism. Rate-sensitive small caps and biotech weakened at the same time.</x:v>
      </x:c>
    </x:row>
    <x:row r="191">
      <x:c r="A191" t="str">
        <x:v>EV-2026-186</x:v>
      </x:c>
      <x:c r="B191" t="str">
        <x:v>EEI-2026-001</x:v>
      </x:c>
      <x:c r="C191" s="56" t="n">
        <x:v>46288.833333333336</x:v>
      </x:c>
      <x:c r="D191" t="str">
        <x:v>Paper-trade outcome</x:v>
      </x:c>
      <x:c r="E191" t="str">
        <x:v>S&amp;P Global Market Intelligence via StockAnalysis</x:v>
      </x:c>
      <x:c r="F191" t="str">
        <x:v>Daily closing market data</x:v>
      </x:c>
      <x:c r="G191" s="44" t="str">
        <x:v>https://stockanalysis.com/etf/bno/history/</x:v>
      </x:c>
      <x:c r="H191" s="44" t="str">
        <x:v>BNO closed September 23 at $60.36 versus the $57.21 September 8 opening entry. The $1,000 paper position was worth $1,055.06, up $55.06 or 5.51%; BNO rose 4.23% for the session.</x:v>
      </x:c>
      <x:c r="I191" s="44" t="str">
        <x:v>Supports the cleanest direct expression</x:v>
      </x:c>
      <x:c r="J191" s="44" t="n">
        <x:v>5</x:v>
      </x:c>
      <x:c r="K191" s="44" t="str">
        <x:v>BNO recovered most of the prior day's decline and remains the strongest of the three paper positions. This post-horizon observation does not change the completed September 18 outcome score.</x:v>
      </x:c>
    </x:row>
    <x:row r="192">
      <x:c r="A192" t="str">
        <x:v>EV-2026-187</x:v>
      </x:c>
      <x:c r="B192" t="str">
        <x:v>EEI-2026-001</x:v>
      </x:c>
      <x:c r="C192" s="56" t="n">
        <x:v>46288.833333333336</x:v>
      </x:c>
      <x:c r="D192" t="str">
        <x:v>Paper-trade outcome</x:v>
      </x:c>
      <x:c r="E192" t="str">
        <x:v>S&amp;P Global Market Intelligence via StockAnalysis</x:v>
      </x:c>
      <x:c r="F192" t="str">
        <x:v>Daily closing market data</x:v>
      </x:c>
      <x:c r="G192" s="44" t="str">
        <x:v>https://stockanalysis.com/etf/uso/history/</x:v>
      </x:c>
      <x:c r="H192" s="44" t="str">
        <x:v>USO closed September 23 at $148.89 versus the $144.60 September 8 opening entry. The $1,000 paper position was worth $1,029.67, up $29.67 or 2.97%; USO rose 3.34% for the session.</x:v>
      </x:c>
      <x:c r="I192" s="44" t="str">
        <x:v>Supports direct crude expression</x:v>
      </x:c>
      <x:c r="J192" s="44" t="n">
        <x:v>5</x:v>
      </x:c>
      <x:c r="K192" s="44" t="str">
        <x:v>USO returned above its paper-entry price and continued to outperform XOP. This is a continued-tracking result after the formal evaluation horizon.</x:v>
      </x:c>
    </x:row>
    <x:row r="193">
      <x:c r="A193" t="str">
        <x:v>EV-2026-188</x:v>
      </x:c>
      <x:c r="B193" t="str">
        <x:v>EEI-2026-001</x:v>
      </x:c>
      <x:c r="C193" s="56" t="n">
        <x:v>46288.833333333336</x:v>
      </x:c>
      <x:c r="D193" t="str">
        <x:v>Paper-trade outcome</x:v>
      </x:c>
      <x:c r="E193" t="str">
        <x:v>S&amp;P Global Market Intelligence via StockAnalysis</x:v>
      </x:c>
      <x:c r="F193" t="str">
        <x:v>Daily closing market data</x:v>
      </x:c>
      <x:c r="G193" s="44" t="str">
        <x:v>https://stockanalysis.com/etf/xop/history/</x:v>
      </x:c>
      <x:c r="H193" s="44" t="str">
        <x:v>XOP closed September 23 at $183.04 versus the $193.84 September 8 opening entry. The $1,000 paper position was worth $944.28, down $55.72 or 5.57%; XOP rose only 0.79% for the session.</x:v>
      </x:c>
      <x:c r="I193" s="44" t="str">
        <x:v>Continues to weaken the indirect equity expression</x:v>
      </x:c>
      <x:c r="J193" s="44" t="n">
        <x:v>5</x:v>
      </x:c>
      <x:c r="K193" s="44" t="str">
        <x:v>The producer-equity fund remains the expression failure and materially lags both direct crude funds, reinforcing the methodology's clean-expression rule.</x:v>
      </x:c>
    </x:row>
    <x:row r="194">
      <x:c r="A194" t="str">
        <x:v>EV-2026-189</x:v>
      </x:c>
      <x:c r="B194" t="str">
        <x:v>EEI-2026-001</x:v>
      </x:c>
      <x:c r="C194" s="56" t="n">
        <x:v>46288.833333333336</x:v>
      </x:c>
      <x:c r="D194" t="str">
        <x:v>Post-horizon outcome and modifier</x:v>
      </x:c>
      <x:c r="E194" t="str">
        <x:v>Reuters and S&amp;P Global Market Intelligence via StockAnalysis</x:v>
      </x:c>
      <x:c r="F194" t="str">
        <x:v>High-quality reporting and daily closing market data</x:v>
      </x:c>
      <x:c r="G194" s="44" t="str">
        <x:v>https://www.reuters.com/business/energy/oil-falls-increased-gulf-supply-hopes-us-iran-talks-2026-09-23/</x:v>
      </x:c>
      <x:c r="H194" s="44" t="str">
        <x:v>Reuters reported Brent near $99.62 and WTI near $90.08 earlier on September 23 as Gulf supply and diplomacy raised normalization expectations. The direct crude funds later closed sharply higher, with BNO up 4.23% and USO up 3.34% for the session.</x:v>
      </x:c>
      <x:c r="I194" s="44" t="str">
        <x:v>Mixed; physical normalization remains the invalidation path while headline sensitivity persists</x:v>
      </x:c>
      <x:c r="J194" s="44" t="n">
        <x:v>4</x:v>
      </x:c>
      <x:c r="K194" s="44" t="str">
        <x:v>The original thesis succeeded during its formal horizon, but the extended hold remains volatile. Saudi bypass restoration and any durable Hormuz reopening weaken the scarcity premium; renewed disruption can restore it quickly. The portfolio closed at $3,029.01, up $29.01 or 0.97% from inception.</x:v>
      </x:c>
    </x:row>
    <x:row r="195">
      <x:c r="A195" t="str">
        <x:v>EV-2026-190</x:v>
      </x:c>
      <x:c r="B195" t="str">
        <x:v>EEI-2026-009</x:v>
      </x:c>
      <x:c r="C195" s="21" t="n">
        <x:v>46289.51803240741</x:v>
      </x:c>
      <x:c r="D195" t="str">
        <x:v>Physical confirmation and government response</x:v>
      </x:c>
      <x:c r="E195" t="str">
        <x:v>Reuters</x:v>
      </x:c>
      <x:c r="F195" t="str">
        <x:v>High-quality reporting of official statements and physical logistics</x:v>
      </x:c>
      <x:c r="G195" s="44" t="str">
        <x:v>https://www.reuters.com/business/energy/serbia-release-reserve-diesel-due-global-shortage-energy-minister-says-2026-09-24/</x:v>
      </x:c>
      <x:c r="H195" s="44" t="str">
        <x:v>Serbia said it would release about 5,000 metric tons of diesel from state reserves because of the global shortage. August Danube fuel imports fell to roughly 25%-30% of planned volume as low water restricted barge loading to about 30%-40% of normal capacity.</x:v>
      </x:c>
      <x:c r="I195" s="44" t="str">
        <x:v>Strengthens scarcity and materiality</x:v>
      </x:c>
      <x:c r="J195" s="44" t="n">
        <x:v>4</x:v>
      </x:c>
      <x:c r="K195" s="44" t="str">
        <x:v>A small national reserve release is not globally decisive, but it is a concrete government response to physical diesel scarcity and impaired regional logistics.</x:v>
      </x:c>
    </x:row>
    <x:row r="196">
      <x:c r="A196" t="str">
        <x:v>EV-2026-191</x:v>
      </x:c>
      <x:c r="B196" t="str">
        <x:v>EEI-2026-009</x:v>
      </x:c>
      <x:c r="C196" s="21" t="n">
        <x:v>46289.51803240741</x:v>
      </x:c>
      <x:c r="D196" t="str">
        <x:v>Market confirmation and policy contradiction</x:v>
      </x:c>
      <x:c r="E196" t="str">
        <x:v>Reuters</x:v>
      </x:c>
      <x:c r="F196" t="str">
        <x:v>High-quality reporting with observable commodity and inventory data</x:v>
      </x:c>
      <x:c r="G196" s="44" t="str">
        <x:v>https://www.reuters.com/business/energy/oil-prices-edge-lower-iran-says-it-is-open-diplomacy-end-war-2026-09-24/</x:v>
      </x:c>
      <x:c r="H196" s="44" t="str">
        <x:v>Brent rose about 2.36% to $105.51 and WTI 1.89% to $93.90; European diesel futures remained near all-time highs and U.S. distillate stocks fell 428,000 barrels to 107.4 million. The White House denied preparing a 90-day diesel-export ban.</x:v>
      </x:c>
      <x:c r="I196" s="44" t="str">
        <x:v>Confirms physical tightness; reduces immediate policy shock</x:v>
      </x:c>
      <x:c r="J196" s="44" t="n">
        <x:v>4</x:v>
      </x:c>
      <x:c r="K196" s="44" t="str">
        <x:v>Commodity confirmation is strong, but the export-ban reversal, higher U.S. crude inventories and diplomatic options increase headline risk and leave the Entry Window at WAIT.</x:v>
      </x:c>
    </x:row>
    <x:row r="197">
      <x:c r="A197" t="str">
        <x:v>EV-2026-192</x:v>
      </x:c>
      <x:c r="B197" t="str">
        <x:v>EEI-2026-003</x:v>
      </x:c>
      <x:c r="C197" s="21" t="n">
        <x:v>46289.51803240741</x:v>
      </x:c>
      <x:c r="D197" t="str">
        <x:v>Election-outlook confirmation</x:v>
      </x:c>
      <x:c r="E197" t="str">
        <x:v>Reuters / Ipsos</x:v>
      </x:c>
      <x:c r="F197" t="str">
        <x:v>High-quality reporting of a national poll</x:v>
      </x:c>
      <x:c r="G197" s="44" t="str">
        <x:v>https://www.reuters.com/world/us/trump-approval-falls-career-low-32-high-costs-bite-reutersipsos-poll-finds-2026-09-21/</x:v>
      </x:c>
      <x:c r="H197" s="44" t="str">
        <x:v>Registered voters preferred Democratic congressional candidates 43% to 35%, the largest Democratic lead in Reuters/Ipsos polling during 2026. Presidential approval was 32%, and only 17% approved of handling the cost of living.</x:v>
      </x:c>
      <x:c r="I197" s="44" t="str">
        <x:v>Strengthens political-shift probability; no chamber-control conclusion</x:v>
      </x:c>
      <x:c r="J197" s="44" t="n">
        <x:v>4</x:v>
      </x:c>
      <x:c r="K197" s="44" t="str">
        <x:v>The national poll does not resolve individual House districts or Senate races. No new U.S. cash-market session was available to confirm the investment mechanism.</x:v>
      </x:c>
    </x:row>
    <x:row r="198">
      <x:c r="A198" t="str">
        <x:v>EV-2026-193</x:v>
      </x:c>
      <x:c r="B198"/>
      <x:c r="C198" s="21" t="n">
        <x:v>46289.51803240741</x:v>
      </x:c>
      <x:c r="D198" t="str">
        <x:v>Rejected Motley Fool trigger</x:v>
      </x:c>
      <x:c r="E198" t="str">
        <x:v>The Motley Fool — Jack Delaney</x:v>
      </x:c>
      <x:c r="F198" t="str">
        <x:v>Idea generator only; free editorial content</x:v>
      </x:c>
      <x:c r="G198" s="44" t="str">
        <x:v>https://www.fool.com/investing/2026/09/24/easiest-way-invest-in-anthropic-ipo-amazon/</x:v>
      </x:c>
      <x:c r="H198" s="44" t="str">
        <x:v>Free editorial published September 24 at 5:18 a.m. ET proposed Amazon as an indirect way to invest in a possible Anthropic IPO. The author disclosed no Amazon position; Motley Fool recommends Amazon.</x:v>
      </x:c>
      <x:c r="I198" s="44" t="str">
        <x:v>Rejected as speculative and immaterial to the proposed expression</x:v>
      </x:c>
      <x:c r="J198" s="44" t="n">
        <x:v>3</x:v>
      </x:c>
      <x:c r="K198" s="44" t="str">
        <x:v>Ticker AMZN. The possible November IPO was press speculation, while the AWS commitment was previously known. No primary IPO filing, disclosed valuation, new Amazon economics or favorable entry structure was established. Not an official paid-service recommendation; no distinct thesis created.</x:v>
      </x:c>
    </x:row>
    <x:row r="199">
      <x:c r="A199" t="str">
        <x:v>EV-2026-194</x:v>
      </x:c>
      <x:c r="B199"/>
      <x:c r="C199" s="21" t="n">
        <x:v>46289.51803240741</x:v>
      </x:c>
      <x:c r="D199" t="str">
        <x:v>Rejected Motley Fool trigger</x:v>
      </x:c>
      <x:c r="E199" t="str">
        <x:v>The Motley Fool — Keithen Drury</x:v>
      </x:c>
      <x:c r="F199" t="str">
        <x:v>Idea generator only; free editorial content</x:v>
      </x:c>
      <x:c r="G199" s="44" t="str">
        <x:v>https://www.fool.com/investing/2026/09/24/spacex-and-nvidia-just-deepened-their-compute-alli/</x:v>
      </x:c>
      <x:c r="H199" s="44" t="str">
        <x:v>Free editorial published September 24 at 5:15 a.m. ET highlighted SpaceX use of Nvidia Vera compute. The author disclosed an Nvidia position; Motley Fool owns and recommends Nvidia.</x:v>
      </x:c>
      <x:c r="I199" s="44" t="str">
        <x:v>Rejected after primary corroboration and materiality test</x:v>
      </x:c>
      <x:c r="J199" s="44" t="n">
        <x:v>3</x:v>
      </x:c>
      <x:c r="K199" s="44" t="str">
        <x:v>Ticker NVDA. Nvidia publicly corroborated the deployment, but no order value or financial materiality was disclosed relative to Nvidia's scale. AI demand is well known and the price structure offers no non-chasing entry. Not an official paid-service recommendation; no distinct thesis created.</x:v>
      </x:c>
    </x:row>
    <x:row r="200">
      <x:c r="A200" t="str">
        <x:v>EV-2026-195</x:v>
      </x:c>
      <x:c r="B200"/>
      <x:c r="C200" s="21" t="n">
        <x:v>46289.51803240741</x:v>
      </x:c>
      <x:c r="D200" t="str">
        <x:v>Rejected Motley Fool trigger</x:v>
      </x:c>
      <x:c r="E200" t="str">
        <x:v>The Motley Fool — Keith Speights</x:v>
      </x:c>
      <x:c r="F200" t="str">
        <x:v>Idea generator only; free editorial content</x:v>
      </x:c>
      <x:c r="G200" s="44" t="str">
        <x:v>https://www.fool.com/investing/2026/09/24/intuitive-surgical-stock-has-plunged-29-this-year/</x:v>
      </x:c>
      <x:c r="H200" s="44" t="str">
        <x:v>Free editorial published September 24 argued that Intuitive Surgical was attractive after a 29% decline. The writer disclosed an Intuitive Surgical position; Motley Fool owns and recommends the shares and disclosed options positions.</x:v>
      </x:c>
      <x:c r="I200" s="44" t="str">
        <x:v>Rejected as valuation opinion without a new catalyst</x:v>
      </x:c>
      <x:c r="J200" s="44" t="n">
        <x:v>3</x:v>
      </x:c>
      <x:c r="K200" s="44" t="str">
        <x:v>Ticker ISRG. Primary Q2 materials showed revenue up 19%, da Vinci procedure growth of 15%, installed-base growth of 12% and non-GAAP gross margin near 70%, but growth decelerated and valuation remains demanding. Next earnings are the cleaner checkpoint. Not an official paid-service recommendation; no distinct thesis created.</x:v>
      </x:c>
    </x:row>
    <x:row r="201">
      <x:c r="A201" t="str">
        <x:v>EV-2026-196</x:v>
      </x:c>
      <x:c r="B201"/>
      <x:c r="C201" s="21" t="n">
        <x:v>46289.51803240741</x:v>
      </x:c>
      <x:c r="D201" t="str">
        <x:v>Rejected government-award trigger</x:v>
      </x:c>
      <x:c r="E201" t="str">
        <x:v>U.S. Army</x:v>
      </x:c>
      <x:c r="F201" t="str">
        <x:v>Primary government contract announcement</x:v>
      </x:c>
      <x:c r="G201" s="44" t="str">
        <x:v>https://www.army.mil/article/295461/u_s_army_awards_contract_to_modernize_ammunition_management</x:v>
      </x:c>
      <x:c r="H201" s="44" t="str">
        <x:v>The Army announced a $48.094 million firm-fixed-price delivery order to Palantir for ammunition-management modernization after a competitive three-phase evaluation. The underlying announcement was dated September 17 rather than a new September 24 award.</x:v>
      </x:c>
      <x:c r="I201" s="44" t="str">
        <x:v>Rejected as stale and immaterial</x:v>
      </x:c>
      <x:c r="J201" s="44" t="n">
        <x:v>5</x:v>
      </x:c>
      <x:c r="K201" s="44" t="str">
        <x:v>Recipient and parent: Palantir Technologies; action: delivery order; reported value: $48.094 million; competition: three-phase competitive process. Award identifier, initial obligation, NAICS/PSC and complete period of performance were not established in the accessible record. The value is not material to Palantir at company scale and the market had time to expect it.</x:v>
      </x:c>
    </x:row>
    <x:row r="202">
      <x:c r="A202" t="str">
        <x:v>EV-2026-197</x:v>
      </x:c>
      <x:c r="B202" t="str">
        <x:v>EEI-2026-009</x:v>
      </x:c>
      <x:c r="C202" s="21" t="n">
        <x:v>46289.51803240741</x:v>
      </x:c>
      <x:c r="D202" t="str">
        <x:v>Long-run supply modifier</x:v>
      </x:c>
      <x:c r="E202" t="str">
        <x:v>Reuters</x:v>
      </x:c>
      <x:c r="F202" t="str">
        <x:v>High-quality reporting of company and government statements</x:v>
      </x:c>
      <x:c r="G202" s="44" t="str">
        <x:v>https://www.reuters.com/business/energy/russia-starts-exports-arctic-vostok-oil-project-boost-long-term-production-2026-09-24/</x:v>
      </x:c>
      <x:c r="H202" s="44" t="str">
        <x:v>Russia began exports from the Vostok Oil project at about 150,000 barrels per day and expects roughly 600,000 barrels per day in the second half of 2027 and 1 million by 2030.</x:v>
      </x:c>
      <x:c r="I202" s="44" t="str">
        <x:v>Long-run crude-supply contradiction; limited immediate diesel effect</x:v>
      </x:c>
      <x:c r="J202" s="44" t="n">
        <x:v>4</x:v>
      </x:c>
      <x:c r="K202" s="44" t="str">
        <x:v>The project can add crude supply over years, but current volume is small relative to the diesel shortage and does not directly restore refinery capacity, product exports or impaired logistics.</x:v>
      </x:c>
    </x:row>
    <x:row r="203">
      <x:c r="A203" t="str">
        <x:v>EV-2026-198</x:v>
      </x:c>
      <x:c r="B203" t="str">
        <x:v>EEI-2026-003</x:v>
      </x:c>
      <x:c r="C203" s="21" t="n">
        <x:v>46289.65069444444</x:v>
      </x:c>
      <x:c r="D203" t="str">
        <x:v>Intraday breadth and sector check</x:v>
      </x:c>
      <x:c r="E203" t="str">
        <x:v>Current ETF market data</x:v>
      </x:c>
      <x:c r="F203" t="str">
        <x:v>Quoted market data</x:v>
      </x:c>
      <x:c r="G203" s="44" t="str">
        <x:v>https://www.reuters.com/lseg/</x:v>
      </x:c>
      <x:c r="H203" s="44" t="str">
        <x:v>At approximately 11:24 a.m. ET, SPY was -0.46% and RSP -0.50%; IWM -0.83%, XLI -0.91%, XLB -1.03%, XBI -1.04%, CPER -0.30% and XLF -0.36%. XLV +0.85% was the only positive candidate.</x:v>
      </x:c>
      <x:c r="I203" s="44" t="str">
        <x:v>Weakens breadth and cyclical confirmation</x:v>
      </x:c>
      <x:c r="J203" s="44" t="n">
        <x:v>5</x:v>
      </x:c>
      <x:c r="K203" s="44" t="str">
        <x:v>Defensive XLV strength does not confirm broad uncertainty relief, while biotech and small caps declined.</x:v>
      </x:c>
    </x:row>
    <x:row r="204">
      <x:c r="A204" t="str">
        <x:v>EV-2026-199</x:v>
      </x:c>
      <x:c r="B204" t="str">
        <x:v>EEI-2026-003</x:v>
      </x:c>
      <x:c r="C204" s="21" t="n">
        <x:v>46289.65069444444</x:v>
      </x:c>
      <x:c r="D204" t="str">
        <x:v>Rates, oil and inflation modifier</x:v>
      </x:c>
      <x:c r="E204" t="str">
        <x:v>Reuters</x:v>
      </x:c>
      <x:c r="F204" t="str">
        <x:v>High-quality reporting</x:v>
      </x:c>
      <x:c r="G204" s="44" t="str">
        <x:v>https://www.reuters.com/business/energy/oil-prices-edge-lower-iran-says-it-is-open-diplomacy-end-war-2026-09-24/</x:v>
      </x:c>
      <x:c r="H204" s="44" t="str">
        <x:v>Reuters reported Brent near $105.51 and WTI near $93.90 on September 24. Reuters' Morning Bid also noted U.S. Treasury yields above 5% amid strong data, energy costs and expectations for additional tightening.</x:v>
      </x:c>
      <x:c r="I204" s="44" t="str">
        <x:v>Strengthens the inflation-to-rates headwind</x:v>
      </x:c>
      <x:c r="J204" s="44" t="n">
        <x:v>4</x:v>
      </x:c>
      <x:c r="K204" s="44" t="str">
        <x:v>Diplomatic signals and the denial of an export ban offer possible oil relief; earnings estimates remain supportive.</x:v>
      </x:c>
    </x:row>
    <x:row r="205">
      <x:c r="A205" t="str">
        <x:v>EV-2026-200</x:v>
      </x:c>
      <x:c r="B205" t="str">
        <x:v>EEI-2026-001</x:v>
      </x:c>
      <x:c r="C205" s="21" t="n">
        <x:v>46289.833333333336</x:v>
      </x:c>
      <x:c r="D205" t="str">
        <x:v>Paper-trade outcome</x:v>
      </x:c>
      <x:c r="E205" t="str">
        <x:v>S&amp;P Global Market Intelligence via StockAnalysis</x:v>
      </x:c>
      <x:c r="F205" t="str">
        <x:v>Daily closing market data</x:v>
      </x:c>
      <x:c r="G205" s="44" t="str">
        <x:v>https://stockanalysis.com/etf/bno/history/</x:v>
      </x:c>
      <x:c r="H205" s="44" t="str">
        <x:v>BNO closed September 24 at $61.56 versus the $57.21 September 8 opening entry. The $1,000 paper position was worth $1,076.04, up $76.04 or 7.60%; BNO rose 1.99% for the session.</x:v>
      </x:c>
      <x:c r="I205" s="44" t="str">
        <x:v>Supports the cleanest direct expression</x:v>
      </x:c>
      <x:c r="J205" s="44" t="n">
        <x:v>5</x:v>
      </x:c>
      <x:c r="K205" s="44" t="str">
        <x:v>BNO remains the strongest of the three positions. This is continued tracking after the formal September 18 horizon and does not change the completed outcome score.</x:v>
      </x:c>
    </x:row>
    <x:row r="206">
      <x:c r="A206" t="str">
        <x:v>EV-2026-201</x:v>
      </x:c>
      <x:c r="B206" t="str">
        <x:v>EEI-2026-001</x:v>
      </x:c>
      <x:c r="C206" s="21" t="n">
        <x:v>46289.833333333336</x:v>
      </x:c>
      <x:c r="D206" t="str">
        <x:v>Paper-trade outcome</x:v>
      </x:c>
      <x:c r="E206" t="str">
        <x:v>S&amp;P Global Market Intelligence via StockAnalysis</x:v>
      </x:c>
      <x:c r="F206" t="str">
        <x:v>Daily closing market data</x:v>
      </x:c>
      <x:c r="G206" s="44" t="str">
        <x:v>https://stockanalysis.com/etf/uso/history/</x:v>
      </x:c>
      <x:c r="H206" s="44" t="str">
        <x:v>USO closed September 24 at $153.25 versus the $144.60 September 8 opening entry. The $1,000 paper position was worth $1,059.82, up $59.82 or 5.98%; USO rose 2.97% for the session.</x:v>
      </x:c>
      <x:c r="I206" s="44" t="str">
        <x:v>Supports direct crude expression</x:v>
      </x:c>
      <x:c r="J206" s="44" t="n">
        <x:v>5</x:v>
      </x:c>
      <x:c r="K206" s="44" t="str">
        <x:v>USO remains profitable and continues to outperform XOP. This is a post-horizon observation.</x:v>
      </x:c>
    </x:row>
    <x:row r="207">
      <x:c r="A207" t="str">
        <x:v>EV-2026-202</x:v>
      </x:c>
      <x:c r="B207" t="str">
        <x:v>EEI-2026-001</x:v>
      </x:c>
      <x:c r="C207" s="21" t="n">
        <x:v>46289.833333333336</x:v>
      </x:c>
      <x:c r="D207" t="str">
        <x:v>Paper-trade outcome</x:v>
      </x:c>
      <x:c r="E207" t="str">
        <x:v>S&amp;P Global Market Intelligence via StockAnalysis</x:v>
      </x:c>
      <x:c r="F207" t="str">
        <x:v>Daily closing market data</x:v>
      </x:c>
      <x:c r="G207" s="44" t="str">
        <x:v>https://stockanalysis.com/etf/xop/history/</x:v>
      </x:c>
      <x:c r="H207" s="44" t="str">
        <x:v>XOP closed September 24 at $184.31 versus the $193.84 September 8 opening entry. The $1,000 paper position was worth $950.84, down $49.16 or 4.92%; XOP rose 0.91% for the session.</x:v>
      </x:c>
      <x:c r="I207" s="44" t="str">
        <x:v>Continues to weaken the indirect equity expression</x:v>
      </x:c>
      <x:c r="J207" s="44" t="n">
        <x:v>5</x:v>
      </x:c>
      <x:c r="K207" s="44" t="str">
        <x:v>The producer-equity proxy remains below entry and materially trails both direct crude funds, reinforcing the clean-expression rule.</x:v>
      </x:c>
    </x:row>
    <x:row r="208">
      <x:c r="A208" t="str">
        <x:v>EV-2026-203</x:v>
      </x:c>
      <x:c r="B208" t="str">
        <x:v>EEI-2026-001</x:v>
      </x:c>
      <x:c r="C208" s="21" t="n">
        <x:v>46289.833333333336</x:v>
      </x:c>
      <x:c r="D208" t="str">
        <x:v>Diplomatic invalidation development</x:v>
      </x:c>
      <x:c r="E208" t="str">
        <x:v>Reuters</x:v>
      </x:c>
      <x:c r="F208" t="str">
        <x:v>High-quality reporting</x:v>
      </x:c>
      <x:c r="G208" s="44" t="str">
        <x:v>https://www.reuters.com/world/asia-pacific/us-iran-discuss-phased-deal-reopen-hormuz-end-us-blockade-sources-say-2026-09-24/</x:v>
      </x:c>
      <x:c r="H208" s="44" t="str">
        <x:v>U.S. and Iranian negotiators were exploring a phased arrangement under which Iran would reopen Hormuz and the United States would lift its economic blockade, but neither side wanted to give up leverage first and no agreement had been reached.</x:v>
      </x:c>
      <x:c r="I208" s="44" t="str">
        <x:v>Weakens extended-hold thesis; not yet an invalidation</x:v>
      </x:c>
      <x:c r="J208" s="44" t="n">
        <x:v>4</x:v>
      </x:c>
      <x:c r="K208" s="44" t="str">
        <x:v>A durable reopening would compress the scarcity premium. The paper portfolio nevertheless closed at $3,086.69, +$86.69 (+2.89%) from inception. The formal September 18 outcome remains unchanged.</x:v>
      </x:c>
    </x:row>
    <x:row r="209">
      <x:c r="A209" t="str">
        <x:v>EV-2026-204</x:v>
      </x:c>
      <x:c r="B209" t="str">
        <x:v>EEI-2026-001</x:v>
      </x:c>
      <x:c r="C209" s="21" t="n">
        <x:v>46289.833333333336</x:v>
      </x:c>
      <x:c r="D209" t="str">
        <x:v>Continuing disruption confirmation</x:v>
      </x:c>
      <x:c r="E209" t="str">
        <x:v>Reuters</x:v>
      </x:c>
      <x:c r="F209" t="str">
        <x:v>High-quality reporting of joint government statement</x:v>
      </x:c>
      <x:c r="G209" s="44" t="str">
        <x:v>https://www.reuters.com/world/middle-east/un-80-countries-demand-reopening-hormuz-condemn-iran-houthi-attacks-2026-09-24/</x:v>
      </x:c>
      <x:c r="H209" s="44" t="str">
        <x:v>A joint statement backed by about 80 countries called for the urgent reopening of Hormuz and condemned continuing disruption to international trade and energy security, while also warning that Houthi activity near Bab el-Mandeb increased shipping risk.</x:v>
      </x:c>
      <x:c r="I209" s="44" t="str">
        <x:v>Confirms disruption remains unresolved</x:v>
      </x:c>
      <x:c r="J209" s="44" t="n">
        <x:v>4</x:v>
      </x:c>
      <x:c r="K209" s="44" t="str">
        <x:v>The statement confirms the chokepoint problem is still live, but political pressure for reopening and active U.S.-Iran talks make the extended hold highly headline-sensitive.</x:v>
      </x:c>
    </x:row>
    <x:row r="210">
      <x:c r="A210" t="str">
        <x:v>EV-2026-205</x:v>
      </x:c>
      <x:c r="B210" t="str">
        <x:v>EEI-2026-003</x:v>
      </x:c>
      <x:c r="C210" s="21" t="n">
        <x:v>46290.66180555556</x:v>
      </x:c>
      <x:c r="D210" t="str">
        <x:v>Competitive-state election confirmation</x:v>
      </x:c>
      <x:c r="E210" t="str">
        <x:v>Reuters</x:v>
      </x:c>
      <x:c r="F210" t="str">
        <x:v>High-quality reporting of polls, campaign filings and party behavior</x:v>
      </x:c>
      <x:c r="G210" s="44" t="str">
        <x:v>https://www.reuters.com/world/us/rush-money-campaign-stops-show-republicans-feel-vulnerable-iowa-kansas-2026-09-25/</x:v>
      </x:c>
      <x:c r="H210" s="44" t="str">
        <x:v>Reuters reported unusual Republican campaign attention and spending in Iowa, Kansas and Nebraska. A September 22 Iowa poll put the Democratic Senate candidate ahead 50% to 42%; Kansas polling showed the Democratic challenger at 45% versus 43%, within the margin of error.</x:v>
      </x:c>
      <x:c r="I210" s="44" t="str">
        <x:v>Strengthens political-shift probability with state-level evidence</x:v>
      </x:c>
      <x:c r="J210" s="44" t="n">
        <x:v>5</x:v>
      </x:c>
      <x:c r="K210" s="44" t="str">
        <x:v>The races remain unsettled, polls have sampling error, and vulnerability in several states does not establish control of either chamber.</x:v>
      </x:c>
    </x:row>
    <x:row r="211">
      <x:c r="A211" t="str">
        <x:v>EV-2026-206</x:v>
      </x:c>
      <x:c r="B211" t="str">
        <x:v>EEI-2026-003</x:v>
      </x:c>
      <x:c r="C211" s="21" t="n">
        <x:v>46290.66180555556</x:v>
      </x:c>
      <x:c r="D211" t="str">
        <x:v>Market, rates and sector confirmation</x:v>
      </x:c>
      <x:c r="E211" t="str">
        <x:v>Current ETF market data and Reuters</x:v>
      </x:c>
      <x:c r="F211" t="str">
        <x:v>Quoted market data and high-quality reporting</x:v>
      </x:c>
      <x:c r="G211" s="44" t="str">
        <x:v>https://www.reuters.com/world/china/global-markets-global-markets-2026-09-24/</x:v>
      </x:c>
      <x:c r="H211" s="44" t="str">
        <x:v>At approximately 11:40 a.m. ET, SPY was +0.12%, RSP +0.05%, IWM -0.14%, XLI +0.37%, XLB -0.22%, XLV +0.04%, XBI -0.79%, XLF +0.04% and CPER -0.27%. Reuters reported the 10-year Treasury yield at 5.196% on September 24 and a 71% market-implied chance of an October rate increase.</x:v>
      </x:c>
      <x:c r="I211" s="44" t="str">
        <x:v>XLI improves selectively; broad confirmation remains absent</x:v>
      </x:c>
      <x:c r="J211" s="44" t="n">
        <x:v>5</x:v>
      </x:c>
      <x:c r="K211" s="44" t="str">
        <x:v>SPY and RSP were positive, and earnings estimates remain supportive, but small caps, biotech, materials and copper contradicted broad risk appetite.</x:v>
      </x:c>
    </x:row>
    <x:row r="212">
      <x:c r="A212" t="str">
        <x:v>EV-2026-207</x:v>
      </x:c>
      <x:c r="B212" t="str">
        <x:v>EEI-2026-001</x:v>
      </x:c>
      <x:c r="C212" s="56" t="n">
        <x:v>46290.833333333336</x:v>
      </x:c>
      <x:c r="D212" t="str">
        <x:v>Paper-trade outcome</x:v>
      </x:c>
      <x:c r="E212" t="str">
        <x:v>S&amp;P Global Market Intelligence via StockAnalysis</x:v>
      </x:c>
      <x:c r="F212" t="str">
        <x:v>Regular-session closing market data</x:v>
      </x:c>
      <x:c r="G212" s="44" t="str">
        <x:v>https://stockanalysis.com/etf/bno/</x:v>
      </x:c>
      <x:c r="H212" s="44" t="str">
        <x:v>BNO closed September 25 at $59.65 versus the $57.21 September 8 opening entry. The $1,000 paper position was worth $1,042.65, up $42.65 or 4.26%.</x:v>
      </x:c>
      <x:c r="I212" s="44" t="str">
        <x:v>Supports the cleanest direct expression, but with a shrinking gain</x:v>
      </x:c>
      <x:c r="J212" s="44" t="n">
        <x:v>5</x:v>
      </x:c>
      <x:c r="K212" s="44" t="str">
        <x:v>BNO remains the strongest position. This is continued tracking after the formal September 18 horizon and does not change the completed outcome score.</x:v>
      </x:c>
    </x:row>
    <x:row r="213">
      <x:c r="A213" t="str">
        <x:v>EV-2026-208</x:v>
      </x:c>
      <x:c r="B213" t="str">
        <x:v>EEI-2026-001</x:v>
      </x:c>
      <x:c r="C213" s="56" t="n">
        <x:v>46290.833333333336</x:v>
      </x:c>
      <x:c r="D213" t="str">
        <x:v>Paper-trade outcome</x:v>
      </x:c>
      <x:c r="E213" t="str">
        <x:v>S&amp;P Global Market Intelligence via StockAnalysis</x:v>
      </x:c>
      <x:c r="F213" t="str">
        <x:v>Regular-session closing market data</x:v>
      </x:c>
      <x:c r="G213" s="44" t="str">
        <x:v>https://stockanalysis.com/etf/uso/</x:v>
      </x:c>
      <x:c r="H213" s="44" t="str">
        <x:v>USO closed September 25 at $148.39 versus the $144.60 September 8 opening entry. The $1,000 paper position was worth $1,026.21, up $26.21 or 2.62%.</x:v>
      </x:c>
      <x:c r="I213" s="44" t="str">
        <x:v>Supports direct crude expression, but the extended-hold cushion has narrowed</x:v>
      </x:c>
      <x:c r="J213" s="44" t="n">
        <x:v>5</x:v>
      </x:c>
      <x:c r="K213" s="44" t="str">
        <x:v>USO remains above entry and continues to outperform XOP. This is a post-horizon observation.</x:v>
      </x:c>
    </x:row>
    <x:row r="214">
      <x:c r="A214" t="str">
        <x:v>EV-2026-209</x:v>
      </x:c>
      <x:c r="B214" t="str">
        <x:v>EEI-2026-001</x:v>
      </x:c>
      <x:c r="C214" s="56" t="n">
        <x:v>46290.833333333336</x:v>
      </x:c>
      <x:c r="D214" t="str">
        <x:v>Paper-trade outcome</x:v>
      </x:c>
      <x:c r="E214" t="str">
        <x:v>S&amp;P Global Market Intelligence via StockAnalysis</x:v>
      </x:c>
      <x:c r="F214" t="str">
        <x:v>Regular-session closing market data</x:v>
      </x:c>
      <x:c r="G214" s="44" t="str">
        <x:v>https://stockanalysis.com/etf/xop/</x:v>
      </x:c>
      <x:c r="H214" s="44" t="str">
        <x:v>XOP closed September 25 at $181.50 versus the $193.84 September 8 opening entry. The $1,000 paper position was worth $936.34, down $63.66 or 6.37%.</x:v>
      </x:c>
      <x:c r="I214" s="44" t="str">
        <x:v>Continues to weaken the indirect equity expression</x:v>
      </x:c>
      <x:c r="J214" s="44" t="n">
        <x:v>5</x:v>
      </x:c>
      <x:c r="K214" s="44" t="str">
        <x:v>The producer-equity proxy remains the expression failure and materially trails both direct crude funds, reinforcing the methodology's clean-expression rule.</x:v>
      </x:c>
    </x:row>
    <x:row r="215">
      <x:c r="A215" t="str">
        <x:v>EV-2026-210</x:v>
      </x:c>
      <x:c r="B215" t="str">
        <x:v>EEI-2026-001</x:v>
      </x:c>
      <x:c r="C215" s="56" t="n">
        <x:v>46290.833333333336</x:v>
      </x:c>
      <x:c r="D215" t="str">
        <x:v>Post-horizon reversal and diplomatic modifier</x:v>
      </x:c>
      <x:c r="E215" t="str">
        <x:v>Reuters and S&amp;P Global Market Intelligence via StockAnalysis</x:v>
      </x:c>
      <x:c r="F215" t="str">
        <x:v>High-quality reporting and regular-session closing market data</x:v>
      </x:c>
      <x:c r="G215" s="44" t="str">
        <x:v>https://www.reuters.com/world/asia-pacific/us-iran-discuss-phased-deal-reopen-hormuz-end-us-blockade-sources-say-2026-09-24/</x:v>
      </x:c>
      <x:c r="H215" s="44" t="str">
        <x:v>U.S. and Iranian negotiators were exploring a phased arrangement to reopen Hormuz and lift the U.S. economic blockade, although sequencing remained unresolved and no agreement had been reached. By the September 25 close, the three-position paper portfolio had fallen to $3,005.20, up only $5.20 or 0.17% from inception.</x:v>
      </x:c>
      <x:c r="I215" s="44" t="str">
        <x:v>Materially weakens the extended-hold thesis; not a retroactive change to the formal result</x:v>
      </x:c>
      <x:c r="J215" s="44" t="n">
        <x:v>4</x:v>
      </x:c>
      <x:c r="K215" s="44" t="str">
        <x:v>Diplomacy, increased Hormuz flows and partial Saudi bypass restoration are compressing the scarcity premium. The original thesis still succeeded during its formal horizon, while the extended hold is now essentially at breakeven.</x:v>
      </x:c>
    </x:row>
    <x:row r="216">
      <x:c r="A216" t="str">
        <x:v>EV-2026-211</x:v>
      </x:c>
      <x:c r="B216" t="str">
        <x:v>EEI-2026-001</x:v>
      </x:c>
      <x:c r="C216" s="56" t="n">
        <x:v>46290.833333333336</x:v>
      </x:c>
      <x:c r="D216" t="str">
        <x:v>Continuing infrastructure-risk confirmation</x:v>
      </x:c>
      <x:c r="E216" t="str">
        <x:v>Reuters</x:v>
      </x:c>
      <x:c r="F216" t="str">
        <x:v>High-quality reporting; attack claims not independently verified</x:v>
      </x:c>
      <x:c r="G216" s="44" t="str">
        <x:v>https://www.reuters.com/world/middle-east/houthis-say-they-attacked-riyadh-aramco-facilities-yanbu-2026-09-24/</x:v>
      </x:c>
      <x:c r="H216" s="44" t="str">
        <x:v>The Houthis claimed missile and drone attacks on Riyadh and Aramco facilities at Yanbu, while Saudi Arabia said it intercepted six ballistic missiles aimed at Taif and Yanbu. Damage to oil infrastructure was not confirmed.</x:v>
      </x:c>
      <x:c r="I216" s="44" t="str">
        <x:v>Confirms residual infrastructure risk, but not a verified new supply loss</x:v>
      </x:c>
      <x:c r="J216" s="44" t="n">
        <x:v>4</x:v>
      </x:c>
      <x:c r="K216" s="44" t="str">
        <x:v>The chokepoint and bypass network remain exposed to renewed disruption. Without confirmed damage, this is risk evidence rather than proof of a fresh supply shock.</x:v>
      </x:c>
    </x:row>
    <x:row r="217">
      <x:c r="A217" t="str">
        <x:v>EV-2026-212</x:v>
      </x:c>
      <x:c r="B217" t="str">
        <x:v>EEI-2026-003</x:v>
      </x:c>
      <x:c r="C217" s="21" t="n">
        <x:v>46291.50768518519</x:v>
      </x:c>
      <x:c r="D217" t="str">
        <x:v>Independent confirmation</x:v>
      </x:c>
      <x:c r="E217" t="str">
        <x:v>Cook Political Report</x:v>
      </x:c>
      <x:c r="F217" t="str">
        <x:v>Specialist nonpartisan analysis</x:v>
      </x:c>
      <x:c r="G217" s="44" t="str">
        <x:v>https://www.cookpolitical.com/</x:v>
      </x:c>
      <x:c r="H217" s="44" t="str">
        <x:v>On September 25 Cook shifted 15 House race ratings toward Democrats and said Republicans are on track to lose their House majority; on September 23 it described Senate control as a true toss-up.</x:v>
      </x:c>
      <x:c r="I217" s="44" t="str">
        <x:v>Strengthens</x:v>
      </x:c>
      <x:c r="J217" s="44" t="n">
        <x:v>4</x:v>
      </x:c>
      <x:c r="K217" s="44" t="str">
        <x:v>This is forecast evidence, not an election result. It independently reinforces the Reuters/Ipsos generic-ballot lead and previously logged state polling; House conviction rises more than Senate conviction.</x:v>
      </x:c>
    </x:row>
    <x:row r="218">
      <x:c r="A218" t="str">
        <x:v>EV-2026-213</x:v>
      </x:c>
      <x:c r="B218" t="str">
        <x:v>EEI-2026-003</x:v>
      </x:c>
      <x:c r="C218" s="21" t="n">
        <x:v>46291.50768518519</x:v>
      </x:c>
      <x:c r="D218" t="str">
        <x:v>Market confirmation</x:v>
      </x:c>
      <x:c r="E218" t="str">
        <x:v>Reuters via MarketScreener</x:v>
      </x:c>
      <x:c r="F218" t="str">
        <x:v>High quality reporting</x:v>
      </x:c>
      <x:c r="G218" s="44" t="str">
        <x:v>https://www.marketscreener.com/news/wall-street-climbs-as-investors-buy-ai-stocks-microsoft-rallies-ce785adfd18fff20</x:v>
      </x:c>
      <x:c r="H218" s="44" t="str">
        <x:v>At the September 25 close SPY rose 0.53%, RSP 0.40%, IWM 0.11%, XLI 0.94%, XLB 0.22%, XBI fell 0.67%, XLF rose 0.52% and CPER fell 0.02%.</x:v>
      </x:c>
      <x:c r="I218" s="44" t="str">
        <x:v>Mixed</x:v>
      </x:c>
      <x:c r="J218" s="44" t="n">
        <x:v>4</x:v>
      </x:c>
      <x:c r="K218" s="44" t="str">
        <x:v>Industrials led and seven of eleven sectors advanced, but equal-weight and small caps lagged SPY and biotech declined. This supports Strong rather than Actionable and keeps Entry Window at WAIT.</x:v>
      </x:c>
    </x:row>
    <x:row r="219">
      <x:c r="A219" t="str">
        <x:v>EV-2026-214</x:v>
      </x:c>
      <x:c r="B219" t="str">
        <x:v>EEI-2026-003</x:v>
      </x:c>
      <x:c r="C219" s="21" t="n">
        <x:v>46291.50768518519</x:v>
      </x:c>
      <x:c r="D219" t="str">
        <x:v>Trigger</x:v>
      </x:c>
      <x:c r="E219" t="str">
        <x:v>The Motley Fool / Ben Gran</x:v>
      </x:c>
      <x:c r="F219" t="str">
        <x:v>Public editorial trigger only</x:v>
      </x:c>
      <x:c r="G219" s="44" t="str">
        <x:v>https://www.fool.com/investing/2026/09/26/history-shows-this-midterm-election-result-could-b/</x:v>
      </x:c>
      <x:c r="H219" s="44" t="str">
        <x:v>A free September 26 article argued that a Democratic Congress under a Republican president could modestly alter near-term returns and cited a third-party forecast of Democratic control.</x:v>
      </x:c>
      <x:c r="I219" s="44" t="str">
        <x:v>Neutral trigger</x:v>
      </x:c>
      <x:c r="J219" s="44" t="n">
        <x:v>2</x:v>
      </x:c>
      <x:c r="K219" s="44" t="str">
        <x:v>Published 6:33 a.m. ET. Ben Gran disclosed no position; Motley Fool disclosed positions/recommendations in USB and VOO. Not an official paid-service recommendation. Promotional framing and the cited forecast were not treated as confirmation; Cook and Reuters/Ipsos supplied the independent evidence.</x:v>
      </x:c>
    </x:row>
    <x:row r="220">
      <x:c r="A220" t="str">
        <x:v>EV-2026-215</x:v>
      </x:c>
      <x:c r="B220" t="str"/>
      <x:c r="C220" s="21" t="n">
        <x:v>46291.50768518519</x:v>
      </x:c>
      <x:c r="D220" t="str">
        <x:v>Rejected trigger</x:v>
      </x:c>
      <x:c r="E220" t="str">
        <x:v>The Motley Fool / Alex Carchidi</x:v>
      </x:c>
      <x:c r="F220" t="str">
        <x:v>Public editorial trigger only</x:v>
      </x:c>
      <x:c r="G220" s="44" t="str">
        <x:v>https://www.fool.com/investing/2026/09/26/bitcoin-is-not-the-only-cryptocurrency-with-a-halv/</x:v>
      </x:c>
      <x:c r="H220" s="44" t="str">
        <x:v>The article presented Zcash protocol changes, privacy demand and a future halving as potential catalysts after a roughly 197% year-to-date rise.</x:v>
      </x:c>
      <x:c r="I220" s="44" t="str">
        <x:v>Rejected</x:v>
      </x:c>
      <x:c r="J220" s="44" t="n">
        <x:v>2</x:v>
      </x:c>
      <x:c r="K220" s="44" t="str">
        <x:v>Free editorial, not a verified paid-service recommendation. Rejected as a distinct thesis: extreme prior appreciation, speculative demand, weak valuation anchor, regulatory risk and no independently verified new material catalyst produced unfavorable already-priced and entry-risk conditions.</x:v>
      </x:c>
    </x:row>
    <x:row r="221">
      <x:c r="A221" t="str">
        <x:v>EV-2026-216</x:v>
      </x:c>
      <x:c r="B221" t="str"/>
      <x:c r="C221" s="21" t="n">
        <x:v>46291.50768518519</x:v>
      </x:c>
      <x:c r="D221" t="str">
        <x:v>Rejected trigger</x:v>
      </x:c>
      <x:c r="E221" t="str">
        <x:v>The Motley Fool / Jack Delaney</x:v>
      </x:c>
      <x:c r="F221" t="str">
        <x:v>Public editorial trigger only</x:v>
      </x:c>
      <x:c r="G221" s="44" t="str">
        <x:v>https://www.fool.com/investing/2026/09/26/2-ai-stocks-that-could-split-in-2027/</x:v>
      </x:c>
      <x:c r="H221" s="44" t="str">
        <x:v>The article speculated that Costco and Micron could split their shares in 2027.</x:v>
      </x:c>
      <x:c r="I221" s="44" t="str">
        <x:v>Rejected</x:v>
      </x:c>
      <x:c r="J221" s="44" t="n">
        <x:v>2</x:v>
      </x:c>
      <x:c r="K221" s="44" t="str">
        <x:v>Published 6:54 a.m. ET. The author disclosed no position; Motley Fool disclosed positions/recommendations in Costco and Micron. Free editorial. Neither company had announced the proposed split, and a split would not change intrinsic economics; Micron's AI-memory catalyst is already established rather than new.</x:v>
      </x:c>
    </x:row>
    <x:row r="222">
      <x:c r="A222" t="str">
        <x:v>EV-2026-217</x:v>
      </x:c>
      <x:c r="B222" t="str"/>
      <x:c r="C222" s="21" t="n">
        <x:v>46291.50768518519</x:v>
      </x:c>
      <x:c r="D222" t="str">
        <x:v>Rejected trigger</x:v>
      </x:c>
      <x:c r="E222" t="str">
        <x:v>The Motley Fool / Neil Patel</x:v>
      </x:c>
      <x:c r="F222" t="str">
        <x:v>Public editorial trigger only</x:v>
      </x:c>
      <x:c r="G222" s="44" t="str">
        <x:v>https://www.fool.com/investing/2026/09/26/how-much-will-procter-gamble-pay-in-dividends-over/</x:v>
      </x:c>
      <x:c r="H222" s="44" t="str">
        <x:v>The article projected Procter &amp; Gamble dividend payments over the next five years.</x:v>
      </x:c>
      <x:c r="I222" s="44" t="str">
        <x:v>Rejected</x:v>
      </x:c>
      <x:c r="J222" s="44" t="n">
        <x:v>2</x:v>
      </x:c>
      <x:c r="K222" s="44" t="str">
        <x:v>Published 6:25 a.m. ET. The author and Motley Fool disclosed no position. Free editorial. Generic dividend extrapolation did not identify a new material economic-variable catalyst, so no thesis was opened.</x:v>
      </x:c>
    </x:row>
    <x:row r="223">
      <x:c r="A223" t="str">
        <x:v>EV-2026-218</x:v>
      </x:c>
      <x:c r="B223" t="str"/>
      <x:c r="C223" s="21" t="n">
        <x:v>46291.50768518519</x:v>
      </x:c>
      <x:c r="D223" t="str">
        <x:v>Rejected trigger</x:v>
      </x:c>
      <x:c r="E223" t="str">
        <x:v>The Motley Fool / John Ballard</x:v>
      </x:c>
      <x:c r="F223" t="str">
        <x:v>Public editorial trigger only</x:v>
      </x:c>
      <x:c r="G223" s="44" t="str">
        <x:v>https://www.fool.com/investing/2026/09/26/2-ai-infrastructure-stocks-to-buy-now/</x:v>
      </x:c>
      <x:c r="H223" s="44" t="str">
        <x:v>The article highlighted IREN and Vertiv as AI-infrastructure beneficiaries.</x:v>
      </x:c>
      <x:c r="I223" s="44" t="str">
        <x:v>Rejected</x:v>
      </x:c>
      <x:c r="J223" s="44" t="n">
        <x:v>3</x:v>
      </x:c>
      <x:c r="K223" s="44" t="str">
        <x:v>Free editorial. Ballard disclosed owning IREN; Motley Fool disclosed Microsoft and Vertiv positions/recommendations. IREN's Horizon 1 Microsoft delivery and $9.7 billion contract were independently checked against its August 13 issuer release and SEC materials, while Vertiv's long-term growth targets were previously published. The catalysts were months old, execution and financing risks remain, and large prior price gains make the setup too priced-in for a new thesis.</x:v>
      </x:c>
    </x:row>
    <x:row r="224">
      <x:c r="A224" t="str">
        <x:v>EV-2026-219</x:v>
      </x:c>
      <x:c r="B224" t="str"/>
      <x:c r="C224" s="21" t="n">
        <x:v>46291.50768518519</x:v>
      </x:c>
      <x:c r="D224" t="str">
        <x:v>Rejected trigger</x:v>
      </x:c>
      <x:c r="E224" t="str">
        <x:v>The Motley Fool / John Ballard</x:v>
      </x:c>
      <x:c r="F224" t="str">
        <x:v>Public editorial trigger only</x:v>
      </x:c>
      <x:c r="G224" s="44" t="str">
        <x:v>https://www.fool.com/investing/2026/09/26/2-semiconductor-stocks-to-buy-and-hold-for-10-year/</x:v>
      </x:c>
      <x:c r="H224" s="44" t="str">
        <x:v>The article highlighted Marvell and ASML as long-term AI semiconductor beneficiaries.</x:v>
      </x:c>
      <x:c r="I224" s="44" t="str">
        <x:v>Rejected</x:v>
      </x:c>
      <x:c r="J224" s="44" t="n">
        <x:v>3</x:v>
      </x:c>
      <x:c r="K224" s="44" t="str">
        <x:v>Free editorial. The author disclosed no position; Motley Fool disclosed positions/recommendations in ASML, Marvell and Micron. Marvell's August results and ASML's July capacity outlook were older public catalysts, while elevated valuation and strong prior appreciation reduce unpriced edge. No new distinct thesis was opened.</x:v>
      </x:c>
    </x:row>
    <x:row r="225">
      <x:c r="A225" t="str">
        <x:v>EV-2026-220</x:v>
      </x:c>
      <x:c r="B225" t="str">
        <x:v>EEI-2026-005</x:v>
      </x:c>
      <x:c r="C225" s="21" t="n">
        <x:v>46292.51123842593</x:v>
      </x:c>
      <x:c r="D225" t="str">
        <x:v>Supporting</x:v>
      </x:c>
      <x:c r="E225" t="str">
        <x:v>Bristol Myers Squibb</x:v>
      </x:c>
      <x:c r="F225" t="str">
        <x:v>Primary company clinical data</x:v>
      </x:c>
      <x:c r="G225" s="44" t="str">
        <x:v>https://news.bms.com/news/corporate-financial/2026/Bristol-Myers-Squibb-Announces-First-Presentation-of-Results-for-ZENBEXUS-iberdomide-in-Combination-with-Daratumumab-from-Phase-3-EXCALIBER-RRMM-Trial-in-Relapsed-or-Refractory-Multiple-Myeloma/default.aspx</x:v>
      </x:c>
      <x:c r="H225" s="44" t="str">
        <x:v>In the September 25 detailed Phase 3 EXCALIBER-RRMM presentation, ZENBEXUS plus daratumumab and dexamethasone produced an MRD-negative complete response in 41.1% of evaluable patients versus 20.7% for DVd; overall response was 88.9% versus 76.1%, and complete response or better was 45.9% versus 24.9%.</x:v>
      </x:c>
      <x:c r="I225" s="44" t="str">
        <x:v>Strengthens clinical support; does not change stage</x:v>
      </x:c>
      <x:c r="J225" s="44" t="n">
        <x:v>5</x:v>
      </x:c>
      <x:c r="K225" s="44" t="str">
        <x:v>The detailed presentation reinforces an already known positive trial and the August accelerated approval. It does not establish the product revenue needed to offset the broader patent cliff.</x:v>
      </x:c>
    </x:row>
    <x:row r="226">
      <x:c r="A226" t="str">
        <x:v>EV-2026-221</x:v>
      </x:c>
      <x:c r="B226" t="str">
        <x:v>EEI-2026-005</x:v>
      </x:c>
      <x:c r="C226" s="21" t="n">
        <x:v>46292.51123842593</x:v>
      </x:c>
      <x:c r="D226" t="str">
        <x:v>Contradictory</x:v>
      </x:c>
      <x:c r="E226" t="str">
        <x:v>Bristol Myers Squibb</x:v>
      </x:c>
      <x:c r="F226" t="str">
        <x:v>Primary company clinical data</x:v>
      </x:c>
      <x:c r="G226" s="44" t="str">
        <x:v>https://news.bms.com/news/corporate-financial/2026/Bristol-Myers-Squibb-Announces-First-Presentation-of-Results-for-ZENBEXUS-iberdomide-in-Combination-with-Daratumab-from-Phase-3-EXCALIBER-RRMM-Trial-in-Relapsed-or-Refractory-Multiple-Myeloma/default.aspx</x:v>
      </x:c>
      <x:c r="H226" s="44" t="str">
        <x:v>The confirmatory progression-free-survival endpoint in the 800-patient cohort remains ongoing. Grade 3/4 neutropenia occurred in 84.3% of ZENBEXUS patients versus 11.3% for DVd, and Grade 3/4 infections occurred in 39.2% versus 21.6%.</x:v>
      </x:c>
      <x:c r="I226" s="44" t="str">
        <x:v>Limits commercial and full-approval certainty</x:v>
      </x:c>
      <x:c r="J226" s="44" t="n">
        <x:v>5</x:v>
      </x:c>
      <x:c r="K226" s="44" t="str">
        <x:v>The safety burden and unresolved PFS endpoint prevent promotion of EEI-2026-005 despite strong response-depth data.</x:v>
      </x:c>
    </x:row>
    <x:row r="227">
      <x:c r="A227" t="str">
        <x:v>EV-2026-222</x:v>
      </x:c>
      <x:c r="B227"/>
      <x:c r="C227" s="21" t="n">
        <x:v>46292.51123842593</x:v>
      </x:c>
      <x:c r="D227" t="str">
        <x:v>Rejected trigger</x:v>
      </x:c>
      <x:c r="E227" t="str">
        <x:v>The Motley Fool / Daniel Sparks</x:v>
      </x:c>
      <x:c r="F227" t="str">
        <x:v>Public editorial trigger only</x:v>
      </x:c>
      <x:c r="G227" s="44" t="str">
        <x:v>https://www.fool.com/investing/2026/09/27/broadcom-stock-is-back-where-it-ended-2025-but-its-earnings-are-about-43-higher-is-it-a-buy/</x:v>
      </x:c>
      <x:c r="H227" s="44" t="str">
        <x:v>The free September 27 article argued Broadcom was attractive after a 29% drawdown while adjusted trailing EPS was about 43% above fiscal 2025. It cited the September 2 company forecast for $115 billion of fiscal 2027 AI revenue and $230 billion in 2028.</x:v>
      </x:c>
      <x:c r="I227" s="44" t="str">
        <x:v>Rejected</x:v>
      </x:c>
      <x:c r="J227" s="44" t="n">
        <x:v>3</x:v>
      </x:c>
      <x:c r="K227" s="44" t="str">
        <x:v>Daniel Sparks and clients disclosed no Broadcom position; Motley Fool disclosed a Broadcom position and recommendation. Primary results support growth, but the catalyst was already public, the stock still traded near 36 times trailing adjusted earnings, the top five customers represented about 55% of revenue and financing backstops add risk. No distinct thesis was opened.</x:v>
      </x:c>
    </x:row>
    <x:row r="228">
      <x:c r="A228" t="str">
        <x:v>EV-2026-223</x:v>
      </x:c>
      <x:c r="B228"/>
      <x:c r="C228" s="21" t="n">
        <x:v>46292.51123842593</x:v>
      </x:c>
      <x:c r="D228" t="str">
        <x:v>Rejected trigger</x:v>
      </x:c>
      <x:c r="E228" t="str">
        <x:v>The Motley Fool / Keith Speights</x:v>
      </x:c>
      <x:c r="F228" t="str">
        <x:v>Public editorial trigger only</x:v>
      </x:c>
      <x:c r="G228" s="44" t="str">
        <x:v>https://www.fool.com/investing/2026/09/27/anthropic-and-openai-are-both-racing-to-ipo-ge-ver/</x:v>
      </x:c>
      <x:c r="H228" s="44" t="str">
        <x:v>The free September 27 article presented GE Vernova as an AI-power infrastructure beneficiary, citing 88% year-over-year Q2 order growth and more than $5 billion of first-half data-center electrification orders.</x:v>
      </x:c>
      <x:c r="I228" s="44" t="str">
        <x:v>Rejected</x:v>
      </x:c>
      <x:c r="J228" s="44" t="n">
        <x:v>3</x:v>
      </x:c>
      <x:c r="K228" s="44" t="str">
        <x:v>Keith Speights disclosed no position; Motley Fool disclosed a GE Vernova position and recommendation. The cited quarterly results were already public, the stock was up about 45% in 2026 and traded near 38 times forward earnings. No independently verified new material catalyst or favorable entry justified a distinct thesis.</x:v>
      </x:c>
    </x:row>
    <x:row r="229">
      <x:c r="A229" t="str">
        <x:v>EV-2026-224</x:v>
      </x:c>
      <x:c r="B229"/>
      <x:c r="C229" s="21" t="n">
        <x:v>46292.51123842593</x:v>
      </x:c>
      <x:c r="D229" t="str">
        <x:v>Rejected trigger</x:v>
      </x:c>
      <x:c r="E229" t="str">
        <x:v>The Motley Fool / Reuben Gregg Brewer</x:v>
      </x:c>
      <x:c r="F229" t="str">
        <x:v>Public editorial trigger only</x:v>
      </x:c>
      <x:c r="G229" s="44" t="str">
        <x:v>https://www.fool.com/investing/2026/09/27/blue-owl-stock-yields-about-9-after-falling-45-fro/</x:v>
      </x:c>
      <x:c r="H229" s="44" t="str">
        <x:v>The free September 27 article examined Blue Owl after a roughly 45% share decline and a yield near 9.8%. It noted the $0.23 quarterly dividend exceeded Q2 distributable earnings of $0.22 per share.</x:v>
      </x:c>
      <x:c r="I229" s="44" t="str">
        <x:v>Rejected</x:v>
      </x:c>
      <x:c r="J229" s="44" t="n">
        <x:v>3</x:v>
      </x:c>
      <x:c r="K229" s="44" t="str">
        <x:v>The author and Motley Fool disclosed no Blue Owl position. SEC materials confirm the fixed dividend policy, while Reuters reported $4.7 billion of Q2 withdrawal requests across two flagship private-credit funds and continued 5% limits. Dividend coverage and redemption risk remain unresolved, so the high yield is not a qualifying positive catalyst and no thesis was opened.</x:v>
      </x:c>
    </x:row>
    <x:row r="230">
      <x:c r="A230" t="str">
        <x:v>EV-2026-225</x:v>
      </x:c>
      <x:c r="B230" t="str">
        <x:v>EEI-2026-009</x:v>
      </x:c>
      <x:c r="C230" s="21" t="n">
        <x:v>46293.498344907406</x:v>
      </x:c>
      <x:c r="D230" t="str">
        <x:v>Market confirmation</x:v>
      </x:c>
      <x:c r="E230" t="str">
        <x:v>Reuters</x:v>
      </x:c>
      <x:c r="F230" t="str">
        <x:v>High-quality reporting and market data</x:v>
      </x:c>
      <x:c r="G230" s="44" t="str">
        <x:v>https://www.reuters.com/business/energy/oil-rebounds-after-trump-rejects-iran-peace-deal-2026-09-27/</x:v>
      </x:c>
      <x:c r="H230" s="44" t="str">
        <x:v>Brent rose 3.82% to $108.30 and WTI rose 3.81% to $95.93 after the United States rejected Iran's peace proposal; an independent economist said the market remained in deficit despite improving Hormuz flows.</x:v>
      </x:c>
      <x:c r="I230" s="44" t="str">
        <x:v>Strengthens scarcity; weakens entry</x:v>
      </x:c>
      <x:c r="J230" s="44" t="n">
        <x:v>5</x:v>
      </x:c>
      <x:c r="K230" s="44" t="str">
        <x:v>Middle East exports also rebounded to 12.8 million barrels per day, the highest since the war began. The two-sided evidence supports Actionable / WAIT rather than a confidence or entry upgrade.</x:v>
      </x:c>
    </x:row>
    <x:row r="231">
      <x:c r="A231" t="str">
        <x:v>EV-2026-226</x:v>
      </x:c>
      <x:c r="B231" t="str">
        <x:v>EEI-2026-011</x:v>
      </x:c>
      <x:c r="C231" s="21" t="n">
        <x:v>46293.498344907406</x:v>
      </x:c>
      <x:c r="D231" t="str">
        <x:v>Normalization modifier</x:v>
      </x:c>
      <x:c r="E231" t="str">
        <x:v>Reuters</x:v>
      </x:c>
      <x:c r="F231" t="str">
        <x:v>High-quality reporting and shipping context</x:v>
      </x:c>
      <x:c r="G231" s="44" t="str">
        <x:v>https://www.reuters.com/business/energy/oil-rebounds-after-trump-rejects-iran-peace-deal-2026-09-27/</x:v>
      </x:c>
      <x:c r="H231" s="44" t="str">
        <x:v>Preliminary Kpler data showed Middle East crude exports at 12.8 million barrels per day in September, the highest since the war began, as Saudi Arabia and the UAE raised shipments.</x:v>
      </x:c>
      <x:c r="I231" s="44" t="str">
        <x:v>Mixed</x:v>
      </x:c>
      <x:c r="J231" s="44" t="n">
        <x:v>5</x:v>
      </x:c>
      <x:c r="K231" s="44" t="str">
        <x:v>Higher volumes can consume vessel-days, but improving Hormuz flows and continued talks reduce disruption risk. No fresh verified VLCC-rate evidence changed the Strong / WAIT classification.</x:v>
      </x:c>
    </x:row>
    <x:row r="232">
      <x:c r="A232" t="str">
        <x:v>EV-2026-227</x:v>
      </x:c>
      <x:c r="B232" t="str"/>
      <x:c r="C232" s="21" t="n">
        <x:v>46293.498344907406</x:v>
      </x:c>
      <x:c r="D232" t="str">
        <x:v>Rejected trigger</x:v>
      </x:c>
      <x:c r="E232" t="str">
        <x:v>The Motley Fool / Adria Cimino</x:v>
      </x:c>
      <x:c r="F232" t="str">
        <x:v>Public editorial trigger only</x:v>
      </x:c>
      <x:c r="G232" s="44" t="str">
        <x:v>https://www.fool.com/investing/2026/09/28/eli-lilly-just-announced-game-changing-news/</x:v>
      </x:c>
      <x:c r="H232" s="44" t="str">
        <x:v>The free September 28 article cited roughly 700,000 new Medicare GLP-1 users, Lilly capturing about seven of ten prescriptions, and Foundayo taking about 30% of new oral starts as a multi-year obesity-market catalyst.</x:v>
      </x:c>
      <x:c r="I232" s="44" t="str">
        <x:v>Rejected</x:v>
      </x:c>
      <x:c r="J232" s="44" t="n">
        <x:v>3</x:v>
      </x:c>
      <x:c r="K232" s="44" t="str">
        <x:v>Published 4:03 a.m. ET. The author disclosed no position; Motley Fool disclosed positions and recommendations in LLY and NVO. Reuters and Lilly results confirm demand, but the catalyst was already public, LLY already reflected leadership expectations, and no new unpriced event justified a distinct thesis.</x:v>
      </x:c>
    </x:row>
    <x:row r="233">
      <x:c r="A233" t="str">
        <x:v>EV-2026-228</x:v>
      </x:c>
      <x:c r="B233" t="str"/>
      <x:c r="C233" s="21" t="n">
        <x:v>46293.498344907406</x:v>
      </x:c>
      <x:c r="D233" t="str">
        <x:v>Rejected trigger</x:v>
      </x:c>
      <x:c r="E233" t="str">
        <x:v>The Motley Fool / James Halley</x:v>
      </x:c>
      <x:c r="F233" t="str">
        <x:v>Public editorial trigger only</x:v>
      </x:c>
      <x:c r="G233" s="44" t="str">
        <x:v>https://www.fool.com/investing/2026/09/28/i-keep-adding-to-this-pipeline-stock-heres-why-the/</x:v>
      </x:c>
      <x:c r="H233" s="44" t="str">
        <x:v>The free September 28 article presented WMB's covered dividend, take-or-pay pipeline cash flows, data-center power demand and project backlog as a long-term growth catalyst.</x:v>
      </x:c>
      <x:c r="I233" s="44" t="str">
        <x:v>Rejected</x:v>
      </x:c>
      <x:c r="J233" s="44" t="n">
        <x:v>3</x:v>
      </x:c>
      <x:c r="K233" s="44" t="str">
        <x:v>Published 2:00 a.m. ET. The author disclosed owning WMB. The operating facts came from already public quarterly and project information; shares were up more than 15% in 2026 and valuation exceeded 28 times forward earnings, leaving no new unpriced catalyst or favorable entry.</x:v>
      </x:c>
    </x:row>
    <x:row r="234">
      <x:c r="A234" t="str">
        <x:v>EV-2026-229</x:v>
      </x:c>
      <x:c r="B234" t="str"/>
      <x:c r="C234" s="21" t="n">
        <x:v>46293.498344907406</x:v>
      </x:c>
      <x:c r="D234" t="str">
        <x:v>Rejected trigger</x:v>
      </x:c>
      <x:c r="E234" t="str">
        <x:v>The Motley Fool / Neil Patel</x:v>
      </x:c>
      <x:c r="F234" t="str">
        <x:v>Public editorial trigger only</x:v>
      </x:c>
      <x:c r="G234" s="44" t="str">
        <x:v>https://www.fool.com/investing/2026/09/28/financial-stock-great-business-bad-investment-how/</x:v>
      </x:c>
      <x:c r="H234" s="44" t="str">
        <x:v>The free September 28 article argued that AXP's 2026 decline and sub-19 price-to-earnings ratio created a better entry while revenue, profit, premium-card demand and credit quality remained solid.</x:v>
      </x:c>
      <x:c r="I234" s="44" t="str">
        <x:v>Rejected</x:v>
      </x:c>
      <x:c r="J234" s="44" t="n">
        <x:v>3</x:v>
      </x:c>
      <x:c r="K234" s="44" t="str">
        <x:v>Published 2:45 a.m. ET. American Express is an advertising partner; the author disclosed no position and Motley Fool disclosed an AXP position and recommendation. Primary Q2 results support the business, but the article supplied valuation framing rather than a new material catalyst.</x:v>
      </x:c>
    </x:row>
    <x:row r="235">
      <x:c r="A235" t="str">
        <x:v>EV-2026-230</x:v>
      </x:c>
      <x:c r="B235" t="str"/>
      <x:c r="C235" s="21" t="n">
        <x:v>46293.498344907406</x:v>
      </x:c>
      <x:c r="D235" t="str">
        <x:v>Rejected trigger</x:v>
      </x:c>
      <x:c r="E235" t="str">
        <x:v>The Motley Fool / Chris Neiger</x:v>
      </x:c>
      <x:c r="F235" t="str">
        <x:v>Public editorial trigger only</x:v>
      </x:c>
      <x:c r="G235" s="44" t="str">
        <x:v>https://www.fool.com/investing/2026/09/28/oracle-vs-salesforce-which-enterprise-ai-stock-has/</x:v>
      </x:c>
      <x:c r="H235" s="44" t="str">
        <x:v>The free September 28 comparison favored enterprise-AI exposure after Oracle reported 121% cloud-infrastructure growth and Salesforce advanced agentic AI products.</x:v>
      </x:c>
      <x:c r="I235" s="44" t="str">
        <x:v>Rejected</x:v>
      </x:c>
      <x:c r="J235" s="44" t="n">
        <x:v>3</x:v>
      </x:c>
      <x:c r="K235" s="44" t="str">
        <x:v>The author disclosed no position; Motley Fool disclosed positions and recommendations in ORCL and CRM. Oracle's growth, $28.5 billion quarterly capital spending, negative free cash flow and project risk were already public, while the comparison identified no new material catalyst.</x:v>
      </x:c>
    </x:row>
    <x:row r="236">
      <x:c r="A236" t="str">
        <x:v>EV-2026-231</x:v>
      </x:c>
      <x:c r="B236" t="str"/>
      <x:c r="C236" s="21" t="n">
        <x:v>46293.498344907406</x:v>
      </x:c>
      <x:c r="D236" t="str">
        <x:v>Rejected trigger</x:v>
      </x:c>
      <x:c r="E236" t="str">
        <x:v>The Motley Fool / Keithen Drury</x:v>
      </x:c>
      <x:c r="F236" t="str">
        <x:v>Public editorial trigger only</x:v>
      </x:c>
      <x:c r="G236" s="44" t="str">
        <x:v>https://www.fool.com/investing/2026/09/28/better-ai-stock-spacex-or-nvidia/</x:v>
      </x:c>
      <x:c r="H236" s="44" t="str">
        <x:v>The free September 28 article preferred NVDA to SPCX based on stronger profitability, scale and SpaceX's stated Nvidia exclusivity.</x:v>
      </x:c>
      <x:c r="I236" s="44" t="str">
        <x:v>Rejected</x:v>
      </x:c>
      <x:c r="J236" s="44" t="n">
        <x:v>3</x:v>
      </x:c>
      <x:c r="K236" s="44" t="str">
        <x:v>Published 5:39 a.m. ET. The analysis reused already public quarterly results and partnership statements. NVDA traded near its 52-week high and both companies carried very large valuations; no new catalyst or entry edge justified a distinct thesis.</x:v>
      </x:c>
    </x:row>
    <x:row r="237">
      <x:c r="A237" t="str">
        <x:v>EV-2026-232</x:v>
      </x:c>
      <x:c r="B237" t="str"/>
      <x:c r="C237" s="21" t="n">
        <x:v>46293.498344907406</x:v>
      </x:c>
      <x:c r="D237" t="str">
        <x:v>Rejected trigger</x:v>
      </x:c>
      <x:c r="E237" t="str">
        <x:v>The Motley Fool / Daniel Sparks</x:v>
      </x:c>
      <x:c r="F237" t="str">
        <x:v>Public editorial trigger only</x:v>
      </x:c>
      <x:c r="G237" s="44" t="str">
        <x:v>https://www.fool.com/investing/2026/09/28/prediction-netflix-stock-gets-back-to-usd100-before-2030/</x:v>
      </x:c>
      <x:c r="H237" s="44" t="str">
        <x:v>The free September 28 article projected NFLX could reach $100 before 2030 if revenue grows about 11% annually, margins expand and buybacks continue.</x:v>
      </x:c>
      <x:c r="I237" s="44" t="str">
        <x:v>Rejected</x:v>
      </x:c>
      <x:c r="J237" s="44" t="n">
        <x:v>2</x:v>
      </x:c>
      <x:c r="K237" s="44" t="str">
        <x:v>Published 4:37 a.m. ET. The case rests on extrapolating management guidance and assumed 2029 margins rather than a newly verified catalyst. Advertising, pricing, competition and growth-deceleration risks remain, so no thesis was opened.</x:v>
      </x:c>
    </x:row>
    <x:row r="238">
      <x:c r="A238" t="str">
        <x:v>EV-2026-233</x:v>
      </x:c>
      <x:c r="B238" t="str">
        <x:v>EEI-2026-009</x:v>
      </x:c>
      <x:c r="C238" s="21" t="n">
        <x:v>46293.498344907406</x:v>
      </x:c>
      <x:c r="D238" t="str">
        <x:v>Neutral trigger</x:v>
      </x:c>
      <x:c r="E238" t="str">
        <x:v>The Motley Fool / Sean Williams</x:v>
      </x:c>
      <x:c r="F238" t="str">
        <x:v>Public editorial trigger only</x:v>
      </x:c>
      <x:c r="G238" s="44" t="str">
        <x:v>https://www.fool.com/investing/2026/09/28/donald-trump-float-idea-partial-or-full-ban-diesel-exports-unintended-consequences-catastrophic/</x:v>
      </x:c>
      <x:c r="H238" s="44" t="str">
        <x:v>The free September 28 article argued that restricting U.S. diesel exports could lower domestic prices temporarily while worsening global scarcity and rerouting costs.</x:v>
      </x:c>
      <x:c r="I238" s="44" t="str">
        <x:v>No independent thesis change</x:v>
      </x:c>
      <x:c r="J238" s="44" t="n">
        <x:v>2</x:v>
      </x:c>
      <x:c r="K238" s="44" t="str">
        <x:v>Published 4:06 a.m. ET. The author disclosed no position; Motley Fool disclosed a Chevron position and recommendation. The article repeated an already logged policy risk and was not used as confirmation; Reuters supplied the independent energy evidence.</x:v>
      </x:c>
    </x:row>
    <x:row r="239">
      <x:c r="A239" t="str">
        <x:v>EV-2026-234</x:v>
      </x:c>
      <x:c r="B239" t="str">
        <x:v>EEI-2026-003</x:v>
      </x:c>
      <x:c r="C239" s="53" t="n">
        <x:v>46293.62850694445</x:v>
      </x:c>
      <x:c r="D239" t="str">
        <x:v>Supporting</x:v>
      </x:c>
      <x:c r="E239" t="str">
        <x:v>Reuters</x:v>
      </x:c>
      <x:c r="F239" t="str">
        <x:v>High-quality reporting and campaign-finance review</x:v>
      </x:c>
      <x:c r="G239" s="44" t="str">
        <x:v>https://www.reuters.com/legal/government/republicans-pour-money-into-dozens-us-house-races-previously-considered-safe-2026-09-27/</x:v>
      </x:c>
      <x:c r="H239" s="44" t="str">
        <x:v>Major Republican groups began spending in at least 39 additional House races after internal polling showed risk in districts previously considered safe; leaders warned campaigns not to assume victory even where Trump won by double digits.</x:v>
      </x:c>
      <x:c r="I239" s="44" t="str">
        <x:v>Strengthens House-shift evidence</x:v>
      </x:c>
      <x:c r="J239" s="44" t="n">
        <x:v>5</x:v>
      </x:c>
      <x:c r="K239" s="44" t="str">
        <x:v>Campaign allocation is an independent behavioral signal that supports Cook's district-rating changes, but the Republican funding advantage and unresolved voting outcome prevent an Actionable classification.</x:v>
      </x:c>
    </x:row>
    <x:row r="240">
      <x:c r="A240" t="str">
        <x:v>EV-2026-235</x:v>
      </x:c>
      <x:c r="B240" t="str">
        <x:v>EEI-2026-003</x:v>
      </x:c>
      <x:c r="C240" s="53" t="n">
        <x:v>46293.62850694445</x:v>
      </x:c>
      <x:c r="D240" t="str">
        <x:v>Market confirmation</x:v>
      </x:c>
      <x:c r="E240" t="str">
        <x:v>Reuters and current fund market data</x:v>
      </x:c>
      <x:c r="F240" t="str">
        <x:v>High-quality reporting and live market data</x:v>
      </x:c>
      <x:c r="G240" s="44" t="str">
        <x:v>https://www.reuters.com/world/china/global-markets-global-markets-2026-09-28/</x:v>
      </x:c>
      <x:c r="H240" s="44" t="str">
        <x:v>Brent rose about 4% to $108.50, the 10-year Treasury yield reached about 5.22%, and markets implied a 68% chance of another Fed hike in October. Near 10:53 a.m. ET, SPY, RSP, IWM, XLI, XLB, XLF and CPER were all lower; only XLV and XBI were slightly positive, while VIXY rose.</x:v>
      </x:c>
      <x:c r="I240" s="44" t="str">
        <x:v>Contradicts broad risk participation</x:v>
      </x:c>
      <x:c r="J240" s="44" t="n">
        <x:v>5</x:v>
      </x:c>
      <x:c r="K240" s="44" t="str">
        <x:v>Equal weight modestly outperformed SPY, but negative absolute breadth among the tracked candidates, weaker cyclicals and higher volatility exposure do not confirm the expected broad uncertainty-relief mechanism.</x:v>
      </x:c>
    </x:row>
    <x:row r="241">
      <x:c r="A241" t="str">
        <x:v>EV-2026-236</x:v>
      </x:c>
      <x:c r="B241" t="str">
        <x:v>EEI-2026-003</x:v>
      </x:c>
      <x:c r="C241" s="53" t="n">
        <x:v>46293.62850694445</x:v>
      </x:c>
      <x:c r="D241" t="str">
        <x:v>Policy modifier</x:v>
      </x:c>
      <x:c r="E241" t="str">
        <x:v>Reuters</x:v>
      </x:c>
      <x:c r="F241" t="str">
        <x:v>High-quality reporting</x:v>
      </x:c>
      <x:c r="G241" s="44" t="str">
        <x:v>https://www.reuters.com/legal/government/democrats-probe-lucrative-trump-family-business-deals-if-they-win-midterms-2026-09-28/</x:v>
      </x:c>
      <x:c r="H241" s="44" t="str">
        <x:v>Democratic lawmakers and staff described plans to use subpoena power and expanded investigative staff if the party controls either chamber, with inquiries potentially beginning in February.</x:v>
      </x:c>
      <x:c r="I241" s="44" t="str">
        <x:v>Clarifies oversight mechanism; no direct sector signal</x:v>
      </x:c>
      <x:c r="J241" s="44" t="n">
        <x:v>4</x:v>
      </x:c>
      <x:c r="K241" s="44" t="str">
        <x:v>This defines a plausible policy consequence of a chamber shift, but it is conditional on control and maps more directly to oversight and legal risk than to the broad equity, industrial, materials, health-care, financial or small-cap candidates.</x:v>
      </x:c>
    </x:row>
    <x:row r="242">
      <x:c r="A242" t="str">
        <x:v>EV-2026-237</x:v>
      </x:c>
      <x:c r="B242" t="str">
        <x:v>EEI-2026-001</x:v>
      </x:c>
      <x:c r="C242" s="56" t="n">
        <x:v>46293.833333333336</x:v>
      </x:c>
      <x:c r="D242" t="str">
        <x:v>Paper-trade outcome</x:v>
      </x:c>
      <x:c r="E242" t="str">
        <x:v>S&amp;P Global Market Intelligence via StockAnalysis</x:v>
      </x:c>
      <x:c r="F242" t="str">
        <x:v>Regular-session closing market data</x:v>
      </x:c>
      <x:c r="G242" s="44" t="str">
        <x:v>https://stockanalysis.com/etf/bno/</x:v>
      </x:c>
      <x:c r="H242" s="44" t="str">
        <x:v>BNO closed September 28 at $60.33 versus the $57.21 September 8 opening entry. The $1,000 paper position was worth $1,054.54, up $54.54 or 5.45%; BNO gained 1.14% for the session.</x:v>
      </x:c>
      <x:c r="I242" s="44" t="str">
        <x:v>Supports the cleanest direct expression</x:v>
      </x:c>
      <x:c r="J242" s="44" t="n">
        <x:v>5</x:v>
      </x:c>
      <x:c r="K242" s="44" t="str">
        <x:v>BNO remains the strongest of the three positions. This is continued tracking after the formal September 18 horizon and does not change the completed outcome score.</x:v>
      </x:c>
    </x:row>
    <x:row r="243">
      <x:c r="A243" t="str">
        <x:v>EV-2026-238</x:v>
      </x:c>
      <x:c r="B243" t="str">
        <x:v>EEI-2026-001</x:v>
      </x:c>
      <x:c r="C243" s="56" t="n">
        <x:v>46293.833333333336</x:v>
      </x:c>
      <x:c r="D243" t="str">
        <x:v>Paper-trade outcome</x:v>
      </x:c>
      <x:c r="E243" t="str">
        <x:v>S&amp;P Global Market Intelligence via StockAnalysis</x:v>
      </x:c>
      <x:c r="F243" t="str">
        <x:v>Regular-session closing market data</x:v>
      </x:c>
      <x:c r="G243" s="44" t="str">
        <x:v>https://stockanalysis.com/etf/uso/</x:v>
      </x:c>
      <x:c r="H243" s="44" t="str">
        <x:v>USO closed September 28 at $150.01 versus the $144.60 September 8 opening entry. The $1,000 paper position was worth $1,037.41, up $37.41 or 3.74%; USO gained 1.13% for the session.</x:v>
      </x:c>
      <x:c r="I243" s="44" t="str">
        <x:v>Supports direct crude expression</x:v>
      </x:c>
      <x:c r="J243" s="44" t="n">
        <x:v>5</x:v>
      </x:c>
      <x:c r="K243" s="44" t="str">
        <x:v>USO remains above entry and continues to outperform XOP. This is a post-horizon observation.</x:v>
      </x:c>
    </x:row>
    <x:row r="244">
      <x:c r="A244" t="str">
        <x:v>EV-2026-239</x:v>
      </x:c>
      <x:c r="B244" t="str">
        <x:v>EEI-2026-001</x:v>
      </x:c>
      <x:c r="C244" s="56" t="n">
        <x:v>46293.833333333336</x:v>
      </x:c>
      <x:c r="D244" t="str">
        <x:v>Paper-trade outcome</x:v>
      </x:c>
      <x:c r="E244" t="str">
        <x:v>S&amp;P Global Market Intelligence via StockAnalysis</x:v>
      </x:c>
      <x:c r="F244" t="str">
        <x:v>Regular-session closing market data</x:v>
      </x:c>
      <x:c r="G244" s="44" t="str">
        <x:v>https://stockanalysis.com/etf/xop/</x:v>
      </x:c>
      <x:c r="H244" s="44" t="str">
        <x:v>XOP closed September 28 at $180.14 versus the $193.84 September 8 opening entry. The $1,000 paper position was worth $929.32, down $70.68 or 7.07%; XOP fell 0.75% for the session.</x:v>
      </x:c>
      <x:c r="I244" s="44" t="str">
        <x:v>Continues to weaken the indirect equity expression</x:v>
      </x:c>
      <x:c r="J244" s="44" t="n">
        <x:v>5</x:v>
      </x:c>
      <x:c r="K244" s="44" t="str">
        <x:v>The producer-equity proxy remains the expression failure and materially trails both direct crude funds, reinforcing the methodology's clean-expression rule.</x:v>
      </x:c>
    </x:row>
    <x:row r="245">
      <x:c r="A245" t="str">
        <x:v>EV-2026-240</x:v>
      </x:c>
      <x:c r="B245" t="str">
        <x:v>EEI-2026-001</x:v>
      </x:c>
      <x:c r="C245" s="56" t="n">
        <x:v>46293.833333333336</x:v>
      </x:c>
      <x:c r="D245" t="str">
        <x:v>Post-horizon scarcity confirmation</x:v>
      </x:c>
      <x:c r="E245" t="str">
        <x:v>Reuters</x:v>
      </x:c>
      <x:c r="F245" t="str">
        <x:v>High-quality reporting and market data</x:v>
      </x:c>
      <x:c r="G245" s="44" t="str">
        <x:v>https://www.reuters.com/business/energy/oil-rebounds-after-trump-rejects-iran-peace-deal-2026-09-27/</x:v>
      </x:c>
      <x:c r="H245" s="44" t="str">
        <x:v>Oil rebounded after President Trump rejected Iran's proposal to end the conflict and reopen Hormuz. The diplomatic setback kept Middle East supply risk elevated and lifted the direct crude paper positions at the September 28 close.</x:v>
      </x:c>
      <x:c r="I245" s="44" t="str">
        <x:v>Confirms residual scarcity risk and headline sensitivity</x:v>
      </x:c>
      <x:c r="J245" s="44" t="n">
        <x:v>5</x:v>
      </x:c>
      <x:c r="K245" s="44" t="str">
        <x:v>BNO and USO rose while XOP fell. The three-position portfolio closed at $3,021.27, up $21.27 or 0.71% from inception. The formal September 18 result remains unchanged.</x:v>
      </x:c>
    </x:row>
    <x:row r="246">
      <x:c r="A246" t="str">
        <x:v>EV-2026-241</x:v>
      </x:c>
      <x:c r="B246" t="str">
        <x:v>EEI-2026-001</x:v>
      </x:c>
      <x:c r="C246" s="56" t="n">
        <x:v>46293.833333333336</x:v>
      </x:c>
      <x:c r="D246" t="str">
        <x:v>Post-horizon normalization modifier</x:v>
      </x:c>
      <x:c r="E246" t="str">
        <x:v>Reuters</x:v>
      </x:c>
      <x:c r="F246" t="str">
        <x:v>High-quality reporting based on preliminary Kpler data</x:v>
      </x:c>
      <x:c r="G246" s="44" t="str">
        <x:v>https://www.reuters.com/business/energy/oil-rebounds-after-trump-rejects-iran-peace-deal-2026-09-27/</x:v>
      </x:c>
      <x:c r="H246" s="44" t="str">
        <x:v>Preliminary Kpler data showed crude exports from key Middle East producers at 12.8 million barrels per day in September, the highest level since the war began, as Saudi Arabia and the UAE increased shipments. Further Qatar-mediated talks were also expected.</x:v>
      </x:c>
      <x:c r="I246" s="44" t="str">
        <x:v>Offsets the scarcity signal and limits extended-hold upside</x:v>
      </x:c>
      <x:c r="J246" s="44" t="n">
        <x:v>5</x:v>
      </x:c>
      <x:c r="K246" s="44" t="str">
        <x:v>The market is adapting even though Hormuz risk persists. Higher export volumes and continuing diplomacy remain the main path toward further compression of the scarcity premium.</x:v>
      </x:c>
    </x:row>
    <x:row r="247">
      <x:c r="A247" t="str">
        <x:v>EV-2026-242</x:v>
      </x:c>
      <x:c r="B247" t="str">
        <x:v>EEI-2026-002</x:v>
      </x:c>
      <x:c r="C247" s="21" t="n">
        <x:v>46294.50347222222</x:v>
      </x:c>
      <x:c r="D247" t="str">
        <x:v>Contradictory</x:v>
      </x:c>
      <x:c r="E247" t="str">
        <x:v>Reuters via Business Recorder</x:v>
      </x:c>
      <x:c r="F247" t="str">
        <x:v>High quality reporting</x:v>
      </x:c>
      <x:c r="G247" s="44" t="str">
        <x:v>https://www.brecorder.com/news/40441719/qatar-linked-lng-traffic-thru-hormuz-picks-up</x:v>
      </x:c>
      <x:c r="H247" s="44" t="str">
        <x:v>Visible Qatar-linked LNG tanker transits resumed in September after none were observed in August; GasLog Skagen emerged outside Hormuz with a Ras Laffan cargo.</x:v>
      </x:c>
      <x:c r="I247" s="44" t="str">
        <x:v>Weakens</x:v>
      </x:c>
      <x:c r="J247" s="44" t="n">
        <x:v>4</x:v>
      </x:c>
      <x:c r="K247" s="44" t="str">
        <x:v>Partial route normalization; force majeure and damaged-train constraints remain.</x:v>
      </x:c>
    </x:row>
    <x:row r="248">
      <x:c r="A248" t="str">
        <x:v>EV-2026-243</x:v>
      </x:c>
      <x:c r="B248" t="str">
        <x:v>EEI-2026-009</x:v>
      </x:c>
      <x:c r="C248" s="21" t="n">
        <x:v>46294.50347222222</x:v>
      </x:c>
      <x:c r="D248" t="str">
        <x:v>Neutral</x:v>
      </x:c>
      <x:c r="E248" t="str">
        <x:v>Reuters</x:v>
      </x:c>
      <x:c r="F248" t="str">
        <x:v>High quality reporting</x:v>
      </x:c>
      <x:c r="G248" s="44" t="str">
        <x:v>https://www.reuters.com/business/energy/oil-prices-rise-second-session-continued-middle-east-supply-concern-2026-09-29/</x:v>
      </x:c>
      <x:c r="H248" s="44" t="str">
        <x:v>The U.S. considered broader sales of red-dyed diesel as an alternative to an export ban; Gulf crude exports reached 12.8 million bpd while costly workarounds persisted.</x:v>
      </x:c>
      <x:c r="I248" s="44" t="str">
        <x:v>Mixed</x:v>
      </x:c>
      <x:c r="J248" s="44" t="n">
        <x:v>4</x:v>
      </x:c>
      <x:c r="K248" s="44" t="str">
        <x:v>Reduces immediate export-ban risk without resolving global diesel scarcity.</x:v>
      </x:c>
    </x:row>
    <x:row r="249">
      <x:c r="A249" t="str">
        <x:v>EV-2026-244</x:v>
      </x:c>
      <x:c r="B249" t="str">
        <x:v>EEI-2026-011</x:v>
      </x:c>
      <x:c r="C249" s="21" t="n">
        <x:v>46294.50347222222</x:v>
      </x:c>
      <x:c r="D249" t="str">
        <x:v>Supporting and contradictory</x:v>
      </x:c>
      <x:c r="E249" t="str">
        <x:v>Reuters</x:v>
      </x:c>
      <x:c r="F249" t="str">
        <x:v>High quality reporting</x:v>
      </x:c>
      <x:c r="G249" s="44" t="str">
        <x:v>https://www.reuters.com/business/energy/oil-prices-rise-second-session-continued-middle-east-supply-concern-2026-09-29/</x:v>
      </x:c>
      <x:c r="H249" s="44" t="str">
        <x:v>Higher Gulf exports still relied on inefficient ship-to-ship transfers, but aggregate exports recovered and mediation continued.</x:v>
      </x:c>
      <x:c r="I249" s="44" t="str">
        <x:v>Mixed</x:v>
      </x:c>
      <x:c r="J249" s="44" t="n">
        <x:v>4</x:v>
      </x:c>
      <x:c r="K249" s="44" t="str">
        <x:v>Supports vessel-day use while increasing normalization risk.</x:v>
      </x:c>
    </x:row>
    <x:row r="250">
      <x:c r="A250" t="str">
        <x:v>EV-2026-245</x:v>
      </x:c>
      <x:c r="B250" t="str">
        <x:v>EEI-2026-003</x:v>
      </x:c>
      <x:c r="C250" s="21" t="n">
        <x:v>46294.50347222222</x:v>
      </x:c>
      <x:c r="D250" t="str">
        <x:v>Supporting</x:v>
      </x:c>
      <x:c r="E250" t="str">
        <x:v>Associated Press</x:v>
      </x:c>
      <x:c r="F250" t="str">
        <x:v>High quality reporting</x:v>
      </x:c>
      <x:c r="G250" s="44" t="str">
        <x:v>https://apnews.com/article/196b287c170f2e8e6386908b441339d2</x:v>
      </x:c>
      <x:c r="H250" s="44" t="str">
        <x:v>Republicans shifted Senate resources toward defending Texas and Ohio as their Georgia and North Carolina prospects weakened.</x:v>
      </x:c>
      <x:c r="I250" s="44" t="str">
        <x:v>Strengthens</x:v>
      </x:c>
      <x:c r="J250" s="44" t="n">
        <x:v>4</x:v>
      </x:c>
      <x:c r="K250" s="44" t="str">
        <x:v>Campaign allocation is independent behavior evidence, not an election result.</x:v>
      </x:c>
    </x:row>
    <x:row r="251">
      <x:c r="A251" t="str">
        <x:v>EV-2026-246</x:v>
      </x:c>
      <x:c r="B251" t="str">
        <x:v>EEI-2026-003</x:v>
      </x:c>
      <x:c r="C251" s="21" t="n">
        <x:v>46294.50347222222</x:v>
      </x:c>
      <x:c r="D251" t="str">
        <x:v>Contradictory and market confirmation</x:v>
      </x:c>
      <x:c r="E251" t="str">
        <x:v>Reuters</x:v>
      </x:c>
      <x:c r="F251" t="str">
        <x:v>High quality reporting</x:v>
      </x:c>
      <x:c r="G251" s="44" t="str">
        <x:v>https://www.reuters.com/world/china/global-markets-global-markets-2026-09-29/</x:v>
      </x:c>
      <x:c r="H251" s="44" t="str">
        <x:v>The U.S. 10-year yield was near 5.27%, oil remained elevated and global equities faced rate pressure.</x:v>
      </x:c>
      <x:c r="I251" s="44" t="str">
        <x:v>Weakens entry</x:v>
      </x:c>
      <x:c r="J251" s="44" t="n">
        <x:v>4</x:v>
      </x:c>
      <x:c r="K251" s="44" t="str">
        <x:v>High yields and oil remain adverse to broadening and small-cap confirmation.</x:v>
      </x:c>
    </x:row>
    <x:row r="252">
      <x:c r="A252" t="str">
        <x:v>EV-2026-247</x:v>
      </x:c>
      <x:c r="B252"/>
      <x:c r="C252" s="21" t="n">
        <x:v>46294.50347222222</x:v>
      </x:c>
      <x:c r="D252" t="str">
        <x:v>Rejected Motley Fool trigger</x:v>
      </x:c>
      <x:c r="E252" t="str">
        <x:v>The Motley Fool — Stefon Walters</x:v>
      </x:c>
      <x:c r="F252" t="str">
        <x:v>Idea generator only</x:v>
      </x:c>
      <x:c r="G252" s="44" t="str">
        <x:v>https://www.fool.com/investing/2026/09/25/the-magnificent-seven-stocks-heres-the-1-im-buying/</x:v>
      </x:c>
      <x:c r="H252" s="44" t="str">
        <x:v>A free September 25 editorial called Alphabet the best Magnificent Seven value, citing 82% Google Cloud growth and roughly $514 billion of cloud backlog.</x:v>
      </x:c>
      <x:c r="I252" s="44" t="str">
        <x:v>Rejected</x:v>
      </x:c>
      <x:c r="J252" s="44" t="n">
        <x:v>2</x:v>
      </x:c>
      <x:c r="K252" s="44" t="str">
        <x:v>Ticker GOOGL; long-term AI/cloud thesis. The author disclosed positions in Apple, Microsoft and TSM, not Alphabet; Motley Fool disclosed an Alphabet position and recommendation. SEC and company records confirm the growth, but Q2 also produced negative $5.9 billion free cash flow and $195-$205 billion 2026 capex guidance. The catalyst was two months old, not a new paid-service recommendation, and did not justify a distinct thesis or entry.</x:v>
      </x:c>
    </x:row>
    <x:row r="253">
      <x:c r="A253" t="str">
        <x:v>EV-2026-248</x:v>
      </x:c>
      <x:c r="B253" t="str">
        <x:v>EEI-2026-012</x:v>
      </x:c>
      <x:c r="C253" s="21" t="n">
        <x:v>46294.50347222222</x:v>
      </x:c>
      <x:c r="D253" t="str">
        <x:v>Primary confirmation</x:v>
      </x:c>
      <x:c r="E253" t="str">
        <x:v>U.S. Department of War / Air Force</x:v>
      </x:c>
      <x:c r="F253" t="str">
        <x:v>Primary government</x:v>
      </x:c>
      <x:c r="G253" s="44" t="str">
        <x:v>https://www.war.gov/News/Contracts/Contract/Article/4613098/contracts-for-sept-28-2026/</x:v>
      </x:c>
      <x:c r="H253" s="44" t="str">
        <x:v>New award FA8556-26-C-B001 is a sole-source, not-to-exceed $20,699,334,581 multiyear AMRAAM contract through June 30, 2033; $85,715 of FY2026 weapons funds and $154,266,225 of FMS funds were obligated at award.</x:v>
      </x:c>
      <x:c r="I253" s="44" t="str">
        <x:v>Strengthens</x:v>
      </x:c>
      <x:c r="J253" s="44" t="n">
        <x:v>5</x:v>
      </x:c>
      <x:c r="K253" s="44" t="str">
        <x:v>Recipient Raytheon Co.; parent RTX Corp.; Air Force Life Cycle Management Center. New contract action, not a routine modification. Fixed-price incentive firm and firm-fixed-price undefinitized. FMS includes 16 named allies. NAICS/PSC and USAspending current/potential fields were not yet indexed at scan time and are left unresolved rather than inferred.</x:v>
      </x:c>
    </x:row>
    <x:row r="254">
      <x:c r="A254" t="str">
        <x:v>EV-2026-249</x:v>
      </x:c>
      <x:c r="B254" t="str">
        <x:v>EEI-2026-012</x:v>
      </x:c>
      <x:c r="C254" s="21" t="n">
        <x:v>46294.50347222222</x:v>
      </x:c>
      <x:c r="D254" t="str">
        <x:v>Primary confirmation</x:v>
      </x:c>
      <x:c r="E254" t="str">
        <x:v>RTX / Raytheon</x:v>
      </x:c>
      <x:c r="F254" t="str">
        <x:v>Primary company</x:v>
      </x:c>
      <x:c r="G254" s="44" t="str">
        <x:v>https://www.rtx.com/news/news-center/2026/09/28/rtxs-raytheon-awarded-20-7-billion-multi-year-contract-for-amraam-under-landmar</x:v>
      </x:c>
      <x:c r="H254" s="44" t="str">
        <x:v>RTX confirmed the five-year contract plus two option years and said production nearly doubled in 2025, with a goal of at least 1,900 AMRAAM missiles annually.</x:v>
      </x:c>
      <x:c r="I254" s="44" t="str">
        <x:v>Strengthens</x:v>
      </x:c>
      <x:c r="J254" s="44" t="n">
        <x:v>5</x:v>
      </x:c>
      <x:c r="K254" s="44" t="str">
        <x:v>Issuer announcement; confirm economics through obligations and filings rather than promotional language.</x:v>
      </x:c>
    </x:row>
    <x:row r="255">
      <x:c r="A255" t="str">
        <x:v>EV-2026-250</x:v>
      </x:c>
      <x:c r="B255" t="str">
        <x:v>EEI-2026-012</x:v>
      </x:c>
      <x:c r="C255" s="21" t="n">
        <x:v>46294.50347222222</x:v>
      </x:c>
      <x:c r="D255" t="str">
        <x:v>Independent confirmation</x:v>
      </x:c>
      <x:c r="E255" t="str">
        <x:v>Reuters</x:v>
      </x:c>
      <x:c r="F255" t="str">
        <x:v>High quality reporting</x:v>
      </x:c>
      <x:c r="G255" s="44" t="str">
        <x:v>https://www.reuters.com/business/aerospace-defense/pentagon-awards-rtxs-raytheon-207-billion-contract-for-amraam-missiles-amid-2026-09-28/</x:v>
      </x:c>
      <x:c r="H255" s="44" t="str">
        <x:v>Reuters confirmed the provisional multiyear award and reported that full-scale investment depends on Congressional appropriations.</x:v>
      </x:c>
      <x:c r="I255" s="44" t="str">
        <x:v>Strengthens with modifier</x:v>
      </x:c>
      <x:c r="J255" s="44" t="n">
        <x:v>4</x:v>
      </x:c>
      <x:c r="K255" s="44" t="str">
        <x:v>Independent confirmation and strongest funding contradiction. RTX 2025 sales exceeded $88 billion, making the ceiling about 23.5% of one year of company sales, but only about $154.35 million was initially obligated and revenue recognition spans years.</x:v>
      </x:c>
    </x:row>
    <x:row r="256">
      <x:c r="A256" t="str">
        <x:v>EV-2026-251</x:v>
      </x:c>
      <x:c r="B256" t="str">
        <x:v>EEI-2026-012</x:v>
      </x:c>
      <x:c r="C256" s="21" t="n">
        <x:v>46294.50347222222</x:v>
      </x:c>
      <x:c r="D256" t="str">
        <x:v>Market confirmation</x:v>
      </x:c>
      <x:c r="E256" t="str">
        <x:v>Wall Street Journal</x:v>
      </x:c>
      <x:c r="F256" t="str">
        <x:v>High quality reporting</x:v>
      </x:c>
      <x:c r="G256" s="44" t="str">
        <x:v>https://www.wsj.com/business/raytheon-gets-20-7-billion-contract-to-accelerate-amraam-missile-production-25f96d73</x:v>
      </x:c>
      <x:c r="H256" s="44" t="str">
        <x:v>RTX shares rose about 1.3% to $190 after hours following the award announcement.</x:v>
      </x:c>
      <x:c r="I256" s="44" t="str">
        <x:v>Modest confirmation</x:v>
      </x:c>
      <x:c r="J256" s="44" t="n">
        <x:v>4</x:v>
      </x:c>
      <x:c r="K256" s="44" t="str">
        <x:v>The reaction was positive but not a sustained breakout; current scan quote was about $187.66.</x:v>
      </x:c>
    </x:row>
    <x:row r="257">
      <x:c r="A257" t="str">
        <x:v>EV-2026-252</x:v>
      </x:c>
      <x:c r="B257"/>
      <x:c r="C257" s="21" t="n">
        <x:v>46294.50347222222</x:v>
      </x:c>
      <x:c r="D257" t="str">
        <x:v>Rejected corporate trigger</x:v>
      </x:c>
      <x:c r="E257" t="str">
        <x:v>Reuters</x:v>
      </x:c>
      <x:c r="F257" t="str">
        <x:v>High quality reporting</x:v>
      </x:c>
      <x:c r="G257" s="44" t="str">
        <x:v>https://www.reuters.com/business/ftse-100-rises-astraZeneca-lifts-healthcare-sector-2026-09-29/</x:v>
      </x:c>
      <x:c r="H257" s="44" t="str">
        <x:v>AstraZeneca announced a $2 billion investment in Summit Therapeutics and Summit shares jumped about 18.4%.</x:v>
      </x:c>
      <x:c r="I257" s="44" t="str">
        <x:v>Rejected as entry</x:v>
      </x:c>
      <x:c r="J257" s="44" t="n">
        <x:v>4</x:v>
      </x:c>
      <x:c r="K257" s="44" t="str">
        <x:v>A material oncology partnership, but the immediate price jump, clinical concentration and incomplete program economics create headline-chasing risk. No distinct thesis was opened without further primary clinical and transaction review.</x:v>
      </x:c>
    </x:row>
    <x:row r="258">
      <x:c r="A258" t="str">
        <x:v>EV-2026-253</x:v>
      </x:c>
      <x:c r="B258" t="str">
        <x:v>EEI-2026-003</x:v>
      </x:c>
      <x:c r="C258" s="53" t="n">
        <x:v>46294.62361111111</x:v>
      </x:c>
      <x:c r="D258" t="str">
        <x:v>Market confirmation</x:v>
      </x:c>
      <x:c r="E258" t="str">
        <x:v>Reuters and current fund market data</x:v>
      </x:c>
      <x:c r="F258" t="str">
        <x:v>High-quality reporting and live market data</x:v>
      </x:c>
      <x:c r="G258" s="44" t="str">
        <x:v>https://www.reuters.com/business/us-stock-futures-flat-tech-bounce-meets-crude-driven-caution-2026-09-29/</x:v>
      </x:c>
      <x:c r="H258" s="44" t="str">
        <x:v>Near 10:57 a.m. ET, SPY was nearly flat while RSP and IWM fell about 0.30%. XLI rose 0.21% and CPER 0.48%, but XLB, XLV, XBI and XLF declined. Reuters reported more decliners than advancers and the 10-year yield near 5.08%.</x:v>
      </x:c>
      <x:c r="I258" s="44" t="str">
        <x:v>Contradicts broad participation</x:v>
      </x:c>
      <x:c r="J258" s="44" t="n">
        <x:v>5</x:v>
      </x:c>
      <x:c r="K258" s="44" t="str">
        <x:v>The premarket health-care and biotech strength reversed. Isolated industrial and copper gains do not offset lagging equal weight, small caps and most tracked sectors, so the expected uncertainty-relief mechanism is not confirmed.</x:v>
      </x:c>
    </x:row>
    <x:row r="259">
      <x:c r="A259" t="str">
        <x:v>EV-2026-254</x:v>
      </x:c>
      <x:c r="B259" t="str">
        <x:v>EEI-2026-001</x:v>
      </x:c>
      <x:c r="C259" s="56" t="n">
        <x:v>46294.833333333336</x:v>
      </x:c>
      <x:c r="D259" t="str">
        <x:v>Paper-trade outcome</x:v>
      </x:c>
      <x:c r="E259" t="str">
        <x:v>S&amp;P Global Market Intelligence via StockAnalysis</x:v>
      </x:c>
      <x:c r="F259" t="str">
        <x:v>Regular-session closing market data</x:v>
      </x:c>
      <x:c r="G259" s="44" t="str">
        <x:v>https://stockanalysis.com/etf/bno/</x:v>
      </x:c>
      <x:c r="H259" s="44" t="str">
        <x:v>BNO closed September 29 at $58.75 versus the $57.21 September 8 opening entry. The $1,000 paper position was worth $1,026.92, up $26.92 or 2.69%; BNO fell 2.62% for the session.</x:v>
      </x:c>
      <x:c r="I259" s="44" t="str">
        <x:v>Still supports the cleanest direct expression, but weakens the extended hold</x:v>
      </x:c>
      <x:c r="J259" s="44" t="n">
        <x:v>5</x:v>
      </x:c>
      <x:c r="K259" s="44" t="str">
        <x:v>BNO remains the only profitable position. This is continued tracking after the formal September 18 horizon and does not change the completed outcome score.</x:v>
      </x:c>
    </x:row>
    <x:row r="260">
      <x:c r="A260" t="str">
        <x:v>EV-2026-255</x:v>
      </x:c>
      <x:c r="B260" t="str">
        <x:v>EEI-2026-001</x:v>
      </x:c>
      <x:c r="C260" s="56" t="n">
        <x:v>46294.833333333336</x:v>
      </x:c>
      <x:c r="D260" t="str">
        <x:v>Paper-trade outcome</x:v>
      </x:c>
      <x:c r="E260" t="str">
        <x:v>S&amp;P Global Market Intelligence via StockAnalysis</x:v>
      </x:c>
      <x:c r="F260" t="str">
        <x:v>Regular-session closing market data</x:v>
      </x:c>
      <x:c r="G260" s="44" t="str">
        <x:v>https://stockanalysis.com/etf/uso/</x:v>
      </x:c>
      <x:c r="H260" s="44" t="str">
        <x:v>USO closed September 29 at $143.35 versus the $144.60 September 8 opening entry. The $1,000 paper position was worth $991.36, down $8.64 or 0.86%; USO fell 4.44% for the session.</x:v>
      </x:c>
      <x:c r="I260" s="44" t="str">
        <x:v>Weakens the direct WTI expression after the evaluation horizon</x:v>
      </x:c>
      <x:c r="J260" s="44" t="n">
        <x:v>5</x:v>
      </x:c>
      <x:c r="K260" s="44" t="str">
        <x:v>USO moved below entry after being strongly profitable during the formal window, showing how quickly the post-horizon scarcity premium can reverse.</x:v>
      </x:c>
    </x:row>
    <x:row r="261">
      <x:c r="A261" t="str">
        <x:v>EV-2026-256</x:v>
      </x:c>
      <x:c r="B261" t="str">
        <x:v>EEI-2026-001</x:v>
      </x:c>
      <x:c r="C261" s="56" t="n">
        <x:v>46294.833333333336</x:v>
      </x:c>
      <x:c r="D261" t="str">
        <x:v>Paper-trade outcome</x:v>
      </x:c>
      <x:c r="E261" t="str">
        <x:v>S&amp;P Global Market Intelligence via StockAnalysis</x:v>
      </x:c>
      <x:c r="F261" t="str">
        <x:v>Regular-session closing market data</x:v>
      </x:c>
      <x:c r="G261" s="44" t="str">
        <x:v>https://stockanalysis.com/etf/xop/</x:v>
      </x:c>
      <x:c r="H261" s="44" t="str">
        <x:v>XOP closed September 29 at $178.63 versus the $193.84 September 8 opening entry. The $1,000 paper position was worth $921.53, down $78.47 or 7.85%; XOP fell 0.84% for the session.</x:v>
      </x:c>
      <x:c r="I261" s="44" t="str">
        <x:v>Continues to weaken the indirect equity expression</x:v>
      </x:c>
      <x:c r="J261" s="44" t="n">
        <x:v>5</x:v>
      </x:c>
      <x:c r="K261" s="44" t="str">
        <x:v>The producer-equity proxy remains the expression failure and materially trails the direct crude funds, reinforcing the methodology preference for cleaner exposure.</x:v>
      </x:c>
    </x:row>
    <x:row r="262">
      <x:c r="A262" t="str">
        <x:v>EV-2026-257</x:v>
      </x:c>
      <x:c r="B262" t="str">
        <x:v>EEI-2026-001</x:v>
      </x:c>
      <x:c r="C262" s="56" t="n">
        <x:v>46294.833333333336</x:v>
      </x:c>
      <x:c r="D262" t="str">
        <x:v>Post-horizon normalization confirmation</x:v>
      </x:c>
      <x:c r="E262" t="str">
        <x:v>Reuters</x:v>
      </x:c>
      <x:c r="F262" t="str">
        <x:v>High-quality reporting, settlement and shipping data</x:v>
      </x:c>
      <x:c r="G262" s="44" t="str">
        <x:v>https://www.reuters.com/business/energy/oil-prices-rise-second-session-continued-middle-east-supply-concern-2026-09-29/</x:v>
      </x:c>
      <x:c r="H262" s="44" t="str">
        <x:v>Brent settled 2.6% lower at $102.59 and WTI fell 3.5% to $89.38 as Saudi Arabia resumed Yanbu loadings, East-West Pipeline flows increased and Middle East crude exports reached 16.328 million barrels per day, the highest since the war began.</x:v>
      </x:c>
      <x:c r="I262" s="44" t="str">
        <x:v>Materially weakens the extended-hold scarcity thesis</x:v>
      </x:c>
      <x:c r="J262" s="44" t="n">
        <x:v>5</x:v>
      </x:c>
      <x:c r="K262" s="44" t="str">
        <x:v>The original thesis succeeded inside its formal horizon, but restored bypass capacity and record postwar regional export volume now show the market adapting to the disruption.</x:v>
      </x:c>
    </x:row>
    <x:row r="263">
      <x:c r="A263" t="str">
        <x:v>EV-2026-258</x:v>
      </x:c>
      <x:c r="B263" t="str">
        <x:v>EEI-2026-001</x:v>
      </x:c>
      <x:c r="C263" s="56" t="n">
        <x:v>46294.833333333336</x:v>
      </x:c>
      <x:c r="D263" t="str">
        <x:v>Policy supply modifier</x:v>
      </x:c>
      <x:c r="E263" t="str">
        <x:v>Reuters</x:v>
      </x:c>
      <x:c r="F263" t="str">
        <x:v>High-quality reporting and U.S. Energy Department announcement</x:v>
      </x:c>
      <x:c r="G263" s="44" t="str">
        <x:v>https://www.reuters.com/business/energy/us-release-40-million-barrels-crude-strategic-petroleum-reserve-energy-2026-09-29/</x:v>
      </x:c>
      <x:c r="H263" s="44" t="str">
        <x:v>The U.S. government offered to loan energy companies up to 40 million barrels from the Strategic Petroleum Reserve, with proposals due October 6 and repayment extending through late 2028.</x:v>
      </x:c>
      <x:c r="I263" s="44" t="str">
        <x:v>Weakens near-term scarcity and adds policy-driven supply</x:v>
      </x:c>
      <x:c r="J263" s="44" t="n">
        <x:v>5</x:v>
      </x:c>
      <x:c r="K263" s="44" t="str">
        <x:v>The offer does not erase Hormuz risk, but it creates another source of prompt barrels and reinforces the negative post-horizon move in the direct crude expressions.</x:v>
      </x:c>
    </x:row>
    <x:row r="264">
      <x:c r="A264" t="str">
        <x:v>EV-2026-259</x:v>
      </x:c>
      <x:c r="B264" t="str">
        <x:v>EEI-2026-009</x:v>
      </x:c>
      <x:c r="C264" s="21" t="n">
        <x:v>46295.51619212963</x:v>
      </x:c>
      <x:c r="D264" t="str">
        <x:v>Supporting</x:v>
      </x:c>
      <x:c r="E264" t="str">
        <x:v>Reuters / Russian government</x:v>
      </x:c>
      <x:c r="F264" t="str">
        <x:v>High quality reporting</x:v>
      </x:c>
      <x:c r="G264" s="44" t="str">
        <x:v>https://www.reuters.com/business/energy/russia-extends-diesel-export-ban-until-end-october-2026-09-30/</x:v>
      </x:c>
      <x:c r="H264" s="44" t="str">
        <x:v>Russia extended its diesel-export ban for producers through the end of October. Russia is normally the world's second-largest diesel exporter after the United States.</x:v>
      </x:c>
      <x:c r="I264" s="44" t="str">
        <x:v>Strengthens</x:v>
      </x:c>
      <x:c r="J264" s="44" t="n">
        <x:v>4</x:v>
      </x:c>
      <x:c r="K264" s="44" t="str">
        <x:v>Government policy action extends the supply constraint; exceptions remain for certain intergovernmental agreements.</x:v>
      </x:c>
    </x:row>
    <x:row r="265">
      <x:c r="A265" t="str">
        <x:v>EV-2026-260</x:v>
      </x:c>
      <x:c r="B265" t="str">
        <x:v>EEI-2026-009</x:v>
      </x:c>
      <x:c r="C265" s="21" t="n">
        <x:v>46295.51619212963</x:v>
      </x:c>
      <x:c r="D265" t="str">
        <x:v>Contradictory</x:v>
      </x:c>
      <x:c r="E265" t="str">
        <x:v>Reuters</x:v>
      </x:c>
      <x:c r="F265" t="str">
        <x:v>High quality reporting</x:v>
      </x:c>
      <x:c r="G265" s="44" t="str">
        <x:v>https://www.reuters.com/business/energy/oil-climbs-after-trump-denies-he-is-willing-ease-sanctions-iran-2026-09-30/</x:v>
      </x:c>
      <x:c r="H265" s="44" t="str">
        <x:v>Middle East crude exports recovered toward 2025 average levels even as tight fuel markets continued to support prices.</x:v>
      </x:c>
      <x:c r="I265" s="44" t="str">
        <x:v>Weakens crude/logistics component; does not remove diesel constraint</x:v>
      </x:c>
      <x:c r="J265" s="44" t="n">
        <x:v>4</x:v>
      </x:c>
      <x:c r="K265" s="44" t="str">
        <x:v>Separates recovering crude supply from persistent refined-product scarcity.</x:v>
      </x:c>
    </x:row>
    <x:row r="266">
      <x:c r="A266" t="str">
        <x:v>EV-2026-261</x:v>
      </x:c>
      <x:c r="B266" t="str">
        <x:v>EEI-2026-002</x:v>
      </x:c>
      <x:c r="C266" s="21" t="n">
        <x:v>46295.51619212963</x:v>
      </x:c>
      <x:c r="D266" t="str">
        <x:v>Supporting</x:v>
      </x:c>
      <x:c r="E266" t="str">
        <x:v>Reuters / Edison</x:v>
      </x:c>
      <x:c r="F266" t="str">
        <x:v>High quality reporting</x:v>
      </x:c>
      <x:c r="G266" s="44" t="str">
        <x:v>https://www.reuters.com/business/energy/qatar-linked-lng-traffic-through-hormuz-strait-picks-up-despite-conflict-2026-09-28/</x:v>
      </x:c>
      <x:c r="H266" s="44" t="str">
        <x:v>QatarEnergy-linked traffic resumed visibly, but customer force-majeure extensions remained consistent with incomplete restoration of LNG deliveries.</x:v>
      </x:c>
      <x:c r="I266" s="44" t="str">
        <x:v>Mixed; scarcity persists</x:v>
      </x:c>
      <x:c r="J266" s="44" t="n">
        <x:v>4</x:v>
      </x:c>
      <x:c r="K266" s="44" t="str">
        <x:v>Visible vessel movement is not equivalent to normal contracted supply.</x:v>
      </x:c>
    </x:row>
    <x:row r="267">
      <x:c r="A267" t="str">
        <x:v>EV-2026-262</x:v>
      </x:c>
      <x:c r="B267" t="str">
        <x:v>EEI-2026-002</x:v>
      </x:c>
      <x:c r="C267" s="21" t="n">
        <x:v>46295.51619212963</x:v>
      </x:c>
      <x:c r="D267" t="str">
        <x:v>Contradictory</x:v>
      </x:c>
      <x:c r="E267" t="str">
        <x:v>Reuters / Kpler / LSEG</x:v>
      </x:c>
      <x:c r="F267" t="str">
        <x:v>High quality reporting</x:v>
      </x:c>
      <x:c r="G267" s="44" t="str">
        <x:v>https://www.reuters.com/business/energy/qatar-linked-lng-traffic-through-hormuz-strait-picks-up-despite-conflict-2026-09-28/</x:v>
      </x:c>
      <x:c r="H267" s="44" t="str">
        <x:v>More QatarEnergy-linked LNG vessels transited Hormuz visibly in September after no visible transits were recorded in August.</x:v>
      </x:c>
      <x:c r="I267" s="44" t="str">
        <x:v>Weakens</x:v>
      </x:c>
      <x:c r="J267" s="44" t="n">
        <x:v>4</x:v>
      </x:c>
      <x:c r="K267" s="44" t="str">
        <x:v>Partial route normalization does not yet resolve damaged production or extended force majeure.</x:v>
      </x:c>
    </x:row>
    <x:row r="268">
      <x:c r="A268" t="str">
        <x:v>EV-2026-263</x:v>
      </x:c>
      <x:c r="B268" t="str">
        <x:v>EEI-2026-003</x:v>
      </x:c>
      <x:c r="C268" s="21" t="n">
        <x:v>46295.51619212963</x:v>
      </x:c>
      <x:c r="D268" t="str">
        <x:v>Contradictory</x:v>
      </x:c>
      <x:c r="E268" t="str">
        <x:v>Associated Press / AdImpact</x:v>
      </x:c>
      <x:c r="F268" t="str">
        <x:v>High quality reporting</x:v>
      </x:c>
      <x:c r="G268" s="44" t="str">
        <x:v>https://apnews.com/article/democrats-midterms-new-hampshire-republicans-advantage-61a954efa9fe840b8451136f02ffa592</x:v>
      </x:c>
      <x:c r="H268" s="44" t="str">
        <x:v>Republicans were spending about $1.63 billion on nationwide campaign advertising from September 1 through Election Day versus $1.19 billion for Democrats, with an advantage in every top-tier Senate state including New Hampshire.</x:v>
      </x:c>
      <x:c r="I268" s="44" t="str">
        <x:v>Weakens Senate-control confidence</x:v>
      </x:c>
      <x:c r="J268" s="44" t="n">
        <x:v>4</x:v>
      </x:c>
      <x:c r="K268" s="44" t="str">
        <x:v>Campaign spending is not an election result, but it is credible evidence against treating a blue wave as settled.</x:v>
      </x:c>
    </x:row>
    <x:row r="269">
      <x:c r="A269" t="str">
        <x:v>EV-2026-264</x:v>
      </x:c>
      <x:c r="B269" t="str">
        <x:v>EEI-2026-003</x:v>
      </x:c>
      <x:c r="C269" s="21" t="n">
        <x:v>46295.51619212963</x:v>
      </x:c>
      <x:c r="D269" t="str">
        <x:v>Market confirmation</x:v>
      </x:c>
      <x:c r="E269" t="str">
        <x:v>Reuters / Associated Press</x:v>
      </x:c>
      <x:c r="F269" t="str">
        <x:v>High quality reporting</x:v>
      </x:c>
      <x:c r="G269" s="44" t="str">
        <x:v>https://www.reuters.com/business/us-stock-futures-inch-up-yields-ease-inflation-report-looms-2026-09-30/</x:v>
      </x:c>
      <x:c r="H269" s="44" t="str">
        <x:v>The 10-year Treasury yield remained near 5.24%; September 29's S&amp;P 500 fell 0.2% and the Russell 2000 fell 0.4%, while futures were slightly lower before inflation data.</x:v>
      </x:c>
      <x:c r="I269" s="44" t="str">
        <x:v>Weakens</x:v>
      </x:c>
      <x:c r="J269" s="44" t="n">
        <x:v>4</x:v>
      </x:c>
      <x:c r="K269" s="44" t="str">
        <x:v>High yields and weak small-cap participation remain inconsistent with broad post-shift confirmation.</x:v>
      </x:c>
    </x:row>
    <x:row r="270">
      <x:c r="A270" t="str">
        <x:v>EV-2026-265</x:v>
      </x:c>
      <x:c r="B270" t="str">
        <x:v>EEI-2026-013</x:v>
      </x:c>
      <x:c r="C270" s="21" t="n">
        <x:v>46295.51619212963</x:v>
      </x:c>
      <x:c r="D270" t="str">
        <x:v>Supporting</x:v>
      </x:c>
      <x:c r="E270" t="str">
        <x:v>U.S. Department of Defense via Reuters</x:v>
      </x:c>
      <x:c r="F270" t="str">
        <x:v>Government confirmation / high quality reporting</x:v>
      </x:c>
      <x:c r="G270" s="44" t="str">
        <x:v>https://www.reuters.com/business/autos-transportation/boeing-wins-us-navys-next-generation-fighter-contract-sources-say-2026-09-29/</x:v>
      </x:c>
      <x:c r="H270" s="44" t="str">
        <x:v>The Pentagon selected Boeing for a roughly $20 billion F/A-XX development contract to produce test aircraft; first production aircraft are expected in the 2030s.</x:v>
      </x:c>
      <x:c r="I270" s="44" t="str">
        <x:v>Strengthens</x:v>
      </x:c>
      <x:c r="J270" s="44" t="n">
        <x:v>4</x:v>
      </x:c>
      <x:c r="K270" s="44" t="str">
        <x:v>Recipient: Boeing, parent The Boeing Company; agency: U.S. Navy / Department of Defense; action: new competitive development selection. Public award identifier, obligation, NAICS/PSC and detailed performance period were not disclosed.</x:v>
      </x:c>
    </x:row>
    <x:row r="271">
      <x:c r="A271" t="str">
        <x:v>EV-2026-266</x:v>
      </x:c>
      <x:c r="B271" t="str">
        <x:v>EEI-2026-013</x:v>
      </x:c>
      <x:c r="C271" s="21" t="n">
        <x:v>46295.51619212963</x:v>
      </x:c>
      <x:c r="D271" t="str">
        <x:v>Supporting</x:v>
      </x:c>
      <x:c r="E271" t="str">
        <x:v>The Boeing Company</x:v>
      </x:c>
      <x:c r="F271" t="str">
        <x:v>Primary company filing</x:v>
      </x:c>
      <x:c r="G271" s="44" t="str">
        <x:v>https://investors.boeing.com/investors/news/press-release-details/2026/Boeing-Reports-Second-Quarter-Results/</x:v>
      </x:c>
      <x:c r="H271" s="44" t="str">
        <x:v>Boeing reported $7.5 billion of Q2 2026 Defense, Space &amp; Security revenue and $715 billion of total company backlog.</x:v>
      </x:c>
      <x:c r="I271" s="44" t="str">
        <x:v>Establishes materiality context</x:v>
      </x:c>
      <x:c r="J271" s="44" t="n">
        <x:v>5</x:v>
      </x:c>
      <x:c r="K271" s="44" t="str">
        <x:v>A $20 billion development headline is material relative to annual defense revenue, but the undisclosed funding and recognition schedule prevent treating the full amount as near-term revenue.</x:v>
      </x:c>
    </x:row>
    <x:row r="272">
      <x:c r="A272" t="str">
        <x:v>EV-2026-267</x:v>
      </x:c>
      <x:c r="B272" t="str">
        <x:v>EEI-2026-013</x:v>
      </x:c>
      <x:c r="C272" s="21" t="n">
        <x:v>46295.51619212963</x:v>
      </x:c>
      <x:c r="D272" t="str">
        <x:v>Market confirmation</x:v>
      </x:c>
      <x:c r="E272" t="str">
        <x:v>Reuters</x:v>
      </x:c>
      <x:c r="F272" t="str">
        <x:v>High quality reporting</x:v>
      </x:c>
      <x:c r="G272" s="44" t="str">
        <x:v>https://www.reuters.com/business/us-stock-futures-inch-up-yields-ease-inflation-report-looms-2026-09-30/</x:v>
      </x:c>
      <x:c r="H272" s="44" t="str">
        <x:v>Boeing rose about 2.1% premarket after rising about 2.25% after hours; Northrop Grumman fell about 3.5% after losing the competition.</x:v>
      </x:c>
      <x:c r="I272" s="44" t="str">
        <x:v>Confirms importance; weakens entry</x:v>
      </x:c>
      <x:c r="J272" s="44" t="n">
        <x:v>4</x:v>
      </x:c>
      <x:c r="K272" s="44" t="str">
        <x:v>The immediate repricing supports WAIT rather than a headline-chasing entry.</x:v>
      </x:c>
    </x:row>
    <x:row r="273">
      <x:c r="A273" t="str">
        <x:v>EV-2026-268</x:v>
      </x:c>
      <x:c r="B273" t="str">
        <x:v>EEI-2026-013</x:v>
      </x:c>
      <x:c r="C273" s="21" t="n">
        <x:v>46295.51619212963</x:v>
      </x:c>
      <x:c r="D273" t="str">
        <x:v>Contradictory</x:v>
      </x:c>
      <x:c r="E273" t="str">
        <x:v>Reuters / FAA</x:v>
      </x:c>
      <x:c r="F273" t="str">
        <x:v>High quality reporting</x:v>
      </x:c>
      <x:c r="G273" s="44" t="str">
        <x:v>https://www.reuters.com/world/westjet-said-it-has-not-seen-any-in-service-events-related-software-under-faa-2026-09-28/</x:v>
      </x:c>
      <x:c r="H273" s="44" t="str">
        <x:v>The FAA delayed 737 MAX 10 certification over a newly disclosed software issue, sending Boeing shares down 6.9% on September 28.</x:v>
      </x:c>
      <x:c r="I273" s="44" t="str">
        <x:v>Weakens company expression</x:v>
      </x:c>
      <x:c r="J273" s="44" t="n">
        <x:v>4</x:v>
      </x:c>
      <x:c r="K273" s="44" t="str">
        <x:v>Commercial certification and cash-flow risk can dominate the stock even when the defense award is strategically important.</x:v>
      </x:c>
    </x:row>
    <x:row r="274">
      <x:c r="A274" t="str">
        <x:v>EV-2026-269</x:v>
      </x:c>
      <x:c r="B274" t="str">
        <x:v>EEI-2026-001</x:v>
      </x:c>
      <x:c r="C274" s="56" t="n">
        <x:v>46295.833333333336</x:v>
      </x:c>
      <x:c r="D274" t="str">
        <x:v>Paper-trade outcome</x:v>
      </x:c>
      <x:c r="E274" t="str">
        <x:v>Market data via StockAnalysis</x:v>
      </x:c>
      <x:c r="F274" t="str">
        <x:v>Regular-session closing market data</x:v>
      </x:c>
      <x:c r="G274" s="44" t="str">
        <x:v>https://stockanalysis.com/etf/bno/history/</x:v>
      </x:c>
      <x:c r="H274" s="44" t="str">
        <x:v>BNO closed September 30 at $60.09 versus the $57.21 September 8 opening entry. The $1,000 paper position was worth $1,050.34, up $50.34 or 5.03%; BNO gained 2.28% from the September 29 close.</x:v>
      </x:c>
      <x:c r="I274" s="44" t="str">
        <x:v>Supports the direct Brent expression after the prior-day reversal</x:v>
      </x:c>
      <x:c r="J274" s="44" t="n">
        <x:v>5</x:v>
      </x:c>
      <x:c r="K274" s="44" t="str">
        <x:v>BNO remains the strongest paper position. This post-horizon mark does not change the completed September 18 outcome score.</x:v>
      </x:c>
    </x:row>
    <x:row r="275">
      <x:c r="A275" t="str">
        <x:v>EV-2026-270</x:v>
      </x:c>
      <x:c r="B275" t="str">
        <x:v>EEI-2026-001</x:v>
      </x:c>
      <x:c r="C275" s="56" t="n">
        <x:v>46295.833333333336</x:v>
      </x:c>
      <x:c r="D275" t="str">
        <x:v>Paper-trade outcome</x:v>
      </x:c>
      <x:c r="E275" t="str">
        <x:v>S&amp;P Global Market Intelligence via StockAnalysis</x:v>
      </x:c>
      <x:c r="F275" t="str">
        <x:v>Regular-session closing market data</x:v>
      </x:c>
      <x:c r="G275" s="44" t="str">
        <x:v>https://stockanalysis.com/etf/uso/history/</x:v>
      </x:c>
      <x:c r="H275" s="44" t="str">
        <x:v>USO closed September 30 at $145.66 versus the $144.60 September 8 opening entry. The $1,000 paper position was worth $1,007.33, up $7.33 or 0.73%; USO gained 1.61% for the session.</x:v>
      </x:c>
      <x:c r="I275" s="44" t="str">
        <x:v>Returns the direct WTI expression to a small gain</x:v>
      </x:c>
      <x:c r="J275" s="44" t="n">
        <x:v>5</x:v>
      </x:c>
      <x:c r="K275" s="44" t="str">
        <x:v>USO moved back above entry but remains far below its formal-horizon and peak gains, confirming the headline sensitivity of the extended hold.</x:v>
      </x:c>
    </x:row>
    <x:row r="276">
      <x:c r="A276" t="str">
        <x:v>EV-2026-271</x:v>
      </x:c>
      <x:c r="B276" t="str">
        <x:v>EEI-2026-001</x:v>
      </x:c>
      <x:c r="C276" s="56" t="n">
        <x:v>46295.833333333336</x:v>
      </x:c>
      <x:c r="D276" t="str">
        <x:v>Paper-trade outcome</x:v>
      </x:c>
      <x:c r="E276" t="str">
        <x:v>S&amp;P Global Market Intelligence via StockAnalysis</x:v>
      </x:c>
      <x:c r="F276" t="str">
        <x:v>Regular-session closing market data</x:v>
      </x:c>
      <x:c r="G276" s="44" t="str">
        <x:v>https://stockanalysis.com/etf/xop/history/</x:v>
      </x:c>
      <x:c r="H276" s="44" t="str">
        <x:v>XOP closed September 30 at $179.33 versus the $193.84 September 8 opening entry. The $1,000 paper position was worth $925.14, down $74.86 or 7.49%; XOP gained 0.39% for the session.</x:v>
      </x:c>
      <x:c r="I276" s="44" t="str">
        <x:v>Continues to weaken the indirect equity expression</x:v>
      </x:c>
      <x:c r="J276" s="44" t="n">
        <x:v>5</x:v>
      </x:c>
      <x:c r="K276" s="44" t="str">
        <x:v>The producer-equity proxy remains the expression failure and materially trails both direct crude funds.</x:v>
      </x:c>
    </x:row>
    <x:row r="277">
      <x:c r="A277" t="str">
        <x:v>EV-2026-272</x:v>
      </x:c>
      <x:c r="B277" t="str">
        <x:v>EEI-2026-001</x:v>
      </x:c>
      <x:c r="C277" s="56" t="n">
        <x:v>46295.833333333336</x:v>
      </x:c>
      <x:c r="D277" t="str">
        <x:v>Post-horizon scarcity confirmation</x:v>
      </x:c>
      <x:c r="E277" t="str">
        <x:v>Reuters</x:v>
      </x:c>
      <x:c r="F277" t="str">
        <x:v>High-quality reporting, settlement and inventory data</x:v>
      </x:c>
      <x:c r="G277" s="44" t="str">
        <x:v>https://www.reuters.com/business/energy/oil-climbs-after-trump-denies-he-is-willing-ease-sanctions-iran-2026-09-30/</x:v>
      </x:c>
      <x:c r="H277" s="44" t="str">
        <x:v>Brent November settled 0.9% higher at $103.50 and WTI rose 1.2% to $90.42 as U.S.-Iran talks remained stalled and U.S. gasoline and distillate inventories fell despite a crude-stock build.</x:v>
      </x:c>
      <x:c r="I277" s="44" t="str">
        <x:v>Confirms residual geopolitical and refined-product scarcity</x:v>
      </x:c>
      <x:c r="J277" s="44" t="n">
        <x:v>5</x:v>
      </x:c>
      <x:c r="K277" s="44" t="str">
        <x:v>The direct crude funds rebounded, but the market support now includes tight refined products rather than only the original crude-flow disruption.</x:v>
      </x:c>
    </x:row>
    <x:row r="278">
      <x:c r="A278" t="str">
        <x:v>EV-2026-273</x:v>
      </x:c>
      <x:c r="B278" t="str">
        <x:v>EEI-2026-001</x:v>
      </x:c>
      <x:c r="C278" s="56" t="n">
        <x:v>46295.833333333336</x:v>
      </x:c>
      <x:c r="D278" t="str">
        <x:v>Post-horizon normalization modifier</x:v>
      </x:c>
      <x:c r="E278" t="str">
        <x:v>Reuters</x:v>
      </x:c>
      <x:c r="F278" t="str">
        <x:v>High-quality reporting and bank estimates</x:v>
      </x:c>
      <x:c r="G278" s="44" t="str">
        <x:v>https://www.reuters.com/business/energy/oil-climbs-after-trump-denies-he-is-willing-ease-sanctions-iran-2026-09-30/</x:v>
      </x:c>
      <x:c r="H278" s="44" t="str">
        <x:v>Saudi Arabia resumed Yanbu tanker loadings after restarting the East-West Pipeline. Goldman Sachs estimated Gulf exports at 23.3 million barrels per day over the prior week, in line with the 2025 average, while JPMorgan estimated the ten-day average at 89% of 2025 levels.</x:v>
      </x:c>
      <x:c r="I278" s="44" t="str">
        <x:v>Materially weakens the original crude-availability constraint after the formal horizon</x:v>
      </x:c>
      <x:c r="J278" s="44" t="n">
        <x:v>5</x:v>
      </x:c>
      <x:c r="K278" s="44" t="str">
        <x:v>Recovered export capacity limits the remaining crude scarcity premium even though stalled talks, product shortages and elevated freight costs keep broader energy markets tight.</x:v>
      </x:c>
    </x:row>
    <x:row r="279">
      <x:c r="A279" t="str">
        <x:v>EV-2026-274</x:v>
      </x:c>
      <x:c r="B279" t="str">
        <x:v>EEI-2026-011</x:v>
      </x:c>
      <x:c r="C279" s="21" t="n">
        <x:v>46296.345</x:v>
      </x:c>
      <x:c r="D279" t="str">
        <x:v>Supporting</x:v>
      </x:c>
      <x:c r="E279" t="str">
        <x:v>Reuters / Marisks / Kpler</x:v>
      </x:c>
      <x:c r="F279" t="str">
        <x:v>High quality reporting</x:v>
      </x:c>
      <x:c r="G279" s="44" t="str">
        <x:v>https://www.reuters.com/business/energy/three-oil-tankers-hit-by-projectiles-hormuz-strait-tuesday-marisks-says-2026-10-01/</x:v>
      </x:c>
      <x:c r="H279" s="44" t="str">
        <x:v>Three Liberian-flagged tankers were struck by projectiles while transiting Hormuz with AIS disabled; the vessels had carried or transferred diesel, Iraqi Basrah crude and refined products.</x:v>
      </x:c>
      <x:c r="I279" s="44" t="str">
        <x:v>Strengthens</x:v>
      </x:c>
      <x:c r="J279" s="44" t="n">
        <x:v>4</x:v>
      </x:c>
      <x:c r="K279" s="44" t="str">
        <x:v>Directly reinforces security, insurance, dark-transit and capacity risk; ship-to-ship activity also shows workarounds remain available.</x:v>
      </x:c>
    </x:row>
    <x:row r="280">
      <x:c r="A280" t="str">
        <x:v>EV-2026-275</x:v>
      </x:c>
      <x:c r="B280" t="str">
        <x:v>EEI-2026-009</x:v>
      </x:c>
      <x:c r="C280" s="21" t="n">
        <x:v>46296.345</x:v>
      </x:c>
      <x:c r="D280" t="str">
        <x:v>Physical market confirmation</x:v>
      </x:c>
      <x:c r="E280" t="str">
        <x:v>Wall Street Journal / Argus / HSBC</x:v>
      </x:c>
      <x:c r="F280" t="str">
        <x:v>High quality reporting</x:v>
      </x:c>
      <x:c r="G280" s="44" t="str">
        <x:v>https://www.wsj.com/livecoverage/stock-market-today-dow-s-p-500-nasdaq-10-01-2026/card/more-oil-moves-through-hormuz-but-supply-still-looks-tight-KoinqtZrJ2VpcAboVIuL</x:v>
      </x:c>
      <x:c r="H280" s="44" t="str">
        <x:v>Dated Brent for immediate delivery was reported near $121 while benchmark futures were around $100 despite recovering Middle East flows.</x:v>
      </x:c>
      <x:c r="I280" s="44" t="str">
        <x:v>Strengthens thesis; weakens entry</x:v>
      </x:c>
      <x:c r="J280" s="44" t="n">
        <x:v>4</x:v>
      </x:c>
      <x:c r="K280" s="44" t="str">
        <x:v>Prompt physical scarcity remains stronger than headline export normalization; the price gap raises headline-chasing risk.</x:v>
      </x:c>
    </x:row>
    <x:row r="281">
      <x:c r="A281" t="str">
        <x:v>EV-2026-276</x:v>
      </x:c>
      <x:c r="B281" t="str">
        <x:v>EEI-2026-009</x:v>
      </x:c>
      <x:c r="C281" s="21" t="n">
        <x:v>46296.345</x:v>
      </x:c>
      <x:c r="D281" t="str">
        <x:v>Contradictory</x:v>
      </x:c>
      <x:c r="E281" t="str">
        <x:v>Reuters / Kpler / LSEG</x:v>
      </x:c>
      <x:c r="F281" t="str">
        <x:v>High quality reporting</x:v>
      </x:c>
      <x:c r="G281" s="44" t="str">
        <x:v>https://www.reuters.com/business/energy/uaes-fujairah-restores-some-fuel-oil-supplies-despite-hormuz-disruption-boosts-2026-10-01/</x:v>
      </x:c>
      <x:c r="H281" s="44" t="str">
        <x:v>Fujairah Q3 fuel-oil imports rose to 2.6 million metric tons from 845,000 tons in Q2 and September exports reached more than a one-year high.</x:v>
      </x:c>
      <x:c r="I281" s="44" t="str">
        <x:v>Weakens</x:v>
      </x:c>
      <x:c r="J281" s="44" t="n">
        <x:v>4</x:v>
      </x:c>
      <x:c r="K281" s="44" t="str">
        <x:v>Prompt VLSFO remained tight and inventories below pre-war levels, so this is partial normalization rather than full invalidation.</x:v>
      </x:c>
    </x:row>
    <x:row r="282">
      <x:c r="A282" t="str">
        <x:v>EV-2026-277</x:v>
      </x:c>
      <x:c r="B282" t="str">
        <x:v>EEI-2026-003</x:v>
      </x:c>
      <x:c r="C282" s="21" t="n">
        <x:v>46296.345</x:v>
      </x:c>
      <x:c r="D282" t="str">
        <x:v>Supporting</x:v>
      </x:c>
      <x:c r="E282" t="str">
        <x:v>Reuters</x:v>
      </x:c>
      <x:c r="F282" t="str">
        <x:v>High quality reporting</x:v>
      </x:c>
      <x:c r="G282" s="44" t="str">
        <x:v>https://www.reuters.com/world/us/democratic-wave-is-hitting-republican-states-hardest-scrambling-senate-strategy-2026-10-01/</x:v>
      </x:c>
      <x:c r="H282" s="44" t="str">
        <x:v>Democrats were competitive in ten states Trump won by double digits in 2024, materially expanding the possible Senate map; Republicans were reallocating resources to defense.</x:v>
      </x:c>
      <x:c r="I282" s="44" t="str">
        <x:v>Strengthens</x:v>
      </x:c>
      <x:c r="J282" s="44" t="n">
        <x:v>4</x:v>
      </x:c>
      <x:c r="K282" s="44" t="str">
        <x:v>Polls can miss outcomes and Democratic funding is constrained; this strengthens the pathway, not the result.</x:v>
      </x:c>
    </x:row>
    <x:row r="283">
      <x:c r="A283" t="str">
        <x:v>EV-2026-278</x:v>
      </x:c>
      <x:c r="B283" t="str">
        <x:v>EEI-2026-003</x:v>
      </x:c>
      <x:c r="C283" s="21" t="n">
        <x:v>46296.345</x:v>
      </x:c>
      <x:c r="D283" t="str">
        <x:v>Supporting with modifier</x:v>
      </x:c>
      <x:c r="E283" t="str">
        <x:v>Reuters / FEC / AdImpact</x:v>
      </x:c>
      <x:c r="F283" t="str">
        <x:v>High quality reporting</x:v>
      </x:c>
      <x:c r="G283" s="44" t="str">
        <x:v>https://www.reuters.com/legal/government/super-pac-backed-by-hedge-fund-billionaire-ken-griffin-spends-5-million-aid-2026-10-01/</x:v>
      </x:c>
      <x:c r="H283" s="44" t="str">
        <x:v>A Griffin-backed super PAC spent $4.9 million defending Florida's Republican Senate candidate even though forecasters still rate the race safe or solid Republican; Republican leaders increasingly feared losing Senate control.</x:v>
      </x:c>
      <x:c r="I283" s="44" t="str">
        <x:v>Strengthens political case; funding remains contradictory</x:v>
      </x:c>
      <x:c r="J283" s="44" t="n">
        <x:v>4</x:v>
      </x:c>
      <x:c r="K283" s="44" t="str">
        <x:v>Defensive spending in a safe-rated state is an observable behavior signal, but Republican spending advantages remain substantial.</x:v>
      </x:c>
    </x:row>
    <x:row r="284">
      <x:c r="A284" t="str">
        <x:v>EV-2026-279</x:v>
      </x:c>
      <x:c r="B284" t="str">
        <x:v>EEI-2026-003</x:v>
      </x:c>
      <x:c r="C284" s="21" t="n">
        <x:v>46296.345</x:v>
      </x:c>
      <x:c r="D284" t="str">
        <x:v>Contradictory market confirmation</x:v>
      </x:c>
      <x:c r="E284" t="str">
        <x:v>Reuters and current fund market data</x:v>
      </x:c>
      <x:c r="F284" t="str">
        <x:v>Market data and high quality reporting</x:v>
      </x:c>
      <x:c r="G284" s="44" t="str">
        <x:v>https://www.reuters.com/world/china/global-markets-global-markets-2026-10-01/</x:v>
      </x:c>
      <x:c r="H284" s="44" t="str">
        <x:v>The 10-year Treasury yield reached 5.34% before easing near 5.28%; RSP, IWM, XLI, XLF, XLV, XLB and CPER all lagged or fell while only XBI was positive among tracked candidates.</x:v>
      </x:c>
      <x:c r="I284" s="44" t="str">
        <x:v>Weakens entry</x:v>
      </x:c>
      <x:c r="J284" s="44" t="n">
        <x:v>4</x:v>
      </x:c>
      <x:c r="K284" s="44" t="str">
        <x:v>The political signal improved but the broad-market and rates mechanism did not confirm.</x:v>
      </x:c>
    </x:row>
    <x:row r="285">
      <x:c r="A285" t="str">
        <x:v>EV-2026-280</x:v>
      </x:c>
      <x:c r="B285" t="str">
        <x:v>EEI-2026-014</x:v>
      </x:c>
      <x:c r="C285" s="21" t="n">
        <x:v>46296.345</x:v>
      </x:c>
      <x:c r="D285" t="str">
        <x:v>Motley Fool trigger</x:v>
      </x:c>
      <x:c r="E285" t="str">
        <x:v>The Motley Fool — TMF Breakfast News</x:v>
      </x:c>
      <x:c r="F285" t="str">
        <x:v>Trigger only</x:v>
      </x:c>
      <x:c r="G285" s="44" t="str">
        <x:v>https://www.fool.com/investing/breakfast-news/2026/10/01/breakfast-news-netflix-needs-a-new-plot-twist/</x:v>
      </x:c>
      <x:c r="H285" s="44" t="str">
        <x:v>A free October 1 editorial published at 7:30 a.m. ET highlighted Micron's record results, signed supply agreements and expected demand exceeding supply in 2027-2028.</x:v>
      </x:c>
      <x:c r="I285" s="44" t="str">
        <x:v>Triggered independent research</x:v>
      </x:c>
      <x:c r="J285" s="44" t="n">
        <x:v>2</x:v>
      </x:c>
      <x:c r="K285" s="44" t="str">
        <x:v>Ticker MU; catalyst is AI-memory scarcity and contracted demand; horizon is multi-year. The article identified MU as a Team Rule Breakers recommendation and disclosed that The Motley Fool holds MU. It is free editorial content, not a newly disclosed paid-service pick.</x:v>
      </x:c>
    </x:row>
    <x:row r="286">
      <x:c r="A286" t="str">
        <x:v>EV-2026-281</x:v>
      </x:c>
      <x:c r="B286" t="str">
        <x:v>EEI-2026-014</x:v>
      </x:c>
      <x:c r="C286" s="21" t="n">
        <x:v>46296.345</x:v>
      </x:c>
      <x:c r="D286" t="str">
        <x:v>Primary confirmation</x:v>
      </x:c>
      <x:c r="E286" t="str">
        <x:v>Micron Technology</x:v>
      </x:c>
      <x:c r="F286" t="str">
        <x:v>Primary company record</x:v>
      </x:c>
      <x:c r="G286" s="44" t="str">
        <x:v>https://investors.micron.com/news/press-release/2026/Micron-Technology-Inc--Reports-Record-Fiscal-Fourth-Quarter-and-Full-Year-2026-Results/default.aspx</x:v>
      </x:c>
      <x:c r="H286" s="44" t="str">
        <x:v>Micron reported Q4 revenue of $54.23 billion, GAAP net income of $37.70 billion, operating cash flow of $43.97 billion and Q1 FY2027 revenue guidance of $61.5 billion plus or minus $1.5 billion.</x:v>
      </x:c>
      <x:c r="I286" s="44" t="str">
        <x:v>Strengthens</x:v>
      </x:c>
      <x:c r="J286" s="44" t="n">
        <x:v>5</x:v>
      </x:c>
      <x:c r="K286" s="44" t="str">
        <x:v>FY2026 adjusted free cash flow was $62.31 billion and year-end cash, marketable investments and restricted cash were $73.48 billion.</x:v>
      </x:c>
    </x:row>
    <x:row r="287">
      <x:c r="A287" t="str">
        <x:v>EV-2026-282</x:v>
      </x:c>
      <x:c r="B287" t="str">
        <x:v>EEI-2026-014</x:v>
      </x:c>
      <x:c r="C287" s="21" t="n">
        <x:v>46296.345</x:v>
      </x:c>
      <x:c r="D287" t="str">
        <x:v>Independent confirmation</x:v>
      </x:c>
      <x:c r="E287" t="str">
        <x:v>Reuters</x:v>
      </x:c>
      <x:c r="F287" t="str">
        <x:v>High quality reporting</x:v>
      </x:c>
      <x:c r="G287" s="44" t="str">
        <x:v>https://www.reuters.com/world/china/global-markets-global-markets-2026-10-01/</x:v>
      </x:c>
      <x:c r="H287" s="44" t="str">
        <x:v>Reuters reported Micron's long-term strategic-customer commitments rose to $32 billion from $22 billion in June and that the results lifted Asian technology markets.</x:v>
      </x:c>
      <x:c r="I287" s="44" t="str">
        <x:v>Strengthens</x:v>
      </x:c>
      <x:c r="J287" s="44" t="n">
        <x:v>4</x:v>
      </x:c>
      <x:c r="K287" s="44" t="str">
        <x:v>Signed demand improves durability but does not remove cyclicality or valuation risk.</x:v>
      </x:c>
    </x:row>
    <x:row r="288">
      <x:c r="A288" t="str">
        <x:v>EV-2026-283</x:v>
      </x:c>
      <x:c r="B288" t="str">
        <x:v>EEI-2026-014</x:v>
      </x:c>
      <x:c r="C288" s="21" t="n">
        <x:v>46296.345</x:v>
      </x:c>
      <x:c r="D288" t="str">
        <x:v>Independent primary enhancer</x:v>
      </x:c>
      <x:c r="E288" t="str">
        <x:v>Nvidia earnings call</x:v>
      </x:c>
      <x:c r="F288" t="str">
        <x:v>Primary company record</x:v>
      </x:c>
      <x:c r="G288" s="44" t="str">
        <x:v>https://investor.nvidia.com/files/content_files/TRANSCRIPT_-NVIDIA-Corp-NVDA-US-Q2-2027-Earnings-Call-26-August-2026-5_00-PM-ET.pdf</x:v>
      </x:c>
      <x:c r="H288" s="44" t="str">
        <x:v>Nvidia said extreme memory pricing exceeded prior expectations, prices were headed higher into 2027 and supply should remain a bottleneck through fiscal 2028.</x:v>
      </x:c>
      <x:c r="I288" s="44" t="str">
        <x:v>Strengthens</x:v>
      </x:c>
      <x:c r="J288" s="44" t="n">
        <x:v>5</x:v>
      </x:c>
      <x:c r="K288" s="44" t="str">
        <x:v>Independent customer-side confirmation supports the memory-scarcity variable, while higher memory cost pressures Nvidia margins.</x:v>
      </x:c>
    </x:row>
    <x:row r="289">
      <x:c r="A289" t="str">
        <x:v>EV-2026-284</x:v>
      </x:c>
      <x:c r="B289" t="str">
        <x:v>EEI-2026-014</x:v>
      </x:c>
      <x:c r="C289" s="21" t="n">
        <x:v>46296.345</x:v>
      </x:c>
      <x:c r="D289" t="str">
        <x:v>Market confirmation and contradiction</x:v>
      </x:c>
      <x:c r="E289" t="str">
        <x:v>Current market data / Reuters</x:v>
      </x:c>
      <x:c r="F289" t="str">
        <x:v>Market data and high quality reporting</x:v>
      </x:c>
      <x:c r="G289" s="44" t="str">
        <x:v>https://www.reuters.com/world/china/global-markets-global-markets-2026-10-01/</x:v>
      </x:c>
      <x:c r="H289" s="44" t="str">
        <x:v>Micron was roughly flat to modestly positive before the open after a nearly sixfold one-year rise, while Asian chip markets rallied and U.S. Treasury yields remained near multi-decade highs.</x:v>
      </x:c>
      <x:c r="I289" s="44" t="str">
        <x:v>Confirms industry; weakens entry</x:v>
      </x:c>
      <x:c r="J289" s="44" t="n">
        <x:v>4</x:v>
      </x:c>
      <x:c r="K289" s="44" t="str">
        <x:v>Strong fundamentals appear substantially anticipated; Entry Window remains WAIT.</x:v>
      </x:c>
    </x:row>
    <x:row r="290">
      <x:c r="A290" t="str">
        <x:v>EV-2026-285</x:v>
      </x:c>
      <x:c r="B290" t="str"/>
      <x:c r="C290" s="21" t="n">
        <x:v>46296.345</x:v>
      </x:c>
      <x:c r="D290" t="str">
        <x:v>Rejected Motley Fool trigger</x:v>
      </x:c>
      <x:c r="E290" t="str">
        <x:v>The Motley Fool — Keithen Drury</x:v>
      </x:c>
      <x:c r="F290" t="str">
        <x:v>Trigger only</x:v>
      </x:c>
      <x:c r="G290" s="44" t="str">
        <x:v>https://www.fool.com/investing/2026/10/01/the-3-best-stocks-to-buy-in-october/</x:v>
      </x:c>
      <x:c r="H290" s="44" t="str">
        <x:v>A free October 1 editorial at 4:58 a.m. ET named NVDA, AMZN and NBIS as 2027 AI-buildout ideas. The author disclosed positions in all three; The Motley Fool disclosed positions in and recommendations of NVDA and AMZN.</x:v>
      </x:c>
      <x:c r="I290" s="44" t="str">
        <x:v>Rejected as distinct theses</x:v>
      </x:c>
      <x:c r="J290" s="44" t="n">
        <x:v>2</x:v>
      </x:c>
      <x:c r="K290" s="44" t="str">
        <x:v>Primary records confirm growth, but the catalysts were old, broadly known and substantially priced. NVDA's $5.5 trillion valuation and memory-cost pressure, AMZN's roughly $200-$220 billion capex burden, and NBIS's capital intensity and roughly $8.3 billion six-month investing cash use prevent a new high-edge thesis.</x:v>
      </x:c>
    </x:row>
    <x:row r="291">
      <x:c r="A291" t="str">
        <x:v>EV-2026-286</x:v>
      </x:c>
      <x:c r="B291" t="str"/>
      <x:c r="C291" s="21" t="n">
        <x:v>46296.345</x:v>
      </x:c>
      <x:c r="D291" t="str">
        <x:v>Rejected Motley Fool trigger</x:v>
      </x:c>
      <x:c r="E291" t="str">
        <x:v>The Motley Fool — TMF Breakfast News</x:v>
      </x:c>
      <x:c r="F291" t="str">
        <x:v>Trigger only</x:v>
      </x:c>
      <x:c r="G291" s="44" t="str">
        <x:v>https://www.fool.com/investing/breakfast-news/2026/10/01/breakfast-news-netflix-needs-a-new-plot-twist/</x:v>
      </x:c>
      <x:c r="H291" s="44" t="str">
        <x:v>The free editorial highlighted Rocket Lab's 20-launch Synspective contract and MercadoLibre's ecosystem/credit optionality; it referenced prior paid-service recommendations rather than disclosing new premium picks.</x:v>
      </x:c>
      <x:c r="I291" s="44" t="str">
        <x:v>Rejected as distinct theses</x:v>
      </x:c>
      <x:c r="J291" s="44" t="n">
        <x:v>2</x:v>
      </x:c>
      <x:c r="K291" s="44" t="str">
        <x:v>Rocket Lab did not disclose contract value and traded near flat at a high loss-making valuation. MercadoLibre's primary results confirmed 50% revenue growth but operating income fell 17% and unsecured-credit exposure increased. Neither offered a new high-edge entry.</x:v>
      </x:c>
    </x:row>
    <x:row r="292">
      <x:c r="A292" t="str">
        <x:v>EV-2026-287</x:v>
      </x:c>
      <x:c r="B292" t="str">
        <x:v>EEI-2026-001</x:v>
      </x:c>
      <x:c r="C292" s="56" t="n">
        <x:v>46296.833333333336</x:v>
      </x:c>
      <x:c r="D292" t="str">
        <x:v>Paper-trade outcome</x:v>
      </x:c>
      <x:c r="E292" t="str">
        <x:v>S&amp;P Global Market Intelligence via StockAnalysis</x:v>
      </x:c>
      <x:c r="F292" t="str">
        <x:v>Regular-session closing market data</x:v>
      </x:c>
      <x:c r="G292" s="44" t="str">
        <x:v>https://stockanalysis.com/etf/bno/history/</x:v>
      </x:c>
      <x:c r="H292" s="44" t="str">
        <x:v>BNO closed October 1 at $62.95 versus the $57.21 September 8 opening entry. The $1,000 paper position was worth $1,100.33, up $100.33 or 10.03%; BNO gained 4.76% for the session.</x:v>
      </x:c>
      <x:c r="I292" s="44" t="str">
        <x:v>Strengthens the direct Brent expression after renewed escalation</x:v>
      </x:c>
      <x:c r="J292" s="44" t="n">
        <x:v>5</x:v>
      </x:c>
      <x:c r="K292" s="44" t="str">
        <x:v>BNO remains the strongest paper position. This post-horizon mark does not change the completed September 18 outcome score.</x:v>
      </x:c>
    </x:row>
    <x:row r="293">
      <x:c r="A293" t="str">
        <x:v>EV-2026-288</x:v>
      </x:c>
      <x:c r="B293" t="str">
        <x:v>EEI-2026-001</x:v>
      </x:c>
      <x:c r="C293" s="56" t="n">
        <x:v>46296.833333333336</x:v>
      </x:c>
      <x:c r="D293" t="str">
        <x:v>Paper-trade outcome</x:v>
      </x:c>
      <x:c r="E293" t="str">
        <x:v>S&amp;P Global Market Intelligence via StockAnalysis</x:v>
      </x:c>
      <x:c r="F293" t="str">
        <x:v>Regular-session closing market data</x:v>
      </x:c>
      <x:c r="G293" s="44" t="str">
        <x:v>https://stockanalysis.com/etf/uso/history/</x:v>
      </x:c>
      <x:c r="H293" s="44" t="str">
        <x:v>USO closed October 1 at $150.02 versus the $144.60 September 8 opening entry. The $1,000 paper position was worth $1,037.48, up $37.48 or 3.75%; USO gained 2.99% for the session.</x:v>
      </x:c>
      <x:c r="I293" s="44" t="str">
        <x:v>Strengthens the direct WTI expression</x:v>
      </x:c>
      <x:c r="J293" s="44" t="n">
        <x:v>5</x:v>
      </x:c>
      <x:c r="K293" s="44" t="str">
        <x:v>USO recovered further above entry but remains well below its peak gain, confirming the headline sensitivity of the extended hold.</x:v>
      </x:c>
    </x:row>
    <x:row r="294">
      <x:c r="A294" t="str">
        <x:v>EV-2026-289</x:v>
      </x:c>
      <x:c r="B294" t="str">
        <x:v>EEI-2026-001</x:v>
      </x:c>
      <x:c r="C294" s="56" t="n">
        <x:v>46296.833333333336</x:v>
      </x:c>
      <x:c r="D294" t="str">
        <x:v>Paper-trade outcome</x:v>
      </x:c>
      <x:c r="E294" t="str">
        <x:v>S&amp;P Global Market Intelligence via StockAnalysis</x:v>
      </x:c>
      <x:c r="F294" t="str">
        <x:v>Regular-session closing market data</x:v>
      </x:c>
      <x:c r="G294" s="44" t="str">
        <x:v>https://stockanalysis.com/etf/xop/history/</x:v>
      </x:c>
      <x:c r="H294" s="44" t="str">
        <x:v>XOP closed October 1 at $184.30 versus the $193.84 September 8 opening entry. The $1,000 paper position was worth $950.78, down $49.22 or 4.92%; XOP gained 2.77% for the session.</x:v>
      </x:c>
      <x:c r="I294" s="44" t="str">
        <x:v>Still weakens the indirect equity expression</x:v>
      </x:c>
      <x:c r="J294" s="44" t="n">
        <x:v>5</x:v>
      </x:c>
      <x:c r="K294" s="44" t="str">
        <x:v>The producer-equity proxy remains the expression failure despite the session rebound and still trails both direct crude funds.</x:v>
      </x:c>
    </x:row>
    <x:row r="295">
      <x:c r="A295" t="str">
        <x:v>EV-2026-290</x:v>
      </x:c>
      <x:c r="B295" t="str">
        <x:v>EEI-2026-001</x:v>
      </x:c>
      <x:c r="C295" s="56" t="n">
        <x:v>46296.833333333336</x:v>
      </x:c>
      <x:c r="D295" t="str">
        <x:v>Post-horizon scarcity confirmation</x:v>
      </x:c>
      <x:c r="E295" t="str">
        <x:v>Reuters</x:v>
      </x:c>
      <x:c r="F295" t="str">
        <x:v>High-quality reporting and settlement data</x:v>
      </x:c>
      <x:c r="G295" s="44" t="str">
        <x:v>https://www.reuters.com/business/energy/oil-prices-barely-changed-investors-assess-us-iran-peace-talks-gulf-exports-2026-10-01/</x:v>
      </x:c>
      <x:c r="H295" s="44" t="str">
        <x:v>December Brent settled 4.37% higher at $102.31 and WTI rose 2.71% to $92.87 after reports that the United States would add a third aircraft carrier and up to 10,000 troops in the Middle East, while Chinese refiners suspended most fuel-product exports.</x:v>
      </x:c>
      <x:c r="I295" s="44" t="str">
        <x:v>Confirms renewed geopolitical and refined-product scarcity</x:v>
      </x:c>
      <x:c r="J295" s="44" t="n">
        <x:v>5</x:v>
      </x:c>
      <x:c r="K295" s="44" t="str">
        <x:v>The direct crude funds rallied sharply. The immediate support combines escalation risk with tight diesel and other refined-product markets.</x:v>
      </x:c>
    </x:row>
    <x:row r="296">
      <x:c r="A296" t="str">
        <x:v>EV-2026-291</x:v>
      </x:c>
      <x:c r="B296" t="str">
        <x:v>EEI-2026-001</x:v>
      </x:c>
      <x:c r="C296" s="56" t="n">
        <x:v>46296.833333333336</x:v>
      </x:c>
      <x:c r="D296" t="str">
        <x:v>Post-horizon normalization modifier</x:v>
      </x:c>
      <x:c r="E296" t="str">
        <x:v>Reuters / Goldman Sachs</x:v>
      </x:c>
      <x:c r="F296" t="str">
        <x:v>High-quality reporting and market-flow estimate</x:v>
      </x:c>
      <x:c r="G296" s="44" t="str">
        <x:v>https://www.reuters.com/business/energy/oil-prices-barely-changed-investors-assess-us-iran-peace-talks-gulf-exports-2026-10-01/</x:v>
      </x:c>
      <x:c r="H296" s="44" t="str">
        <x:v>Saudi Arabia resumed Yanbu tanker loadings after restarting the East-West Pipeline, and Goldman Sachs estimated Gulf oil exports at 23.3 million barrels per day over the prior week, in line with the 2025 average.</x:v>
      </x:c>
      <x:c r="I296" s="44" t="str">
        <x:v>Continues to weaken the original crude-availability constraint after the formal horizon</x:v>
      </x:c>
      <x:c r="J296" s="44" t="n">
        <x:v>5</x:v>
      </x:c>
      <x:c r="K296" s="44" t="str">
        <x:v>Recovered crude export capacity remains material counterevidence even as military risk and constrained refined-product supply support energy prices.</x:v>
      </x:c>
    </x:row>
    <x:row r="297">
      <x:c r="A297" t="str">
        <x:v>EV-2026-292</x:v>
      </x:c>
      <x:c r="B297" t="str">
        <x:v>EEI-2026-009</x:v>
      </x:c>
      <x:c r="C297" s="21" t="d">
        <x:v>2026-10-02T12:33:58.000Z</x:v>
      </x:c>
      <x:c r="D297" t="str">
        <x:v>Policy confirmation and modifier</x:v>
      </x:c>
      <x:c r="E297" t="str">
        <x:v>Reuters</x:v>
      </x:c>
      <x:c r="F297" t="str">
        <x:v>High quality reporting</x:v>
      </x:c>
      <x:c r="G297" s="44" t="str">
        <x:v>https://www.reuters.com/business/energy/europe-discussing-plan-diesel-stock-releases-after-us-pressure-source-says-2026-10-02/</x:v>
      </x:c>
      <x:c r="H297" s="44" t="str">
        <x:v>EU governments discussed a French proposal to release 50 million barrels of diesel while IEA members would release 50 million barrels of crude; the diesel volume equals about 17% of EU emergency diesel/gasoil stocks and roughly 3% of annual consumption.</x:v>
      </x:c>
      <x:c r="I297" s="44" t="str">
        <x:v>Confirms scarcity; weakens entry</x:v>
      </x:c>
      <x:c r="J297" s="44" t="n">
        <x:v>5</x:v>
      </x:c>
      <x:c r="K297" s="44" t="str">
        <x:v>A proposed emergency release validates acute refined-product tightness but could materially relieve spot pressure. The proposal was under discussion, not yet implemented.</x:v>
      </x:c>
    </x:row>
    <x:row r="298">
      <x:c r="A298" t="str">
        <x:v>EV-2026-293</x:v>
      </x:c>
      <x:c r="B298" t="str">
        <x:v>EEI-2026-009</x:v>
      </x:c>
      <x:c r="C298" s="21" t="d">
        <x:v>2026-10-02T12:33:58.000Z</x:v>
      </x:c>
      <x:c r="D298" t="str">
        <x:v>Market confirmation and contradiction</x:v>
      </x:c>
      <x:c r="E298" t="str">
        <x:v>Reuters</x:v>
      </x:c>
      <x:c r="F298" t="str">
        <x:v>High quality reporting and market data</x:v>
      </x:c>
      <x:c r="G298" s="44" t="str">
        <x:v>https://www.reuters.com/business/energy/oil-rises-slightly-market-weighs-mixed-supply-signals-2026-10-02/</x:v>
      </x:c>
      <x:c r="H298" s="44" t="str">
        <x:v>European gasoil futures fell about 5% to $1,380.50 per metric ton, Brent fell 2.51% to $99.74 and WTI fell 3.8% to $89.34 after reports of diesel and crude stock-release talks.</x:v>
      </x:c>
      <x:c r="I298" s="44" t="str">
        <x:v>Weakens entry; thesis remains intact</x:v>
      </x:c>
      <x:c r="J298" s="44" t="n">
        <x:v>5</x:v>
      </x:c>
      <x:c r="K298" s="44" t="str">
        <x:v>The sharp policy-sensitive reversal reinforces Entry Window WAIT. Reuters still reported inventory draws and steep prompt premiums, while China halted October fuel exports.</x:v>
      </x:c>
    </x:row>
    <x:row r="299">
      <x:c r="A299" t="str">
        <x:v>EV-2026-294</x:v>
      </x:c>
      <x:c r="B299" t="str">
        <x:v>EEI-2026-002</x:v>
      </x:c>
      <x:c r="C299" s="21" t="d">
        <x:v>2026-10-02T12:33:58.000Z</x:v>
      </x:c>
      <x:c r="D299" t="str">
        <x:v>Normalization contradiction</x:v>
      </x:c>
      <x:c r="E299" t="str">
        <x:v>Reuters / S&amp;P Global Energy / Kpler</x:v>
      </x:c>
      <x:c r="F299" t="str">
        <x:v>High quality reporting with independent shipping data</x:v>
      </x:c>
      <x:c r="G299" s="44" t="str">
        <x:v>https://www.reuters.com/business/energy/september-lng-shipments-through-hormuz-hit-highest-since-start-us-iran-war-2026-10-02/</x:v>
      </x:c>
      <x:c r="H299" s="44" t="str">
        <x:v>September LNG shipments through Hormuz rose to 19-21 cargoes from 15 in June; S&amp;P Global said sustained activity could lift October flows to about 25% of pre-war levels.</x:v>
      </x:c>
      <x:c r="I299" s="44" t="str">
        <x:v>Weakens</x:v>
      </x:c>
      <x:c r="J299" s="44" t="n">
        <x:v>4</x:v>
      </x:c>
      <x:c r="K299" s="44" t="str">
        <x:v>Dark transits, escort cost and escalation risk remain, and 25% of pre-war volume would still represent severe impairment.</x:v>
      </x:c>
    </x:row>
    <x:row r="300">
      <x:c r="A300" t="str">
        <x:v>EV-2026-295</x:v>
      </x:c>
      <x:c r="B300" t="str">
        <x:v>EEI-2026-003</x:v>
      </x:c>
      <x:c r="C300" s="21" t="d">
        <x:v>2026-10-02T12:33:58.000Z</x:v>
      </x:c>
      <x:c r="D300" t="str">
        <x:v>Market contradiction</x:v>
      </x:c>
      <x:c r="E300" t="str">
        <x:v>Reuters / LSEG / CFRA</x:v>
      </x:c>
      <x:c r="F300" t="str">
        <x:v>High quality reporting and market data</x:v>
      </x:c>
      <x:c r="G300" s="44" t="str">
        <x:v>https://www.reuters.com/business/wall-st-week-ahead-spiking-bond-yields-midterms-earnings-test-us-stocks-typical-2026-10-02/</x:v>
      </x:c>
      <x:c r="H300" s="44" t="str">
        <x:v>The 10-year Treasury yield reached 5.34%, its highest in 24 years. The S&amp;P 500 was up 12% in 2026 and less than 2% below its August record, while Reuters reported heavy dependence on AI spending and possible election-related pullback risk.</x:v>
      </x:c>
      <x:c r="I300" s="44" t="str">
        <x:v>Weakens investable breadth</x:v>
      </x:c>
      <x:c r="J300" s="44" t="n">
        <x:v>4</x:v>
      </x:c>
      <x:c r="K300" s="44" t="str">
        <x:v>Strong historical fourth-quarter and midterm seasonality is supportive, but high yields and AI concentration remain the nearer-term obstacles to EEI-2026-003's breadth mechanism.</x:v>
      </x:c>
    </x:row>
    <x:row r="301">
      <x:c r="A301" t="str">
        <x:v>EV-2026-296</x:v>
      </x:c>
      <x:c r="B301"/>
      <x:c r="C301" s="21" t="d">
        <x:v>2026-10-02T12:33:58.000Z</x:v>
      </x:c>
      <x:c r="D301" t="str">
        <x:v>Rejected Motley Fool trigger</x:v>
      </x:c>
      <x:c r="E301" t="str">
        <x:v>The Motley Fool — John Ballard</x:v>
      </x:c>
      <x:c r="F301" t="str">
        <x:v>Trigger only; free editorial content</x:v>
      </x:c>
      <x:c r="G301" s="44" t="str">
        <x:v>https://www.fool.com/investing/2026/10/02/marvell-custom-ai-silicon-deal-hyperscalers-growth/</x:v>
      </x:c>
      <x:c r="H301" s="44" t="str">
        <x:v>The article promoted MRVL using an August Google agreement and described up to $120 billion over six years as a growth opportunity; the author owns Amazon and Motley Fool disclosed positions/recommendations in MRVL and several customers.</x:v>
      </x:c>
      <x:c r="I301" s="44" t="str">
        <x:v>Rejected as a distinct thesis</x:v>
      </x:c>
      <x:c r="J301" s="44" t="n">
        <x:v>2</x:v>
      </x:c>
      <x:c r="K301" s="44" t="str">
        <x:v>SEC filings show the $120 billion figure is the purchase threshold needed to vest all 240 warrant tranches at $500 million each, not contracted revenue. The catalyst was already public, MRVL traded near 60 times forward earnings, and the article repeated a previously rejected theme.</x:v>
      </x:c>
    </x:row>
    <x:row r="302">
      <x:c r="A302" t="str">
        <x:v>EV-2026-297</x:v>
      </x:c>
      <x:c r="B302"/>
      <x:c r="C302" s="21" t="d">
        <x:v>2026-10-02T12:33:58.000Z</x:v>
      </x:c>
      <x:c r="D302" t="str">
        <x:v>Rejected Motley Fool trigger</x:v>
      </x:c>
      <x:c r="E302" t="str">
        <x:v>The Motley Fool — Lee Samaha</x:v>
      </x:c>
      <x:c r="F302" t="str">
        <x:v>Trigger only; free editorial content</x:v>
      </x:c>
      <x:c r="G302" s="44" t="str">
        <x:v>https://www.fool.com/investing/2026/10/02/prediction-stock-double-over-5-years-vktx/</x:v>
      </x:c>
      <x:c r="H302" s="44" t="str">
        <x:v>The article argued VKTX could double over five years based on VK2735's injectable and oral obesity-drug opportunity; the author disclosed no position and Motley Fool recommends VKTX.</x:v>
      </x:c>
      <x:c r="I302" s="44" t="str">
        <x:v>Rejected as a reopened thesis</x:v>
      </x:c>
      <x:c r="J302" s="44" t="n">
        <x:v>2</x:v>
      </x:c>
      <x:c r="K302" s="44" t="str">
        <x:v>No new primary catalyst followed the September 22 maintenance data already reviewed. The company then raised roughly $575 million gross through stock and convertible notes, adding dilution and debt while Phase 3, tolerability, approval and commercialization remain unresolved.</x:v>
      </x:c>
    </x:row>
    <x:row r="303">
      <x:c r="A303" t="str">
        <x:v>EV-2026-298</x:v>
      </x:c>
      <x:c r="B303"/>
      <x:c r="C303" s="21" t="d">
        <x:v>2026-10-02T12:33:58.000Z</x:v>
      </x:c>
      <x:c r="D303" t="str">
        <x:v>Rejected Motley Fool trigger cluster</x:v>
      </x:c>
      <x:c r="E303" t="str">
        <x:v>The Motley Fool — multiple authors</x:v>
      </x:c>
      <x:c r="F303" t="str">
        <x:v>Trigger only; free editorial content</x:v>
      </x:c>
      <x:c r="G303" s="44" t="str">
        <x:v>https://www.fool.com/investing-news/</x:v>
      </x:c>
      <x:c r="H303" s="44" t="str">
        <x:v>October 2 free editorials promoted AIQ, TSM, O, TXN/ADI/ON and TER/ZBRA/ROK as AI, income, analog-chip or robotics ideas; author and publication conflicts were disclosed on the individual articles.</x:v>
      </x:c>
      <x:c r="I303" s="44" t="str">
        <x:v>Rejected as distinct theses</x:v>
      </x:c>
      <x:c r="J303" s="44" t="n">
        <x:v>2</x:v>
      </x:c>
      <x:c r="K303" s="44" t="str">
        <x:v>These were broad thematic or income arguments without a new material catalyst. TSM and AIQ repeat the priced AI-capex theme; analog and robotics pieces relied on long-run adoption; O emphasized yield rather than a new economic variable. BMY, LULU and AVAV had no new primary evidence changing their states.</x:v>
      </x:c>
    </x:row>
    <x:row r="304">
      <x:c r="C304" s="21"/>
      <x:c r="G304" s="44"/>
      <x:c r="H304" s="44"/>
      <x:c r="I304" s="44"/>
      <x:c r="J304" s="44"/>
      <x:c r="K304" s="44"/>
    </x:row>
    <x:row r="305">
      <x:c r="C305" s="21"/>
      <x:c r="G305" s="44"/>
      <x:c r="H305" s="44"/>
      <x:c r="I305" s="44"/>
      <x:c r="J305" s="44"/>
      <x:c r="K305" s="44"/>
    </x:row>
    <x:row r="306">
      <x:c r="C306" s="21"/>
      <x:c r="G306" s="44"/>
      <x:c r="H306" s="44"/>
      <x:c r="I306" s="44"/>
      <x:c r="J306" s="44"/>
      <x:c r="K306" s="44"/>
    </x:row>
    <x:row r="307">
      <x:c r="C307" s="21"/>
      <x:c r="G307" s="44"/>
      <x:c r="H307" s="44"/>
      <x:c r="I307" s="44"/>
      <x:c r="J307" s="44"/>
      <x:c r="K307" s="44"/>
    </x:row>
    <x:row r="308">
      <x:c r="C308" s="21"/>
      <x:c r="G308" s="44"/>
      <x:c r="H308" s="44"/>
      <x:c r="I308" s="44"/>
      <x:c r="J308" s="44"/>
      <x:c r="K308" s="44"/>
    </x:row>
    <x:row r="309">
      <x:c r="C309" s="21"/>
      <x:c r="G309" s="44"/>
      <x:c r="H309" s="44"/>
      <x:c r="I309" s="44"/>
      <x:c r="J309" s="44"/>
      <x:c r="K309" s="44"/>
    </x:row>
    <x:row r="310">
      <x:c r="C310" s="21"/>
      <x:c r="G310" s="44"/>
      <x:c r="H310" s="44"/>
      <x:c r="I310" s="44"/>
      <x:c r="J310" s="44"/>
      <x:c r="K310" s="44"/>
    </x:row>
    <x:row r="311">
      <x:c r="C311" s="21"/>
      <x:c r="G311" s="44"/>
      <x:c r="H311" s="44"/>
      <x:c r="I311" s="44"/>
      <x:c r="J311" s="44"/>
      <x:c r="K311" s="44"/>
    </x:row>
    <x:row r="312">
      <x:c r="C312" s="21"/>
      <x:c r="G312" s="44"/>
      <x:c r="H312" s="44"/>
      <x:c r="I312" s="44"/>
      <x:c r="J312" s="44"/>
      <x:c r="K312" s="44"/>
    </x:row>
    <x:row r="313">
      <x:c r="C313" s="21"/>
      <x:c r="G313" s="44"/>
      <x:c r="H313" s="44"/>
      <x:c r="I313" s="44"/>
      <x:c r="J313" s="44"/>
      <x:c r="K313" s="44"/>
    </x:row>
    <x:row r="314">
      <x:c r="C314" s="21"/>
      <x:c r="G314" s="44"/>
      <x:c r="H314" s="44"/>
      <x:c r="I314" s="44"/>
      <x:c r="J314" s="44"/>
      <x:c r="K314" s="44"/>
    </x:row>
    <x:row r="315">
      <x:c r="C315" s="21"/>
      <x:c r="G315" s="44"/>
      <x:c r="H315" s="44"/>
      <x:c r="I315" s="44"/>
      <x:c r="J315" s="44"/>
      <x:c r="K315" s="44"/>
    </x:row>
    <x:row r="316">
      <x:c r="C316" s="21"/>
      <x:c r="G316" s="44"/>
      <x:c r="H316" s="44"/>
      <x:c r="I316" s="44"/>
      <x:c r="J316" s="44"/>
      <x:c r="K316" s="44"/>
    </x:row>
    <x:row r="317">
      <x:c r="C317" s="21"/>
      <x:c r="G317" s="44"/>
      <x:c r="H317" s="44"/>
      <x:c r="I317" s="44"/>
      <x:c r="J317" s="44"/>
      <x:c r="K317" s="44"/>
    </x:row>
    <x:row r="318">
      <x:c r="C318" s="21"/>
      <x:c r="G318" s="44"/>
      <x:c r="H318" s="44"/>
      <x:c r="I318" s="44"/>
      <x:c r="J318" s="44"/>
      <x:c r="K318" s="44"/>
    </x:row>
    <x:row r="319">
      <x:c r="C319" s="21"/>
      <x:c r="G319" s="44"/>
      <x:c r="H319" s="44"/>
      <x:c r="I319" s="44"/>
      <x:c r="J319" s="44"/>
      <x:c r="K319" s="44"/>
    </x:row>
    <x:row r="320">
      <x:c r="C320" s="21"/>
      <x:c r="G320" s="44"/>
      <x:c r="H320" s="44"/>
      <x:c r="I320" s="44"/>
      <x:c r="J320" s="44"/>
      <x:c r="K320" s="44"/>
    </x:row>
    <x:row r="321">
      <x:c r="C321" s="21"/>
      <x:c r="G321" s="44"/>
      <x:c r="H321" s="44"/>
      <x:c r="I321" s="44"/>
      <x:c r="J321" s="44"/>
      <x:c r="K321" s="44"/>
    </x:row>
    <x:row r="322">
      <x:c r="C322" s="21"/>
      <x:c r="G322" s="44"/>
      <x:c r="H322" s="44"/>
      <x:c r="I322" s="44"/>
      <x:c r="J322" s="44"/>
      <x:c r="K322" s="44"/>
    </x:row>
    <x:row r="323">
      <x:c r="C323" s="21"/>
      <x:c r="G323" s="44"/>
      <x:c r="H323" s="44"/>
      <x:c r="I323" s="44"/>
      <x:c r="J323" s="44"/>
      <x:c r="K323" s="44"/>
    </x:row>
    <x:row r="324">
      <x:c r="C324" s="21"/>
      <x:c r="G324" s="44"/>
      <x:c r="H324" s="44"/>
      <x:c r="I324" s="44"/>
      <x:c r="J324" s="44"/>
      <x:c r="K324" s="44"/>
    </x:row>
    <x:row r="325">
      <x:c r="C325" s="21"/>
      <x:c r="G325" s="44"/>
      <x:c r="H325" s="44"/>
      <x:c r="I325" s="44"/>
      <x:c r="J325" s="44"/>
      <x:c r="K325" s="44"/>
    </x:row>
    <x:row r="326">
      <x:c r="C326" s="21"/>
      <x:c r="G326" s="44"/>
      <x:c r="H326" s="44"/>
      <x:c r="I326" s="44"/>
      <x:c r="J326" s="44"/>
      <x:c r="K326" s="44"/>
    </x:row>
    <x:row r="327">
      <x:c r="C327" s="21"/>
      <x:c r="G327" s="44"/>
      <x:c r="H327" s="44"/>
      <x:c r="I327" s="44"/>
      <x:c r="J327" s="44"/>
      <x:c r="K327" s="44"/>
    </x:row>
    <x:row r="328">
      <x:c r="C328" s="21"/>
      <x:c r="G328" s="44"/>
      <x:c r="H328" s="44"/>
      <x:c r="I328" s="44"/>
      <x:c r="J328" s="44"/>
      <x:c r="K328" s="44"/>
    </x:row>
    <x:row r="329">
      <x:c r="C329" s="21"/>
      <x:c r="G329" s="44"/>
      <x:c r="H329" s="44"/>
      <x:c r="I329" s="44"/>
      <x:c r="J329" s="44"/>
      <x:c r="K329" s="44"/>
    </x:row>
    <x:row r="330">
      <x:c r="C330" s="21"/>
      <x:c r="G330" s="44"/>
      <x:c r="H330" s="44"/>
      <x:c r="I330" s="44"/>
      <x:c r="J330" s="44"/>
      <x:c r="K330" s="44"/>
    </x:row>
    <x:row r="331">
      <x:c r="C331" s="21"/>
      <x:c r="G331" s="44"/>
      <x:c r="H331" s="44"/>
      <x:c r="I331" s="44"/>
      <x:c r="J331" s="44"/>
      <x:c r="K331" s="44"/>
    </x:row>
    <x:row r="332">
      <x:c r="C332" s="21"/>
      <x:c r="G332" s="44"/>
      <x:c r="H332" s="44"/>
      <x:c r="I332" s="44"/>
      <x:c r="J332" s="44"/>
      <x:c r="K332" s="44"/>
    </x:row>
    <x:row r="333">
      <x:c r="C333" s="21"/>
      <x:c r="G333" s="44"/>
      <x:c r="H333" s="44"/>
      <x:c r="I333" s="44"/>
      <x:c r="J333" s="44"/>
      <x:c r="K333" s="44"/>
    </x:row>
    <x:row r="334">
      <x:c r="C334" s="21"/>
      <x:c r="G334" s="44"/>
      <x:c r="H334" s="44"/>
      <x:c r="I334" s="44"/>
      <x:c r="J334" s="44"/>
      <x:c r="K334" s="44"/>
    </x:row>
    <x:row r="335">
      <x:c r="C335" s="21"/>
      <x:c r="G335" s="44"/>
      <x:c r="H335" s="44"/>
      <x:c r="I335" s="44"/>
      <x:c r="J335" s="44"/>
      <x:c r="K335" s="44"/>
    </x:row>
    <x:row r="336">
      <x:c r="C336" s="21"/>
      <x:c r="G336" s="44"/>
      <x:c r="H336" s="44"/>
      <x:c r="I336" s="44"/>
      <x:c r="J336" s="44"/>
      <x:c r="K336" s="44"/>
    </x:row>
    <x:row r="337">
      <x:c r="C337" s="21"/>
      <x:c r="G337" s="44"/>
      <x:c r="H337" s="44"/>
      <x:c r="I337" s="44"/>
      <x:c r="J337" s="44"/>
      <x:c r="K337" s="44"/>
    </x:row>
    <x:row r="338">
      <x:c r="C338" s="21"/>
      <x:c r="G338" s="44"/>
      <x:c r="H338" s="44"/>
      <x:c r="I338" s="44"/>
      <x:c r="J338" s="44"/>
      <x:c r="K338" s="44"/>
    </x:row>
    <x:row r="339">
      <x:c r="C339" s="21"/>
      <x:c r="G339" s="44"/>
      <x:c r="H339" s="44"/>
      <x:c r="I339" s="44"/>
      <x:c r="J339" s="44"/>
      <x:c r="K339" s="44"/>
    </x:row>
    <x:row r="340">
      <x:c r="C340" s="21"/>
      <x:c r="G340" s="44"/>
      <x:c r="H340" s="44"/>
      <x:c r="I340" s="44"/>
      <x:c r="J340" s="44"/>
      <x:c r="K340" s="44"/>
    </x:row>
    <x:row r="341">
      <x:c r="C341" s="21"/>
      <x:c r="G341" s="44"/>
      <x:c r="H341" s="44"/>
      <x:c r="I341" s="44"/>
      <x:c r="J341" s="44"/>
      <x:c r="K341" s="44"/>
    </x:row>
    <x:row r="342">
      <x:c r="C342" s="21"/>
      <x:c r="G342" s="44"/>
      <x:c r="H342" s="44"/>
      <x:c r="I342" s="44"/>
      <x:c r="J342" s="44"/>
      <x:c r="K342" s="44"/>
    </x:row>
    <x:row r="343">
      <x:c r="C343" s="21"/>
      <x:c r="G343" s="44"/>
      <x:c r="H343" s="44"/>
      <x:c r="I343" s="44"/>
      <x:c r="J343" s="44"/>
      <x:c r="K343" s="44"/>
    </x:row>
    <x:row r="344">
      <x:c r="C344" s="21"/>
      <x:c r="G344" s="44"/>
      <x:c r="H344" s="44"/>
      <x:c r="I344" s="44"/>
      <x:c r="J344" s="44"/>
      <x:c r="K344" s="44"/>
    </x:row>
    <x:row r="345">
      <x:c r="C345" s="21"/>
      <x:c r="G345" s="44"/>
      <x:c r="H345" s="44"/>
      <x:c r="I345" s="44"/>
      <x:c r="J345" s="44"/>
      <x:c r="K345" s="44"/>
    </x:row>
    <x:row r="346">
      <x:c r="C346" s="21"/>
      <x:c r="G346" s="44"/>
      <x:c r="H346" s="44"/>
      <x:c r="I346" s="44"/>
      <x:c r="J346" s="44"/>
      <x:c r="K346" s="44"/>
    </x:row>
    <x:row r="347">
      <x:c r="C347" s="21"/>
      <x:c r="G347" s="44"/>
      <x:c r="H347" s="44"/>
      <x:c r="I347" s="44"/>
      <x:c r="J347" s="44"/>
      <x:c r="K347" s="44"/>
    </x:row>
    <x:row r="348">
      <x:c r="C348" s="21"/>
      <x:c r="G348" s="44"/>
      <x:c r="H348" s="44"/>
      <x:c r="I348" s="44"/>
      <x:c r="J348" s="44"/>
      <x:c r="K348" s="44"/>
    </x:row>
    <x:row r="349">
      <x:c r="C349" s="21"/>
      <x:c r="G349" s="44"/>
      <x:c r="H349" s="44"/>
      <x:c r="I349" s="44"/>
      <x:c r="J349" s="44"/>
      <x:c r="K349" s="44"/>
    </x:row>
    <x:row r="350">
      <x:c r="C350" s="21"/>
      <x:c r="G350" s="44"/>
      <x:c r="H350" s="44"/>
      <x:c r="I350" s="44"/>
      <x:c r="J350" s="44"/>
      <x:c r="K350" s="44"/>
    </x:row>
    <x:row r="351">
      <x:c r="C351" s="21"/>
      <x:c r="G351" s="44"/>
      <x:c r="H351" s="44"/>
      <x:c r="I351" s="44"/>
      <x:c r="J351" s="44"/>
      <x:c r="K351" s="44"/>
    </x:row>
    <x:row r="352">
      <x:c r="C352" s="21"/>
      <x:c r="G352" s="44"/>
      <x:c r="H352" s="44"/>
      <x:c r="I352" s="44"/>
      <x:c r="J352" s="44"/>
      <x:c r="K352" s="44"/>
    </x:row>
    <x:row r="353">
      <x:c r="C353" s="21"/>
      <x:c r="G353" s="44"/>
      <x:c r="H353" s="44"/>
      <x:c r="I353" s="44"/>
      <x:c r="J353" s="44"/>
      <x:c r="K353" s="44"/>
    </x:row>
    <x:row r="354">
      <x:c r="C354" s="21"/>
      <x:c r="G354" s="44"/>
      <x:c r="H354" s="44"/>
      <x:c r="I354" s="44"/>
      <x:c r="J354" s="44"/>
      <x:c r="K354" s="44"/>
    </x:row>
    <x:row r="355">
      <x:c r="C355" s="21"/>
      <x:c r="G355" s="44"/>
      <x:c r="H355" s="44"/>
      <x:c r="I355" s="44"/>
      <x:c r="J355" s="44"/>
      <x:c r="K355" s="44"/>
    </x:row>
    <x:row r="356">
      <x:c r="C356" s="21"/>
      <x:c r="G356" s="44"/>
      <x:c r="H356" s="44"/>
      <x:c r="I356" s="44"/>
      <x:c r="J356" s="44"/>
      <x:c r="K356" s="44"/>
    </x:row>
    <x:row r="357">
      <x:c r="C357" s="21"/>
      <x:c r="G357" s="44"/>
      <x:c r="H357" s="44"/>
      <x:c r="I357" s="44"/>
      <x:c r="J357" s="44"/>
      <x:c r="K357" s="44"/>
    </x:row>
    <x:row r="358">
      <x:c r="C358" s="21"/>
      <x:c r="G358" s="44"/>
      <x:c r="H358" s="44"/>
      <x:c r="I358" s="44"/>
      <x:c r="J358" s="44"/>
      <x:c r="K358" s="44"/>
    </x:row>
    <x:row r="359">
      <x:c r="C359" s="21"/>
      <x:c r="G359" s="44"/>
      <x:c r="H359" s="44"/>
      <x:c r="I359" s="44"/>
      <x:c r="J359" s="44"/>
      <x:c r="K359" s="44"/>
    </x:row>
    <x:row r="360">
      <x:c r="C360" s="21"/>
      <x:c r="G360" s="44"/>
      <x:c r="H360" s="44"/>
      <x:c r="I360" s="44"/>
      <x:c r="J360" s="44"/>
      <x:c r="K360" s="44"/>
    </x:row>
    <x:row r="361">
      <x:c r="C361" s="21"/>
      <x:c r="G361" s="44"/>
      <x:c r="H361" s="44"/>
      <x:c r="I361" s="44"/>
      <x:c r="J361" s="44"/>
      <x:c r="K361" s="44"/>
    </x:row>
    <x:row r="362">
      <x:c r="C362" s="21"/>
      <x:c r="G362" s="44"/>
      <x:c r="H362" s="44"/>
      <x:c r="I362" s="44"/>
      <x:c r="J362" s="44"/>
      <x:c r="K362" s="44"/>
    </x:row>
    <x:row r="363">
      <x:c r="C363" s="21"/>
      <x:c r="G363" s="44"/>
      <x:c r="H363" s="44"/>
      <x:c r="I363" s="44"/>
      <x:c r="J363" s="44"/>
      <x:c r="K363" s="44"/>
    </x:row>
    <x:row r="364">
      <x:c r="C364" s="21"/>
      <x:c r="G364" s="44"/>
      <x:c r="H364" s="44"/>
      <x:c r="I364" s="44"/>
      <x:c r="J364" s="44"/>
      <x:c r="K364" s="44"/>
    </x:row>
    <x:row r="365">
      <x:c r="C365" s="21"/>
      <x:c r="G365" s="44"/>
      <x:c r="H365" s="44"/>
      <x:c r="I365" s="44"/>
      <x:c r="J365" s="44"/>
      <x:c r="K365" s="44"/>
    </x:row>
    <x:row r="366">
      <x:c r="C366" s="21"/>
      <x:c r="G366" s="44"/>
      <x:c r="H366" s="44"/>
      <x:c r="I366" s="44"/>
      <x:c r="J366" s="44"/>
      <x:c r="K366" s="44"/>
    </x:row>
    <x:row r="367">
      <x:c r="C367" s="21"/>
      <x:c r="G367" s="44"/>
      <x:c r="H367" s="44"/>
      <x:c r="I367" s="44"/>
      <x:c r="J367" s="44"/>
      <x:c r="K367" s="44"/>
    </x:row>
    <x:row r="368">
      <x:c r="C368" s="21"/>
      <x:c r="G368" s="44"/>
      <x:c r="H368" s="44"/>
      <x:c r="I368" s="44"/>
      <x:c r="J368" s="44"/>
      <x:c r="K368" s="44"/>
    </x:row>
    <x:row r="369">
      <x:c r="C369" s="21"/>
      <x:c r="G369" s="44"/>
      <x:c r="H369" s="44"/>
      <x:c r="I369" s="44"/>
      <x:c r="J369" s="44"/>
      <x:c r="K369" s="44"/>
    </x:row>
    <x:row r="370">
      <x:c r="C370" s="21"/>
      <x:c r="G370" s="44"/>
      <x:c r="H370" s="44"/>
      <x:c r="I370" s="44"/>
      <x:c r="J370" s="44"/>
      <x:c r="K370" s="44"/>
    </x:row>
    <x:row r="371">
      <x:c r="C371" s="21"/>
      <x:c r="G371" s="44"/>
      <x:c r="H371" s="44"/>
      <x:c r="I371" s="44"/>
      <x:c r="J371" s="44"/>
      <x:c r="K371" s="44"/>
    </x:row>
    <x:row r="372">
      <x:c r="C372" s="21"/>
      <x:c r="G372" s="44"/>
      <x:c r="H372" s="44"/>
      <x:c r="I372" s="44"/>
      <x:c r="J372" s="44"/>
      <x:c r="K372" s="44"/>
    </x:row>
    <x:row r="373">
      <x:c r="C373" s="21"/>
      <x:c r="G373" s="44"/>
      <x:c r="H373" s="44"/>
      <x:c r="I373" s="44"/>
      <x:c r="J373" s="44"/>
      <x:c r="K373" s="44"/>
    </x:row>
    <x:row r="374">
      <x:c r="C374" s="21"/>
      <x:c r="G374" s="44"/>
      <x:c r="H374" s="44"/>
      <x:c r="I374" s="44"/>
      <x:c r="J374" s="44"/>
      <x:c r="K374" s="44"/>
    </x:row>
    <x:row r="375">
      <x:c r="C375" s="21"/>
      <x:c r="G375" s="44"/>
      <x:c r="H375" s="44"/>
      <x:c r="I375" s="44"/>
      <x:c r="J375" s="44"/>
      <x:c r="K375" s="44"/>
    </x:row>
    <x:row r="376">
      <x:c r="C376" s="21"/>
      <x:c r="G376" s="44"/>
      <x:c r="H376" s="44"/>
      <x:c r="I376" s="44"/>
      <x:c r="J376" s="44"/>
      <x:c r="K376" s="44"/>
    </x:row>
    <x:row r="377">
      <x:c r="C377" s="21"/>
      <x:c r="G377" s="44"/>
      <x:c r="H377" s="44"/>
      <x:c r="I377" s="44"/>
      <x:c r="J377" s="44"/>
      <x:c r="K377" s="44"/>
    </x:row>
    <x:row r="378">
      <x:c r="C378" s="21"/>
      <x:c r="G378" s="44"/>
      <x:c r="H378" s="44"/>
      <x:c r="I378" s="44"/>
      <x:c r="J378" s="44"/>
      <x:c r="K378" s="44"/>
    </x:row>
    <x:row r="379">
      <x:c r="C379" s="21"/>
      <x:c r="G379" s="44"/>
      <x:c r="H379" s="44"/>
      <x:c r="I379" s="44"/>
      <x:c r="J379" s="44"/>
      <x:c r="K379" s="44"/>
    </x:row>
    <x:row r="380">
      <x:c r="C380" s="21"/>
      <x:c r="G380" s="44"/>
      <x:c r="H380" s="44"/>
      <x:c r="I380" s="44"/>
      <x:c r="J380" s="44"/>
      <x:c r="K380" s="44"/>
    </x:row>
    <x:row r="381">
      <x:c r="C381" s="21"/>
      <x:c r="G381" s="44"/>
      <x:c r="H381" s="44"/>
      <x:c r="I381" s="44"/>
      <x:c r="J381" s="44"/>
      <x:c r="K381" s="44"/>
    </x:row>
    <x:row r="382">
      <x:c r="C382" s="21"/>
      <x:c r="G382" s="44"/>
      <x:c r="H382" s="44"/>
      <x:c r="I382" s="44"/>
      <x:c r="J382" s="44"/>
      <x:c r="K382" s="44"/>
    </x:row>
    <x:row r="383">
      <x:c r="C383" s="21"/>
      <x:c r="G383" s="44"/>
      <x:c r="H383" s="44"/>
      <x:c r="I383" s="44"/>
      <x:c r="J383" s="44"/>
      <x:c r="K383" s="44"/>
    </x:row>
    <x:row r="384">
      <x:c r="C384" s="21"/>
      <x:c r="G384" s="44"/>
      <x:c r="H384" s="44"/>
      <x:c r="I384" s="44"/>
      <x:c r="J384" s="44"/>
      <x:c r="K384" s="44"/>
    </x:row>
    <x:row r="385">
      <x:c r="C385" s="21"/>
      <x:c r="G385" s="44"/>
      <x:c r="H385" s="44"/>
      <x:c r="I385" s="44"/>
      <x:c r="J385" s="44"/>
      <x:c r="K385" s="44"/>
    </x:row>
    <x:row r="386">
      <x:c r="C386" s="21"/>
      <x:c r="G386" s="44"/>
      <x:c r="H386" s="44"/>
      <x:c r="I386" s="44"/>
      <x:c r="J386" s="44"/>
      <x:c r="K386" s="44"/>
    </x:row>
    <x:row r="387">
      <x:c r="C387" s="21"/>
      <x:c r="G387" s="44"/>
      <x:c r="H387" s="44"/>
      <x:c r="I387" s="44"/>
      <x:c r="J387" s="44"/>
      <x:c r="K387" s="44"/>
    </x:row>
    <x:row r="388">
      <x:c r="C388" s="21"/>
      <x:c r="G388" s="44"/>
      <x:c r="H388" s="44"/>
      <x:c r="I388" s="44"/>
      <x:c r="J388" s="44"/>
      <x:c r="K388" s="44"/>
    </x:row>
    <x:row r="389">
      <x:c r="C389" s="21"/>
      <x:c r="G389" s="44"/>
      <x:c r="H389" s="44"/>
      <x:c r="I389" s="44"/>
      <x:c r="J389" s="44"/>
      <x:c r="K389" s="44"/>
    </x:row>
    <x:row r="390">
      <x:c r="C390" s="21"/>
      <x:c r="G390" s="44"/>
      <x:c r="H390" s="44"/>
      <x:c r="I390" s="44"/>
      <x:c r="J390" s="44"/>
      <x:c r="K390" s="44"/>
    </x:row>
    <x:row r="391">
      <x:c r="C391" s="21"/>
      <x:c r="G391" s="44"/>
      <x:c r="H391" s="44"/>
      <x:c r="I391" s="44"/>
      <x:c r="J391" s="44"/>
      <x:c r="K391" s="44"/>
    </x:row>
    <x:row r="392">
      <x:c r="C392" s="21"/>
      <x:c r="G392" s="44"/>
      <x:c r="H392" s="44"/>
      <x:c r="I392" s="44"/>
      <x:c r="J392" s="44"/>
      <x:c r="K392" s="44"/>
    </x:row>
    <x:row r="393">
      <x:c r="C393" s="21"/>
      <x:c r="G393" s="44"/>
      <x:c r="H393" s="44"/>
      <x:c r="I393" s="44"/>
      <x:c r="J393" s="44"/>
      <x:c r="K393" s="44"/>
    </x:row>
    <x:row r="394">
      <x:c r="C394" s="21"/>
      <x:c r="G394" s="44"/>
      <x:c r="H394" s="44"/>
      <x:c r="I394" s="44"/>
      <x:c r="J394" s="44"/>
      <x:c r="K394" s="44"/>
    </x:row>
    <x:row r="395">
      <x:c r="C395" s="21"/>
      <x:c r="G395" s="44"/>
      <x:c r="H395" s="44"/>
      <x:c r="I395" s="44"/>
      <x:c r="J395" s="44"/>
      <x:c r="K395" s="44"/>
    </x:row>
    <x:row r="396">
      <x:c r="C396" s="21"/>
      <x:c r="G396" s="44"/>
      <x:c r="H396" s="44"/>
      <x:c r="I396" s="44"/>
      <x:c r="J396" s="44"/>
      <x:c r="K396" s="44"/>
    </x:row>
    <x:row r="397">
      <x:c r="C397" s="21"/>
      <x:c r="G397" s="44"/>
      <x:c r="H397" s="44"/>
      <x:c r="I397" s="44"/>
      <x:c r="J397" s="44"/>
      <x:c r="K397" s="44"/>
    </x:row>
    <x:row r="398">
      <x:c r="C398" s="21"/>
      <x:c r="G398" s="44"/>
      <x:c r="H398" s="44"/>
      <x:c r="I398" s="44"/>
      <x:c r="J398" s="44"/>
      <x:c r="K398" s="44"/>
    </x:row>
    <x:row r="399">
      <x:c r="C399" s="21"/>
      <x:c r="G399" s="44"/>
      <x:c r="H399" s="44"/>
      <x:c r="I399" s="44"/>
      <x:c r="J399" s="44"/>
      <x:c r="K399" s="44"/>
    </x:row>
    <x:row r="400">
      <x:c r="C400" s="21"/>
      <x:c r="G400" s="44"/>
      <x:c r="H400" s="44"/>
      <x:c r="I400" s="44"/>
      <x:c r="J400" s="44"/>
      <x:c r="K400" s="44"/>
    </x:row>
    <x:row r="401">
      <x:c r="C401" s="21"/>
      <x:c r="G401" s="44"/>
      <x:c r="H401" s="44"/>
      <x:c r="I401" s="44"/>
      <x:c r="J401" s="44"/>
      <x:c r="K401" s="44"/>
    </x:row>
    <x:row r="402">
      <x:c r="C402" s="21"/>
      <x:c r="G402" s="44"/>
      <x:c r="H402" s="44"/>
      <x:c r="I402" s="44"/>
      <x:c r="J402" s="44"/>
      <x:c r="K402" s="44"/>
    </x:row>
    <x:row r="403">
      <x:c r="C403" s="21"/>
      <x:c r="G403" s="44"/>
      <x:c r="H403" s="44"/>
      <x:c r="I403" s="44"/>
      <x:c r="J403" s="44"/>
      <x:c r="K403" s="44"/>
    </x:row>
    <x:row r="404">
      <x:c r="C404" s="21"/>
      <x:c r="G404" s="44"/>
      <x:c r="H404" s="44"/>
      <x:c r="I404" s="44"/>
      <x:c r="J404" s="44"/>
      <x:c r="K404" s="44"/>
    </x:row>
    <x:row r="405">
      <x:c r="C405" s="21"/>
      <x:c r="G405" s="44"/>
      <x:c r="H405" s="44"/>
      <x:c r="I405" s="44"/>
      <x:c r="J405" s="44"/>
      <x:c r="K405" s="44"/>
    </x:row>
    <x:row r="406">
      <x:c r="C406" s="21"/>
      <x:c r="G406" s="44"/>
      <x:c r="H406" s="44"/>
      <x:c r="I406" s="44"/>
      <x:c r="J406" s="44"/>
      <x:c r="K406" s="44"/>
    </x:row>
    <x:row r="407">
      <x:c r="C407" s="21"/>
      <x:c r="G407" s="44"/>
      <x:c r="H407" s="44"/>
      <x:c r="I407" s="44"/>
      <x:c r="J407" s="44"/>
      <x:c r="K407" s="44"/>
    </x:row>
    <x:row r="408">
      <x:c r="C408" s="21"/>
      <x:c r="G408" s="44"/>
      <x:c r="H408" s="44"/>
      <x:c r="I408" s="44"/>
      <x:c r="J408" s="44"/>
      <x:c r="K408" s="44"/>
    </x:row>
    <x:row r="409">
      <x:c r="C409" s="21"/>
      <x:c r="G409" s="44"/>
      <x:c r="H409" s="44"/>
      <x:c r="I409" s="44"/>
      <x:c r="J409" s="44"/>
      <x:c r="K409" s="44"/>
    </x:row>
    <x:row r="410">
      <x:c r="C410" s="21"/>
      <x:c r="G410" s="44"/>
      <x:c r="H410" s="44"/>
      <x:c r="I410" s="44"/>
      <x:c r="J410" s="44"/>
      <x:c r="K410" s="44"/>
    </x:row>
    <x:row r="411">
      <x:c r="C411" s="21"/>
      <x:c r="G411" s="44"/>
      <x:c r="H411" s="44"/>
      <x:c r="I411" s="44"/>
      <x:c r="J411" s="44"/>
      <x:c r="K411" s="44"/>
    </x:row>
    <x:row r="412">
      <x:c r="C412" s="21"/>
      <x:c r="G412" s="44"/>
      <x:c r="H412" s="44"/>
      <x:c r="I412" s="44"/>
      <x:c r="J412" s="44"/>
      <x:c r="K412" s="44"/>
    </x:row>
    <x:row r="413">
      <x:c r="C413" s="21"/>
      <x:c r="G413" s="44"/>
      <x:c r="H413" s="44"/>
      <x:c r="I413" s="44"/>
      <x:c r="J413" s="44"/>
      <x:c r="K413" s="44"/>
    </x:row>
    <x:row r="414">
      <x:c r="C414" s="21"/>
      <x:c r="G414" s="44"/>
      <x:c r="H414" s="44"/>
      <x:c r="I414" s="44"/>
      <x:c r="J414" s="44"/>
      <x:c r="K414" s="44"/>
    </x:row>
    <x:row r="415">
      <x:c r="C415" s="21"/>
      <x:c r="G415" s="44"/>
      <x:c r="H415" s="44"/>
      <x:c r="I415" s="44"/>
      <x:c r="J415" s="44"/>
      <x:c r="K415" s="44"/>
    </x:row>
    <x:row r="416">
      <x:c r="C416" s="21"/>
      <x:c r="G416" s="44"/>
      <x:c r="H416" s="44"/>
      <x:c r="I416" s="44"/>
      <x:c r="J416" s="44"/>
      <x:c r="K416" s="44"/>
    </x:row>
    <x:row r="417">
      <x:c r="C417" s="21"/>
      <x:c r="G417" s="44"/>
      <x:c r="H417" s="44"/>
      <x:c r="I417" s="44"/>
      <x:c r="J417" s="44"/>
      <x:c r="K417" s="44"/>
    </x:row>
    <x:row r="418">
      <x:c r="C418" s="21"/>
      <x:c r="G418" s="44"/>
      <x:c r="H418" s="44"/>
      <x:c r="I418" s="44"/>
      <x:c r="J418" s="44"/>
      <x:c r="K418" s="44"/>
    </x:row>
    <x:row r="419">
      <x:c r="C419" s="21"/>
      <x:c r="G419" s="44"/>
      <x:c r="H419" s="44"/>
      <x:c r="I419" s="44"/>
      <x:c r="J419" s="44"/>
      <x:c r="K419" s="44"/>
    </x:row>
    <x:row r="420">
      <x:c r="C420" s="21"/>
      <x:c r="G420" s="44"/>
      <x:c r="H420" s="44"/>
      <x:c r="I420" s="44"/>
      <x:c r="J420" s="44"/>
      <x:c r="K420" s="44"/>
    </x:row>
    <x:row r="421">
      <x:c r="C421" s="21"/>
      <x:c r="G421" s="44"/>
      <x:c r="H421" s="44"/>
      <x:c r="I421" s="44"/>
      <x:c r="J421" s="44"/>
      <x:c r="K421" s="44"/>
    </x:row>
    <x:row r="422">
      <x:c r="C422" s="21"/>
      <x:c r="G422" s="44"/>
      <x:c r="H422" s="44"/>
      <x:c r="I422" s="44"/>
      <x:c r="J422" s="44"/>
      <x:c r="K422" s="44"/>
    </x:row>
    <x:row r="423">
      <x:c r="C423" s="21"/>
      <x:c r="G423" s="44"/>
      <x:c r="H423" s="44"/>
      <x:c r="I423" s="44"/>
      <x:c r="J423" s="44"/>
      <x:c r="K423" s="44"/>
    </x:row>
    <x:row r="424">
      <x:c r="C424" s="21"/>
      <x:c r="G424" s="44"/>
      <x:c r="H424" s="44"/>
      <x:c r="I424" s="44"/>
      <x:c r="J424" s="44"/>
      <x:c r="K424" s="44"/>
    </x:row>
    <x:row r="425">
      <x:c r="C425" s="21"/>
      <x:c r="G425" s="44"/>
      <x:c r="H425" s="44"/>
      <x:c r="I425" s="44"/>
      <x:c r="J425" s="44"/>
      <x:c r="K425" s="44"/>
    </x:row>
    <x:row r="426">
      <x:c r="C426" s="21"/>
      <x:c r="G426" s="44"/>
      <x:c r="H426" s="44"/>
      <x:c r="I426" s="44"/>
      <x:c r="J426" s="44"/>
      <x:c r="K426" s="44"/>
    </x:row>
    <x:row r="427">
      <x:c r="C427" s="21"/>
      <x:c r="G427" s="44"/>
      <x:c r="H427" s="44"/>
      <x:c r="I427" s="44"/>
      <x:c r="J427" s="44"/>
      <x:c r="K427" s="44"/>
    </x:row>
    <x:row r="428">
      <x:c r="C428" s="21"/>
      <x:c r="G428" s="44"/>
      <x:c r="H428" s="44"/>
      <x:c r="I428" s="44"/>
      <x:c r="J428" s="44"/>
      <x:c r="K428" s="44"/>
    </x:row>
    <x:row r="429">
      <x:c r="C429" s="21"/>
      <x:c r="G429" s="44"/>
      <x:c r="H429" s="44"/>
      <x:c r="I429" s="44"/>
      <x:c r="J429" s="44"/>
      <x:c r="K429" s="44"/>
    </x:row>
    <x:row r="430">
      <x:c r="C430" s="21"/>
      <x:c r="G430" s="44"/>
      <x:c r="H430" s="44"/>
      <x:c r="I430" s="44"/>
      <x:c r="J430" s="44"/>
      <x:c r="K430" s="44"/>
    </x:row>
    <x:row r="431">
      <x:c r="C431" s="21"/>
      <x:c r="G431" s="44"/>
      <x:c r="H431" s="44"/>
      <x:c r="I431" s="44"/>
      <x:c r="J431" s="44"/>
      <x:c r="K431" s="44"/>
    </x:row>
    <x:row r="432">
      <x:c r="C432" s="21"/>
      <x:c r="G432" s="44"/>
      <x:c r="H432" s="44"/>
      <x:c r="I432" s="44"/>
      <x:c r="J432" s="44"/>
      <x:c r="K432" s="44"/>
    </x:row>
    <x:row r="433">
      <x:c r="C433" s="21"/>
      <x:c r="G433" s="44"/>
      <x:c r="H433" s="44"/>
      <x:c r="I433" s="44"/>
      <x:c r="J433" s="44"/>
      <x:c r="K433" s="44"/>
    </x:row>
    <x:row r="434">
      <x:c r="C434" s="21"/>
      <x:c r="G434" s="44"/>
      <x:c r="H434" s="44"/>
      <x:c r="I434" s="44"/>
      <x:c r="J434" s="44"/>
      <x:c r="K434" s="44"/>
    </x:row>
    <x:row r="435">
      <x:c r="C435" s="21"/>
      <x:c r="G435" s="44"/>
      <x:c r="H435" s="44"/>
      <x:c r="I435" s="44"/>
      <x:c r="J435" s="44"/>
      <x:c r="K435" s="44"/>
    </x:row>
    <x:row r="436">
      <x:c r="C436" s="21"/>
      <x:c r="G436" s="44"/>
      <x:c r="H436" s="44"/>
      <x:c r="I436" s="44"/>
      <x:c r="J436" s="44"/>
      <x:c r="K436" s="44"/>
    </x:row>
    <x:row r="437">
      <x:c r="C437" s="21"/>
      <x:c r="G437" s="44"/>
      <x:c r="H437" s="44"/>
      <x:c r="I437" s="44"/>
      <x:c r="J437" s="44"/>
      <x:c r="K437" s="44"/>
    </x:row>
    <x:row r="438">
      <x:c r="C438" s="21"/>
      <x:c r="G438" s="44"/>
      <x:c r="H438" s="44"/>
      <x:c r="I438" s="44"/>
      <x:c r="J438" s="44"/>
      <x:c r="K438" s="44"/>
    </x:row>
    <x:row r="439">
      <x:c r="C439" s="21"/>
      <x:c r="G439" s="44"/>
      <x:c r="H439" s="44"/>
      <x:c r="I439" s="44"/>
      <x:c r="J439" s="44"/>
      <x:c r="K439" s="44"/>
    </x:row>
    <x:row r="440">
      <x:c r="C440" s="21"/>
      <x:c r="G440" s="44"/>
      <x:c r="H440" s="44"/>
      <x:c r="I440" s="44"/>
      <x:c r="J440" s="44"/>
      <x:c r="K440" s="44"/>
    </x:row>
    <x:row r="441">
      <x:c r="C441" s="21"/>
      <x:c r="G441" s="44"/>
      <x:c r="H441" s="44"/>
      <x:c r="I441" s="44"/>
      <x:c r="J441" s="44"/>
      <x:c r="K441" s="44"/>
    </x:row>
    <x:row r="442">
      <x:c r="C442" s="21"/>
      <x:c r="G442" s="44"/>
      <x:c r="H442" s="44"/>
      <x:c r="I442" s="44"/>
      <x:c r="J442" s="44"/>
      <x:c r="K442" s="44"/>
    </x:row>
    <x:row r="443">
      <x:c r="C443" s="21"/>
      <x:c r="G443" s="44"/>
      <x:c r="H443" s="44"/>
      <x:c r="I443" s="44"/>
      <x:c r="J443" s="44"/>
      <x:c r="K443" s="44"/>
    </x:row>
    <x:row r="444">
      <x:c r="C444" s="21"/>
      <x:c r="G444" s="44"/>
      <x:c r="H444" s="44"/>
      <x:c r="I444" s="44"/>
      <x:c r="J444" s="44"/>
      <x:c r="K444" s="44"/>
    </x:row>
    <x:row r="445">
      <x:c r="C445" s="21"/>
      <x:c r="G445" s="44"/>
      <x:c r="H445" s="44"/>
      <x:c r="I445" s="44"/>
      <x:c r="J445" s="44"/>
      <x:c r="K445" s="44"/>
    </x:row>
    <x:row r="446">
      <x:c r="C446" s="21"/>
      <x:c r="G446" s="44"/>
      <x:c r="H446" s="44"/>
      <x:c r="I446" s="44"/>
      <x:c r="J446" s="44"/>
      <x:c r="K446" s="44"/>
    </x:row>
    <x:row r="447">
      <x:c r="C447" s="21"/>
      <x:c r="G447" s="44"/>
      <x:c r="H447" s="44"/>
      <x:c r="I447" s="44"/>
      <x:c r="J447" s="44"/>
      <x:c r="K447" s="44"/>
    </x:row>
    <x:row r="448">
      <x:c r="C448" s="21"/>
      <x:c r="G448" s="44"/>
      <x:c r="H448" s="44"/>
      <x:c r="I448" s="44"/>
      <x:c r="J448" s="44"/>
      <x:c r="K448" s="44"/>
    </x:row>
    <x:row r="449">
      <x:c r="C449" s="21"/>
      <x:c r="G449" s="44"/>
      <x:c r="H449" s="44"/>
      <x:c r="I449" s="44"/>
      <x:c r="J449" s="44"/>
      <x:c r="K449" s="44"/>
    </x:row>
    <x:row r="450">
      <x:c r="C450" s="21"/>
      <x:c r="G450" s="44"/>
      <x:c r="H450" s="44"/>
      <x:c r="I450" s="44"/>
      <x:c r="J450" s="44"/>
      <x:c r="K450" s="44"/>
    </x:row>
    <x:row r="451">
      <x:c r="C451" s="21"/>
      <x:c r="G451" s="44"/>
      <x:c r="H451" s="44"/>
      <x:c r="I451" s="44"/>
      <x:c r="J451" s="44"/>
      <x:c r="K451" s="44"/>
    </x:row>
    <x:row r="452">
      <x:c r="C452" s="21"/>
      <x:c r="G452" s="44"/>
      <x:c r="H452" s="44"/>
      <x:c r="I452" s="44"/>
      <x:c r="J452" s="44"/>
      <x:c r="K452" s="44"/>
    </x:row>
    <x:row r="453">
      <x:c r="C453" s="21"/>
      <x:c r="G453" s="44"/>
      <x:c r="H453" s="44"/>
      <x:c r="I453" s="44"/>
      <x:c r="J453" s="44"/>
      <x:c r="K453" s="44"/>
    </x:row>
    <x:row r="454">
      <x:c r="C454" s="21"/>
      <x:c r="G454" s="44"/>
      <x:c r="H454" s="44"/>
      <x:c r="I454" s="44"/>
      <x:c r="J454" s="44"/>
      <x:c r="K454" s="44"/>
    </x:row>
    <x:row r="455">
      <x:c r="C455" s="21"/>
      <x:c r="G455" s="44"/>
      <x:c r="H455" s="44"/>
      <x:c r="I455" s="44"/>
      <x:c r="J455" s="44"/>
      <x:c r="K455" s="44"/>
    </x:row>
    <x:row r="456">
      <x:c r="C456" s="21"/>
      <x:c r="G456" s="44"/>
      <x:c r="H456" s="44"/>
      <x:c r="I456" s="44"/>
      <x:c r="J456" s="44"/>
      <x:c r="K456" s="44"/>
    </x:row>
    <x:row r="457">
      <x:c r="C457" s="21"/>
      <x:c r="G457" s="44"/>
      <x:c r="H457" s="44"/>
      <x:c r="I457" s="44"/>
      <x:c r="J457" s="44"/>
      <x:c r="K457" s="44"/>
    </x:row>
    <x:row r="458">
      <x:c r="C458" s="21"/>
      <x:c r="G458" s="44"/>
      <x:c r="H458" s="44"/>
      <x:c r="I458" s="44"/>
      <x:c r="J458" s="44"/>
      <x:c r="K458" s="44"/>
    </x:row>
    <x:row r="459">
      <x:c r="C459" s="21"/>
      <x:c r="G459" s="44"/>
      <x:c r="H459" s="44"/>
      <x:c r="I459" s="44"/>
      <x:c r="J459" s="44"/>
      <x:c r="K459" s="44"/>
    </x:row>
    <x:row r="460">
      <x:c r="C460" s="21"/>
      <x:c r="G460" s="44"/>
      <x:c r="H460" s="44"/>
      <x:c r="I460" s="44"/>
      <x:c r="J460" s="44"/>
      <x:c r="K460" s="44"/>
    </x:row>
    <x:row r="461">
      <x:c r="C461" s="21"/>
      <x:c r="G461" s="44"/>
      <x:c r="H461" s="44"/>
      <x:c r="I461" s="44"/>
      <x:c r="J461" s="44"/>
      <x:c r="K461" s="44"/>
    </x:row>
    <x:row r="462">
      <x:c r="C462" s="21"/>
      <x:c r="G462" s="44"/>
      <x:c r="H462" s="44"/>
      <x:c r="I462" s="44"/>
      <x:c r="J462" s="44"/>
      <x:c r="K462" s="44"/>
    </x:row>
    <x:row r="463">
      <x:c r="C463" s="21"/>
      <x:c r="G463" s="44"/>
      <x:c r="H463" s="44"/>
      <x:c r="I463" s="44"/>
      <x:c r="J463" s="44"/>
      <x:c r="K463" s="44"/>
    </x:row>
    <x:row r="464">
      <x:c r="C464" s="21"/>
      <x:c r="G464" s="44"/>
      <x:c r="H464" s="44"/>
      <x:c r="I464" s="44"/>
      <x:c r="J464" s="44"/>
      <x:c r="K464" s="44"/>
    </x:row>
    <x:row r="465">
      <x:c r="C465" s="21"/>
      <x:c r="G465" s="44"/>
      <x:c r="H465" s="44"/>
      <x:c r="I465" s="44"/>
      <x:c r="J465" s="44"/>
      <x:c r="K465" s="44"/>
    </x:row>
    <x:row r="466">
      <x:c r="C466" s="21"/>
      <x:c r="G466" s="44"/>
      <x:c r="H466" s="44"/>
      <x:c r="I466" s="44"/>
      <x:c r="J466" s="44"/>
      <x:c r="K466" s="44"/>
    </x:row>
    <x:row r="467">
      <x:c r="C467" s="21"/>
      <x:c r="G467" s="44"/>
      <x:c r="H467" s="44"/>
      <x:c r="I467" s="44"/>
      <x:c r="J467" s="44"/>
      <x:c r="K467" s="44"/>
    </x:row>
    <x:row r="468">
      <x:c r="C468" s="21"/>
      <x:c r="G468" s="44"/>
      <x:c r="H468" s="44"/>
      <x:c r="I468" s="44"/>
      <x:c r="J468" s="44"/>
      <x:c r="K468" s="44"/>
    </x:row>
    <x:row r="469">
      <x:c r="C469" s="21"/>
      <x:c r="G469" s="44"/>
      <x:c r="H469" s="44"/>
      <x:c r="I469" s="44"/>
      <x:c r="J469" s="44"/>
      <x:c r="K469" s="44"/>
    </x:row>
    <x:row r="470">
      <x:c r="C470" s="21"/>
      <x:c r="G470" s="44"/>
      <x:c r="H470" s="44"/>
      <x:c r="I470" s="44"/>
      <x:c r="J470" s="44"/>
      <x:c r="K470" s="44"/>
    </x:row>
    <x:row r="471">
      <x:c r="C471" s="21"/>
      <x:c r="G471" s="44"/>
      <x:c r="H471" s="44"/>
      <x:c r="I471" s="44"/>
      <x:c r="J471" s="44"/>
      <x:c r="K471" s="44"/>
    </x:row>
    <x:row r="472">
      <x:c r="C472" s="21"/>
      <x:c r="G472" s="44"/>
      <x:c r="H472" s="44"/>
      <x:c r="I472" s="44"/>
      <x:c r="J472" s="44"/>
      <x:c r="K472" s="44"/>
    </x:row>
    <x:row r="473">
      <x:c r="C473" s="21"/>
      <x:c r="G473" s="44"/>
      <x:c r="H473" s="44"/>
      <x:c r="I473" s="44"/>
      <x:c r="J473" s="44"/>
      <x:c r="K473" s="44"/>
    </x:row>
    <x:row r="474">
      <x:c r="C474" s="21"/>
      <x:c r="G474" s="44"/>
      <x:c r="H474" s="44"/>
      <x:c r="I474" s="44"/>
      <x:c r="J474" s="44"/>
      <x:c r="K474" s="44"/>
    </x:row>
    <x:row r="475">
      <x:c r="C475" s="21"/>
      <x:c r="G475" s="44"/>
      <x:c r="H475" s="44"/>
      <x:c r="I475" s="44"/>
      <x:c r="J475" s="44"/>
      <x:c r="K475" s="44"/>
    </x:row>
    <x:row r="476">
      <x:c r="C476" s="21"/>
      <x:c r="G476" s="44"/>
      <x:c r="H476" s="44"/>
      <x:c r="I476" s="44"/>
      <x:c r="J476" s="44"/>
      <x:c r="K476" s="44"/>
    </x:row>
    <x:row r="477">
      <x:c r="C477" s="21"/>
      <x:c r="G477" s="44"/>
      <x:c r="H477" s="44"/>
      <x:c r="I477" s="44"/>
      <x:c r="J477" s="44"/>
      <x:c r="K477" s="44"/>
    </x:row>
    <x:row r="478">
      <x:c r="C478" s="21"/>
      <x:c r="G478" s="44"/>
      <x:c r="H478" s="44"/>
      <x:c r="I478" s="44"/>
      <x:c r="J478" s="44"/>
      <x:c r="K478" s="44"/>
    </x:row>
    <x:row r="479">
      <x:c r="C479" s="21"/>
      <x:c r="G479" s="44"/>
      <x:c r="H479" s="44"/>
      <x:c r="I479" s="44"/>
      <x:c r="J479" s="44"/>
      <x:c r="K479" s="44"/>
    </x:row>
    <x:row r="480">
      <x:c r="C480" s="21"/>
      <x:c r="G480" s="44"/>
      <x:c r="H480" s="44"/>
      <x:c r="I480" s="44"/>
      <x:c r="J480" s="44"/>
      <x:c r="K480" s="44"/>
    </x:row>
    <x:row r="481">
      <x:c r="C481" s="21"/>
      <x:c r="G481" s="44"/>
      <x:c r="H481" s="44"/>
      <x:c r="I481" s="44"/>
      <x:c r="J481" s="44"/>
      <x:c r="K481" s="44"/>
    </x:row>
    <x:row r="482">
      <x:c r="C482" s="21"/>
      <x:c r="G482" s="44"/>
      <x:c r="H482" s="44"/>
      <x:c r="I482" s="44"/>
      <x:c r="J482" s="44"/>
      <x:c r="K482" s="44"/>
    </x:row>
    <x:row r="483">
      <x:c r="C483" s="21"/>
      <x:c r="G483" s="44"/>
      <x:c r="H483" s="44"/>
      <x:c r="I483" s="44"/>
      <x:c r="J483" s="44"/>
      <x:c r="K483" s="44"/>
    </x:row>
    <x:row r="484">
      <x:c r="C484" s="21"/>
      <x:c r="G484" s="44"/>
      <x:c r="H484" s="44"/>
      <x:c r="I484" s="44"/>
      <x:c r="J484" s="44"/>
      <x:c r="K484" s="44"/>
    </x:row>
    <x:row r="485">
      <x:c r="C485" s="21"/>
      <x:c r="G485" s="44"/>
      <x:c r="H485" s="44"/>
      <x:c r="I485" s="44"/>
      <x:c r="J485" s="44"/>
      <x:c r="K485" s="44"/>
    </x:row>
    <x:row r="486">
      <x:c r="C486" s="21"/>
      <x:c r="G486" s="44"/>
      <x:c r="H486" s="44"/>
      <x:c r="I486" s="44"/>
      <x:c r="J486" s="44"/>
      <x:c r="K486" s="44"/>
    </x:row>
    <x:row r="487">
      <x:c r="C487" s="21"/>
      <x:c r="G487" s="44"/>
      <x:c r="H487" s="44"/>
      <x:c r="I487" s="44"/>
      <x:c r="J487" s="44"/>
      <x:c r="K487" s="44"/>
    </x:row>
    <x:row r="488">
      <x:c r="C488" s="21"/>
      <x:c r="G488" s="44"/>
      <x:c r="H488" s="44"/>
      <x:c r="I488" s="44"/>
      <x:c r="J488" s="44"/>
      <x:c r="K488" s="44"/>
    </x:row>
    <x:row r="489">
      <x:c r="C489" s="21"/>
      <x:c r="G489" s="44"/>
      <x:c r="H489" s="44"/>
      <x:c r="I489" s="44"/>
      <x:c r="J489" s="44"/>
      <x:c r="K489" s="44"/>
    </x:row>
    <x:row r="490">
      <x:c r="C490" s="21"/>
      <x:c r="G490" s="44"/>
      <x:c r="H490" s="44"/>
      <x:c r="I490" s="44"/>
      <x:c r="J490" s="44"/>
      <x:c r="K490" s="44"/>
    </x:row>
    <x:row r="491">
      <x:c r="C491" s="21"/>
      <x:c r="G491" s="44"/>
      <x:c r="H491" s="44"/>
      <x:c r="I491" s="44"/>
      <x:c r="J491" s="44"/>
      <x:c r="K491" s="44"/>
    </x:row>
    <x:row r="492">
      <x:c r="C492" s="21"/>
      <x:c r="G492" s="44"/>
      <x:c r="H492" s="44"/>
      <x:c r="I492" s="44"/>
      <x:c r="J492" s="44"/>
      <x:c r="K492" s="44"/>
    </x:row>
    <x:row r="493">
      <x:c r="C493" s="21"/>
      <x:c r="G493" s="44"/>
      <x:c r="H493" s="44"/>
      <x:c r="I493" s="44"/>
      <x:c r="J493" s="44"/>
      <x:c r="K493" s="44"/>
    </x:row>
    <x:row r="494">
      <x:c r="C494" s="21"/>
      <x:c r="G494" s="44"/>
      <x:c r="H494" s="44"/>
      <x:c r="I494" s="44"/>
      <x:c r="J494" s="44"/>
      <x:c r="K494" s="44"/>
    </x:row>
    <x:row r="495">
      <x:c r="C495" s="21"/>
      <x:c r="G495" s="44"/>
      <x:c r="H495" s="44"/>
      <x:c r="I495" s="44"/>
      <x:c r="J495" s="44"/>
      <x:c r="K495" s="44"/>
    </x:row>
    <x:row r="496">
      <x:c r="C496" s="21"/>
      <x:c r="G496" s="44"/>
      <x:c r="H496" s="44"/>
      <x:c r="I496" s="44"/>
      <x:c r="J496" s="44"/>
      <x:c r="K496" s="44"/>
    </x:row>
    <x:row r="497">
      <x:c r="C497" s="21"/>
      <x:c r="G497" s="44"/>
      <x:c r="H497" s="44"/>
      <x:c r="I497" s="44"/>
      <x:c r="J497" s="44"/>
      <x:c r="K497" s="44"/>
    </x:row>
    <x:row r="498">
      <x:c r="C498" s="21"/>
      <x:c r="G498" s="44"/>
      <x:c r="H498" s="44"/>
      <x:c r="I498" s="44"/>
      <x:c r="J498" s="44"/>
      <x:c r="K498" s="44"/>
    </x:row>
    <x:row r="499">
      <x:c r="C499" s="21"/>
      <x:c r="G499" s="44"/>
      <x:c r="H499" s="44"/>
      <x:c r="I499" s="44"/>
      <x:c r="J499" s="44"/>
      <x:c r="K499" s="44"/>
    </x:row>
    <x:row r="500">
      <x:c r="C500" s="21"/>
      <x:c r="G500" s="44"/>
      <x:c r="H500" s="44"/>
      <x:c r="I500" s="44"/>
      <x:c r="J500" s="44"/>
      <x:c r="K500" s="44"/>
    </x:row>
    <x:row r="501">
      <x:c r="C501" s="21"/>
      <x:c r="G501" s="44"/>
      <x:c r="H501" s="44"/>
      <x:c r="I501" s="44"/>
      <x:c r="J501" s="44"/>
      <x:c r="K501" s="44"/>
    </x:row>
    <x:row r="502">
      <x:c r="C502" s="21"/>
      <x:c r="G502" s="44"/>
      <x:c r="H502" s="44"/>
      <x:c r="I502" s="44"/>
      <x:c r="J502" s="44"/>
      <x:c r="K502" s="44"/>
    </x:row>
    <x:row r="503">
      <x:c r="C503" s="21"/>
      <x:c r="G503" s="44"/>
      <x:c r="H503" s="44"/>
      <x:c r="I503" s="44"/>
      <x:c r="J503" s="44"/>
      <x:c r="K503" s="44"/>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d27d298b8ce14e82"/>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89cb9788b3de44ca"/>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62.95</x:v>
      </x:c>
      <x:c r="K6" s="46" t="n">
        <x:f>I6*J6</x:f>
        <x:v>1100.332109771019</x:v>
      </x:c>
      <x:c r="L6" s="46" t="n">
        <x:f>K6-H6</x:f>
        <x:v>100.33210977101908</x:v>
      </x:c>
      <x:c r="M6" s="48" t="n">
        <x:f>L6/H6</x:f>
        <x:v>0.10033210977101907</x:v>
      </x:c>
      <x:c r="N6" s="30"/>
      <x:c r="O6" s="32"/>
      <x:c r="P6" s="32" t="str">
        <x:f>IF(OR(I6="",O6=""),"",I6*O6)</x:f>
      </x:c>
      <x:c r="Q6" s="32" t="str">
        <x:f>IF(P6="","",P6-H6)</x:f>
      </x:c>
      <x:c r="R6" s="29" t="str">
        <x:v>10/01/26 close: $62.95; position value $1,100.33; +$100.33 (+10.03%). BNO gained 4.76% as renewed U.S.-Iran escalation risk and tighter global fuel supplies lifted Brent. Saudi Yanbu loadings and Gulf crude exports near 2025 levels remain the principal post-horizon counterevidence. Historical Entry Window classification: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150.02</x:v>
      </x:c>
      <x:c r="K7" s="46" t="n">
        <x:f>I7*J7</x:f>
        <x:v>1037.4827109266944</x:v>
      </x:c>
      <x:c r="L7" s="46" t="n">
        <x:f>K7-H7</x:f>
        <x:v>37.48271092669438</x:v>
      </x:c>
      <x:c r="M7" s="48" t="n">
        <x:f>L7/H7</x:f>
        <x:v>0.03748271092669438</x:v>
      </x:c>
      <x:c r="N7" s="30"/>
      <x:c r="O7" s="32"/>
      <x:c r="P7" s="32" t="str">
        <x:f>IF(OR(I7="",O7=""),"",I7*O7)</x:f>
      </x:c>
      <x:c r="Q7" s="32" t="str">
        <x:f>IF(P7="","",P7-H7)</x:f>
      </x:c>
      <x:c r="R7" s="29" t="str">
        <x:v>10/01/26 close: $150.02; position value $1,037.48; +$37.48 (+3.75%). USO gained 2.99% as WTI settled at $92.87 amid renewed military risk and refined-product shortages. Historical Entry Window classification: WAIT.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184.3</x:v>
      </x:c>
      <x:c r="K8" s="46" t="n">
        <x:f>I8*J8</x:f>
        <x:v>950.7841518778374</x:v>
      </x:c>
      <x:c r="L8" s="46" t="n">
        <x:f>K8-H8</x:f>
        <x:v>-49.21584812216258</x:v>
      </x:c>
      <x:c r="M8" s="48" t="n">
        <x:f>L8/H8</x:f>
        <x:v>-0.049215848122162585</x:v>
      </x:c>
      <x:c r="N8" s="30"/>
      <x:c r="O8" s="32"/>
      <x:c r="P8" s="32" t="str">
        <x:f>IF(OR(I8="",O8=""),"",I8*O8)</x:f>
      </x:c>
      <x:c r="Q8" s="32" t="str">
        <x:f>IF(P8="","",P8-H8)</x:f>
      </x:c>
      <x:c r="R8" s="29" t="str">
        <x:v>10/01/26 close: $184.30; position value $950.78; -$49.22 (-4.92%). XOP gained 2.77% but remains below entry and continues to trail both direct crude funds. Historical Entry Window classification: WAIT.</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c476ab1ecd644124"/>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t="str">
        <x:v>RUN-2026-09-23-1113</x:v>
      </x:c>
      <x:c r="B30" s="54" t="n">
        <x:v>46288.634351851855</x:v>
      </x:c>
      <x:c r="C30" s="27" t="str">
        <x:v>2026 midterm thesis check</x:v>
      </x:c>
      <x:c r="D30" s="29" t="str">
        <x:v>EEI-2026-003 only: congressional-control outlook, policy developments, breadth, volatility, rates, inflation, oil, earnings and candidate sectors</x:v>
      </x:c>
      <x:c r="E30" s="29" t="str">
        <x:v>Methodology and current ledger; Reuters; current ETF market data; live U.S. Treasury market data; FactSet earnings context</x:v>
      </x:c>
      <x:c r="F30" s="29" t="n">
        <x:v>0</x:v>
      </x:c>
      <x:c r="G30" s="29" t="n">
        <x:v>2</x:v>
      </x:c>
      <x:c r="H30" s="29" t="n">
        <x:v>0</x:v>
      </x:c>
      <x:c r="I30" s="29" t="str">
        <x:v>Yes</x:v>
      </x:c>
      <x:c r="J30" s="29" t="str">
        <x:v>No independently confirmed House or Senate control trigger emerged. The morning's small-cap, health-care and biotech strength reversed by the dedicated check: IWM and XBI fell sharply, while CPER and XLB also weakened. RSP fell slightly less than SPY and XLI held positive, providing only narrow relative confirmation. Brent remained below $100, but the 10-year Treasury yield returned above 5%, strengthening the rates contradiction. EEI-2026-003 remains Developing at confidence 3/5 and trading edge 1/5. Entry Window WAIT remains inactive until Actionable. No automatic trade.</x:v>
      </x:c>
    </x:row>
    <x:row r="31">
      <x:c r="A31" s="27" t="str">
        <x:v>RUN-2026-09-24-0826</x:v>
      </x:c>
      <x:c r="B31" s="28" t="n">
        <x:v>46289.51803240741</x:v>
      </x:c>
      <x:c r="C31" s="27" t="str">
        <x:v>Easy E Invest daily scan</x:v>
      </x:c>
      <x:c r="D31" s="29" t="str">
        <x:v>Separate reviews: energy market; 2026 midterm thesis; Motley Fool watch; plus cross-sector government awards, defense, healthcare, consumer, technology, sanctions, geopolitics, supply chains and market confirmation</x:v>
      </x:c>
      <x:c r="E31" s="29" t="str">
        <x:v>Methodology and current ledger; Reuters; U.S. Army; public USAspending and contract searches; Intuitive Surgical primary results; Nvidia public company statement; public Motley Fool editorial pages; current commodity and inventory data</x:v>
      </x:c>
      <x:c r="F31" s="29" t="n">
        <x:v>8</x:v>
      </x:c>
      <x:c r="G31" s="29" t="n">
        <x:v>2</x:v>
      </x:c>
      <x:c r="H31" s="29" t="n">
        <x:v>0</x:v>
      </x:c>
      <x:c r="I31" s="29" t="str">
        <x:v>Yes</x:v>
      </x:c>
      <x:c r="J31" s="29" t="str">
        <x:v>EEI-2026-009 remains Actionable at confidence 5/5, trading edge 1/5 and Entry Window WAIT. Serbia's emergency diesel-reserve release, impaired Danube imports, near-record European diesel and falling U.S. distillate stocks strengthened physical confirmation; the U.S. export-ban denial and normalization paths limited incremental edge. EEI-2026-003 remains Developing at 3/5, edge 1/5 and WAIT inactive until Actionable: Reuters/Ipsos showed a meaningful 43%-35% Democratic generic-ballot lead and record-low presidential approval, but national polling does not resolve House districts, Senate races or market breadth. Public Motley Fool ideas on AMZN/Anthropic, NVDA/SpaceX and ISRG were investigated and rejected as distinct theses after primary, materiality, valuation and entry checks. BMY, LULU and AVAV had no meaningful new primary evidence. A Palantir Army order was stale and immaterial; no new USAspending public-company award passed complete confirmation and materiality checks. No thesis matured for formal outcome evaluation and no real trade was made.</x:v>
      </x:c>
    </x:row>
    <x:row r="32">
      <x:c r="A32" s="27" t="str">
        <x:v>RUN-2026-09-24-1137</x:v>
      </x:c>
      <x:c r="B32" s="28" t="n">
        <x:v>46289.65069444444</x:v>
      </x:c>
      <x:c r="C32" s="27" t="str">
        <x:v>2026 midterm thesis check EEI-2026-003 only: congressional-control outlook, policy developments, breadth, volatility, rates, inflation, oil, earnings and candidate sectors</x:v>
      </x:c>
      <x:c r="D32" s="29" t="str">
        <x:v>Methodology and current ledger; Reuters/Ipsos; Reuters; current ETF market data; FactSet earnings context</x:v>
      </x:c>
      <x:c r="E32" s="29" t="n">
        <x:v>0</x:v>
      </x:c>
      <x:c r="F32" s="29" t="n">
        <x:v>2</x:v>
      </x:c>
      <x:c r="G32" s="29" t="n">
        <x:v>0</x:v>
      </x:c>
      <x:c r="H32" s="29" t="str">
        <x:v>Yes</x:v>
      </x:c>
      <x:c r="I32" s="29" t="str">
        <x:v>The Reuters/Ipsos poll strengthens the probability of a political shift but does not establish House or Senate control. Live market confirmation weakened: RSP lagged SPY and small caps, industrials, materials, biotech, copper and financials were negative, while only defensive XLV advanced. The 10-year yield remained above 5% and Brent near $105.50, preserving the inflation-to-rates contradiction. EEI-2026-003 remains Developing, financial-thesis confidence 3/5, trading edge 1/5; Entry Window WAIT inactive. No automatic trade.</x:v>
      </x:c>
      <x:c r="J32" s="29" t="str">
        <x:v>Dedicated check completed; frozen initial prediction preserved.</x:v>
      </x:c>
    </x:row>
    <x:row r="33">
      <x:c r="A33" s="27" t="str">
        <x:v>RUN-2026-09-25-0808</x:v>
      </x:c>
      <x:c r="B33" s="28" t="n">
        <x:v>46290.50555555556</x:v>
      </x:c>
      <x:c r="C33" s="27" t="str">
        <x:v>Easy E Invest daily scan</x:v>
      </x:c>
      <x:c r="D33" s="29" t="str">
        <x:v>Separate reviews: energy market; 2026 midterm thesis; Motley Fool watch; plus cross-sector government awards, policy, sanctions, supply chains, healthcare, consumer, housing, technology and market confirmation</x:v>
      </x:c>
      <x:c r="E33" s="29" t="str">
        <x:v>Methodology and current ledger; Reuters; U.S. government and defense-award searches; public USAspending context; company and SEC materials; FDA advisory-committee reporting; public Motley Fool editorial pages; prior-close market data</x:v>
      </x:c>
      <x:c r="F33" s="29" t="n">
        <x:v>5</x:v>
      </x:c>
      <x:c r="G33" s="29" t="n">
        <x:v>0</x:v>
      </x:c>
      <x:c r="H33" s="29" t="n">
        <x:v>0</x:v>
      </x:c>
      <x:c r="I33" s="29" t="str">
        <x:v>No</x:v>
      </x:c>
      <x:c r="J33" s="29" t="str">
        <x:v>No qualifying change. Energy and tanker evidence remained within the existing scarcity-versus-normalization balance, so EEI-2026-009 and EEI-2026-011 stayed WAIT with no field changes. No new House or Senate control evidence or market-breadth confirmation changed EEI-2026-003. Public Motley Fool items on Target, Lennar, GRAIL, Robinhood and Micron were screened; the first four were investigated as potential candidates and rejected as distinct theses because the catalyst was already public, operating confirmation was incomplete, or the price move left no favorable entry. Micron repeated a previously reviewed catalyst. BMY, LULU and AVAV had no new primary evidence. No public-company USAspending or defense award passed the new-award, confirmation and materiality tests. No thesis matured for formal outcome evaluation and no real trade was made.</x:v>
      </x:c>
    </x:row>
    <x:row r="34">
      <x:c r="A34" s="27" t="str">
        <x:v>RUN-2026-09-25-1153</x:v>
      </x:c>
      <x:c r="B34" s="28" t="n">
        <x:v>46290.66180555556</x:v>
      </x:c>
      <x:c r="C34" s="27" t="str">
        <x:v>2026 midterm thesis check</x:v>
      </x:c>
      <x:c r="D34" s="29" t="str">
        <x:v>EEI-2026-003 only: congressional-control outlook, policy developments, breadth, volatility, rates, inflation, oil, earnings and candidate sectors</x:v>
      </x:c>
      <x:c r="E34" s="29" t="str">
        <x:v>Methodology and current ledger; Reuters; Reuters/Ipsos; current ETF market data; FactSet earnings context</x:v>
      </x:c>
      <x:c r="F34" s="29" t="n">
        <x:v>0</x:v>
      </x:c>
      <x:c r="G34" s="29" t="n">
        <x:v>2</x:v>
      </x:c>
      <x:c r="H34" s="29" t="n">
        <x:v>0</x:v>
      </x:c>
      <x:c r="I34" s="29" t="str">
        <x:v>Yes</x:v>
      </x:c>
      <x:c r="J34" s="29" t="str">
        <x:v>Competitive-state polls and campaign behavior in Iowa, Kansas and Nebraska independently strengthen the political-shift trigger beyond the national generic ballot, but no chamber-control outcome is established. XLI showed the clearest relative strength; RSP still lagged SPY and IWM, XBI, XLB and CPER were negative. The 10-year yield above 5% and high oil-linked inflation risk remain adverse modifiers. EEI-2026-003 remains Developing at financial-thesis confidence 3/5 and trading edge 1/5. Entry Window WAIT remains inactive until Actionable. No automatic trade.</x:v>
      </x:c>
    </x:row>
    <x:row r="35">
      <x:c r="A35" s="27" t="str">
        <x:v>RUN-2026-09-26-0811</x:v>
      </x:c>
      <x:c r="B35" s="28" t="n">
        <x:v>46291.50768518519</x:v>
      </x:c>
      <x:c r="C35" s="27" t="str">
        <x:v>Easy E Invest daily scan</x:v>
      </x:c>
      <x:c r="D35" s="29" t="str">
        <x:v>Cross-sector: energy, 2026 midterms, Motley Fool follow-through, macro, rates, commodities, defense, healthcare, technology, regulation, sanctions, supply chains and government awards</x:v>
      </x:c>
      <x:c r="E35" s="29" t="str">
        <x:v>Cook Political Report; Reuters; public market data; USAspending and federal award reporting; Congress and regulatory sources; SEC and issuer materials; public Motley Fool editorial feed</x:v>
      </x:c>
      <x:c r="F35" s="29" t="n">
        <x:v>6</x:v>
      </x:c>
      <x:c r="G35" s="29" t="n">
        <x:v>1</x:v>
      </x:c>
      <x:c r="H35" s="29" t="n">
        <x:v>0</x:v>
      </x:c>
      <x:c r="I35" s="29" t="str">
        <x:v>Yes</x:v>
      </x:c>
      <x:c r="J35" s="29" t="str">
        <x:v>EEI-2026-003 promoted from Developing to Strong and confidence from 3/5 to 4/5 after Cook shifted 15 House races toward Democrats and explicitly called Republicans on track to lose the House. Trading edge remains 1/5 and Entry Window WAIT because Senate control is a toss-up and breadth is incomplete. Energy had no material change. Five public Motley Fool idea clusters were investigated and rejected as distinct theses for weak novelty, already-priced risk or lack of material catalyst. No new material USAspending award passed new-award, independent-confirmation and company-materiality tests. No horizon matured for formal outcome scoring.</x:v>
      </x:c>
    </x:row>
    <x:row r="36">
      <x:c r="A36" s="27" t="str">
        <x:v>RUN-2026-09-26-1145</x:v>
      </x:c>
      <x:c r="B36" s="54" t="n">
        <x:v>46291.65670138889</x:v>
      </x:c>
      <x:c r="C36" s="27" t="str">
        <x:v>2026 midterm thesis check</x:v>
      </x:c>
      <x:c r="D36" s="29" t="str">
        <x:v>EEI-2026-003 only: congressional-control outlook, policy developments, breadth, volatility, rates, inflation, oil, earnings and candidate sectors</x:v>
      </x:c>
      <x:c r="E36" s="29" t="str">
        <x:v>Methodology and current ledger; Cook Political Report; Reuters; Friday closing market evidence already recorded in the ledger</x:v>
      </x:c>
      <x:c r="F36" s="29" t="n">
        <x:v>0</x:v>
      </x:c>
      <x:c r="G36" s="29" t="n">
        <x:v>0</x:v>
      </x:c>
      <x:c r="H36" s="29" t="n">
        <x:v>0</x:v>
      </x:c>
      <x:c r="I36" s="29" t="str">
        <x:v>No</x:v>
      </x:c>
      <x:c r="J36" s="29" t="str">
        <x:v>No meaningful change since the September 26 morning scan. Cook's 15 House rating shifts and House-majority assessment remain the strongest independent political confirmation, while Cook still describes Senate control as a toss-up. U.S. cash markets are closed; Friday's final evidence remains mixed, with XLI leading but RSP and IWM lagging SPY and XBI declining. EEI-2026-003 remains Strong at financial-thesis confidence 4/5 and trading edge 1/5. Entry Window remains WAIT and inactive because the thesis is not Actionable. Oil and rates remain separate macro modifiers. No automatic trade.</x:v>
      </x:c>
    </x:row>
    <x:row r="37">
      <x:c r="A37" s="27" t="str">
        <x:v>RUN-2026-09-27-0816</x:v>
      </x:c>
      <x:c r="B37" s="28" t="n">
        <x:v>46292.51123842593</x:v>
      </x:c>
      <x:c r="C37" s="27" t="str">
        <x:v>Easy E Invest daily scan</x:v>
      </x:c>
      <x:c r="D37" s="29" t="str">
        <x:v>Separate reviews: energy market; 2026 midterm thesis; Motley Fool watch; plus cross-sector government awards, policy, sanctions, supply chains, healthcare, technology, private credit and market confirmation</x:v>
      </x:c>
      <x:c r="E37" s="29" t="str">
        <x:v>Methodology and current ledger; Reuters; Cook Political Report context; USAspending and federal contract searches; SEC and issuer materials; public Motley Fool editorials; Friday closing market evidence</x:v>
      </x:c>
      <x:c r="F37" s="29" t="n">
        <x:v>4</x:v>
      </x:c>
      <x:c r="G37" s="29" t="n">
        <x:v>1</x:v>
      </x:c>
      <x:c r="H37" s="29" t="n">
        <x:v>0</x:v>
      </x:c>
      <x:c r="I37" s="29" t="str">
        <x:v>No</x:v>
      </x:c>
      <x:c r="J37" s="29" t="str">
        <x:v>No qualifying notification change. Energy scarcity and tanker theses remained within the existing physical-tightness versus normalization balance; no stage, confidence, edge or Entry Window changed. The midterm thesis had no new chamber-control or market evidence because U.S. cash markets were closed. Detailed ZENBEXUS Phase 3 results strengthened clinical support for EEI-2026-005, but progression-free survival, safety, commercial scale and patent-cliff offset remain unresolved; BMY stays Developing 3/5, edge 3/5, WAIT. New public Motley Fool ideas on AVGO, GEV and OWL were independently checked and rejected as distinct theses because catalysts were already public or risk/valuation prevented a clean unpriced edge. LULU and AVAV had no new primary evidence. No new public-company USAspending award passed new-award, confirmation and materiality tests. No thesis horizon matured for outcome scoring. No real trade was recommended or executed.</x:v>
      </x:c>
    </x:row>
    <x:row r="38">
      <x:c r="A38" s="27" t="str">
        <x:v>RUN-2026-09-27-1114</x:v>
      </x:c>
      <x:c r="B38" s="54" t="n">
        <x:v>46292.63491898148</x:v>
      </x:c>
      <x:c r="C38" s="27" t="str">
        <x:v>2026 midterm thesis check</x:v>
      </x:c>
      <x:c r="D38" s="29" t="str">
        <x:v>EEI-2026-003 only: congressional-control outlook, policy developments, breadth, volatility, rates, inflation, oil, earnings and candidate sectors</x:v>
      </x:c>
      <x:c r="E38" s="29" t="str">
        <x:v>Methodology and current ledger; Reuters; Cook Political Report; Friday closing market evidence already recorded in the ledger</x:v>
      </x:c>
      <x:c r="F38" s="29" t="n">
        <x:v>0</x:v>
      </x:c>
      <x:c r="G38" s="29" t="n">
        <x:v>0</x:v>
      </x:c>
      <x:c r="H38" s="29" t="n">
        <x:v>0</x:v>
      </x:c>
      <x:c r="I38" s="29" t="str">
        <x:v>No</x:v>
      </x:c>
      <x:c r="J38" s="29" t="str">
        <x:v>No meaningful change since the September 27 morning scan. No new independent House or Senate control evidence, enacted policy catalyst or market confirmation emerged. Cook's House assessment and Senate toss-up remain the standing political evidence. U.S. cash markets are closed, so Friday's mixed tape remains the latest test: XLI led, but RSP and IWM lagged SPY and XBI declined. EEI-2026-003 remains Strong at financial-thesis confidence 4/5 and trading edge 1/5. Entry Window remains WAIT and inactive because the thesis is not Actionable. Oil, inflation and rates remain separate macro modifiers. No automatic trade.</x:v>
      </x:c>
    </x:row>
    <x:row r="39">
      <x:c r="A39" s="27" t="str">
        <x:v>RUN-2026-09-28-0757</x:v>
      </x:c>
      <x:c r="B39" s="28" t="n">
        <x:v>46293.498344907406</x:v>
      </x:c>
      <x:c r="C39" s="27" t="str">
        <x:v>Easy E Invest daily scan</x:v>
      </x:c>
      <x:c r="D39" s="29" t="str">
        <x:v>Separate reviews: energy market; 2026 midterm thesis; Motley Fool watch; plus government awards, policy, sanctions, supply chains, macro, rates, metals, healthcare, technology and market confirmation</x:v>
      </x:c>
      <x:c r="E39" s="29" t="str">
        <x:v>Methodology and current ledger; Reuters; USAspending and federal award searches; SEC and issuer materials; public Motley Fool editorials; premarket commodity, rates and global-market data</x:v>
      </x:c>
      <x:c r="F39" s="29" t="n">
        <x:v>7</x:v>
      </x:c>
      <x:c r="G39" s="29" t="n">
        <x:v>2</x:v>
      </x:c>
      <x:c r="H39" s="29" t="n">
        <x:v>0</x:v>
      </x:c>
      <x:c r="I39" s="29" t="str">
        <x:v>No</x:v>
      </x:c>
      <x:c r="J39" s="29" t="str">
        <x:v>No qualifying notification change. EEI-2026-009 remains Actionable at 5/5 confidence, 1/5 trading edge and Entry Window WAIT: oil rebounded about 3.8% after the U.S. rejected Iran's proposal, but Middle East crude exports reached 12.8 million barrels per day and talks continue. EEI-2026-011 remains Strong / WAIT because export recovery raises normalization risk and no new verified VLCC-rate or listed-equity confirmation improved entry quality. EEI-2026-003 had no new independent control or breadth evidence before the U.S. cash-market open. Public Motley Fool ideas on LLY, WMB, AXP, ORCL/CRM, NVDA/SPCX and NFLX were investigated and rejected as distinct theses because their catalysts were already public, promotional or valuation/entry risk left no unpriced edge; a diesel-policy article repeated existing evidence. BMY, LULU and AVAV had no new primary evidence that changed their states. No new USAspending award passed the new-award, confirmation and materiality tests. No horizon matured for outcome scoring, and no real trade was recommended or executed.</x:v>
      </x:c>
    </x:row>
    <x:row r="40">
      <x:c r="A40" s="27" t="str">
        <x:v>RUN-2026-09-28-1105</x:v>
      </x:c>
      <x:c r="B40" s="54" t="n">
        <x:v>46293.62850694445</x:v>
      </x:c>
      <x:c r="C40" s="27" t="str">
        <x:v>2026 midterm thesis check</x:v>
      </x:c>
      <x:c r="D40" s="29" t="str">
        <x:v>EEI-2026-003 only: congressional-control outlook, policy developments, breadth, volatility, rates, inflation, oil, earnings and candidate sectors</x:v>
      </x:c>
      <x:c r="E40" s="29" t="str">
        <x:v>Methodology and current ledger; Cook Political Report; Reuters; Reuters/Ipsos; current fund market data; FactSet earnings context</x:v>
      </x:c>
      <x:c r="F40" s="29" t="n">
        <x:v>0</x:v>
      </x:c>
      <x:c r="G40" s="29" t="n">
        <x:v>3</x:v>
      </x:c>
      <x:c r="H40" s="29" t="n">
        <x:v>0</x:v>
      </x:c>
      <x:c r="I40" s="29" t="str">
        <x:v>Yes</x:v>
      </x:c>
      <x:c r="J40" s="29" t="str">
        <x:v>No stage change. Republican spending in at least 39 additional House races independently supports the House-shift signal, and Democratic oversight plans clarify a conditional policy consequence. Market confirmation weakened: Brent rose near $108.50, the 10-year yield near 5.22%, and the tracked broad and cyclical candidates were lower; RSP held up slightly better than SPY, while only XLV and XBI were positive and VIXY rose. EEI-2026-003 remains Strong at financial-thesis confidence 4/5 and trading edge 1/5. Entry Window remains WAIT and inactive because the thesis is not Actionable. RSP versus SPY remains the central test; XLV/XBI are independent sector watches, not confirmed midterm expressions. Oil and Hormuz remain separate modifiers. No automatic trade.</x:v>
      </x:c>
    </x:row>
    <x:row r="41">
      <x:c r="A41" s="27" t="str">
        <x:v>RUN-2026-09-29-0805</x:v>
      </x:c>
      <x:c r="B41" s="28" t="n">
        <x:v>46294.50347222222</x:v>
      </x:c>
      <x:c r="C41" s="27" t="str">
        <x:v>Easy E Invest daily scan</x:v>
      </x:c>
      <x:c r="D41" s="29" t="str">
        <x:v>Separate reviews: energy market; 2026 midterm thesis; Motley Fool watch; plus government awards, defense, macro, rates, technology, healthcare, sanctions, supply chains and corporate events</x:v>
      </x:c>
      <x:c r="E41" s="29" t="str">
        <x:v>Methodology and current ledger; Department of War and RTX primary records; USAspending public search; Reuters; Associated Press; Cook Political Report; SEC and issuer materials; public Motley Fool editorials; current market data</x:v>
      </x:c>
      <x:c r="F41" s="29" t="n">
        <x:v>7</x:v>
      </x:c>
      <x:c r="G41" s="29" t="n">
        <x:v>5</x:v>
      </x:c>
      <x:c r="H41" s="29" t="n">
        <x:v>0</x:v>
      </x:c>
      <x:c r="I41" s="29" t="str">
        <x:v>Yes</x:v>
      </x:c>
      <x:c r="J41" s="29" t="str">
        <x:v>Created EEI-2026-012 for RTX AMRAAM production as Strong 4/5 with trading edge 1/5 and Entry Window WAIT. The $20.699 billion ceiling is material, but only about $154.35 million was obligated at award, full funding depends on Congress and the ramp was partly anticipated. Energy, tanker and midterm evidence was updated without changing status fields. A public Alphabet Motley Fool idea and an AstraZeneca/Summit corporate trigger were investigated and rejected as distinct entries. No real trade was recommended or executed.</x:v>
      </x:c>
    </x:row>
    <x:row r="42">
      <x:c r="A42" s="27" t="str">
        <x:v>RUN-2026-09-29-1109</x:v>
      </x:c>
      <x:c r="B42" s="54" t="n">
        <x:v>46294.63125</x:v>
      </x:c>
      <x:c r="C42" s="27" t="str">
        <x:v>2026 midterm thesis check</x:v>
      </x:c>
      <x:c r="D42" s="29" t="str">
        <x:v>EEI-2026-003 only: congressional-control outlook, policy developments, breadth, volatility, rates, inflation, oil, earnings and candidate sectors</x:v>
      </x:c>
      <x:c r="E42" s="29" t="str">
        <x:v>Methodology and current ledger; Cook Political Report; Associated Press; Reuters; current fund market data; current earnings context</x:v>
      </x:c>
      <x:c r="F42" s="29" t="n">
        <x:v>0</x:v>
      </x:c>
      <x:c r="G42" s="29" t="n">
        <x:v>1</x:v>
      </x:c>
      <x:c r="H42" s="29" t="n">
        <x:v>0</x:v>
      </x:c>
      <x:c r="I42" s="29" t="str">
        <x:v>Yes</x:v>
      </x:c>
      <x:c r="J42" s="29" t="str">
        <x:v>No stage change. The morning political evidence remains supportive, but live market confirmation weakened versus the premarket read: RSP and IWM lagged nearly flat SPY, XLV and XBI reversed their gains, and decliners led on both major exchanges. XLI and CPER were the only positive tracked candidates and do not establish broad participation. EEI-2026-003 remains Strong at financial-thesis confidence 4/5 and trading edge 1/5. Entry Window remains WAIT and inactive because the thesis is not Actionable. RSP versus SPY remains the central test; XLI is the closest conditional sector watch, and copper must be assessed separately from XLB. Oil and Hormuz remain separate modifiers. No automatic trade.</x:v>
      </x:c>
    </x:row>
    <x:row r="43">
      <x:c r="A43" s="27" t="str">
        <x:v>RUN-2026-09-30-0823</x:v>
      </x:c>
      <x:c r="B43" s="28" t="n">
        <x:v>46295.51619212963</x:v>
      </x:c>
      <x:c r="C43" s="27" t="str">
        <x:v>Easy E Invest daily scan</x:v>
      </x:c>
      <x:c r="D43" s="29" t="str">
        <x:v>Separate reviews: energy market; 2026 midterm thesis; Motley Fool watch; plus government awards, defense, macro, rates, supply chains, healthcare, consumer and technology</x:v>
      </x:c>
      <x:c r="E43" s="29" t="str">
        <x:v>Methodology and current ledger; Reuters; Associated Press; U.S. Department of Defense statements; Boeing and SEC materials; public USAspending searches; public Motley Fool editorials; current market data</x:v>
      </x:c>
      <x:c r="F43" s="29" t="n">
        <x:v>7</x:v>
      </x:c>
      <x:c r="G43" s="29" t="n">
        <x:v>4</x:v>
      </x:c>
      <x:c r="H43" s="29" t="n">
        <x:v>0</x:v>
      </x:c>
      <x:c r="I43" s="29" t="str">
        <x:v>Yes</x:v>
      </x:c>
      <x:c r="J43" s="29" t="str">
        <x:v>Qualifying change. Russia extended its producer diesel-export ban through October, materially strengthening EEI-2026-009's physical supply confirmation without improving its 1/5 trading edge; the Entry Window remains WAIT. EEI-2026-002 received mixed LNG evidence: extended force majeure supports scarcity while resumed visible Hormuz transits support normalization. EEI-2026-003 received a credible Senate-map contradiction from Republican advertising dominance in New Hampshire and continued weak breadth/high yields; it remains Strong 4/5, edge 1/5 and WAIT. Created EEI-2026-013 for Boeing's F/A-XX selection as Strong 4/5, edge 1/5 and WAIT because the $20 billion development value is material but current obligations, contract identifier and detailed terms are not public and the stock repriced immediately. Public Motley Fool ideas on MU/SNDK, META, TROW, ASML/MRVL, NVDA and RKLB were investigated and rejected as distinct theses: MU/SNDK, META and NVDA repeated already-reviewed catalysts; TROW and ASML/MRVL lacked a new catalyst; RKLB's Kepler deal dated to August 10 and was already included in company backlog. BMY, LULU and AVAV had no new primary evidence that changed their states. No thesis horizon matured for formal outcome scoring. No real trade was recommended or executed.</x:v>
      </x:c>
    </x:row>
    <x:row r="44">
      <x:c r="A44" s="27" t="str">
        <x:v>RUN-2026-10-01-0817</x:v>
      </x:c>
      <x:c r="B44" s="28" t="n">
        <x:v>46296.345</x:v>
      </x:c>
      <x:c r="C44" s="27" t="str">
        <x:v>Easy E Invest daily scan</x:v>
      </x:c>
      <x:c r="D44" s="29" t="str">
        <x:v>Separate reviews: energy market; 2026 midterm thesis; Motley Fool watch; plus government awards, macro, rates, technology, semiconductors, defense, shipping, supply chains and market confirmation</x:v>
      </x:c>
      <x:c r="E44" s="29" t="str">
        <x:v>Methodology and current ledger; Reuters; Wall Street Journal; Micron, Nvidia, Amazon, Nebius, Rocket Lab and MercadoLibre primary records; USAspending public searches; public Motley Fool editorials; current market data</x:v>
      </x:c>
      <x:c r="F44" s="29" t="n">
        <x:v>16</x:v>
      </x:c>
      <x:c r="G44" s="29" t="n">
        <x:v>3</x:v>
      </x:c>
      <x:c r="H44" s="29" t="n">
        <x:v>1</x:v>
      </x:c>
      <x:c r="I44" s="29" t="str">
        <x:v>Yes</x:v>
      </x:c>
      <x:c r="J44" s="29" t="str">
        <x:v>Opened EEI-2026-014, AI memory scarcity and Micron contracted demand, as Strong 4/5 with trading edge 1/5 and Entry Window WAIT after record cash flow, $32 billion of strategic customer commitments and Nvidia's independent confirmation of memory scarcity through fiscal 2028. EEI-2026-003 received materially stronger Senate-path evidence but remained Strong / WAIT because polls, funding gaps, 5%+ Treasury yields and weak breadth remain contradictory. Tanker strikes and the dated-Brent premium strengthened EEI-2026-009 and EEI-2026-011, while Fujairah supply recovery strengthened normalization evidence; both Entry Windows remain WAIT. NVDA, AMZN, NBIS, RKLB and MELI public Motley Fool ideas were investigated and rejected as distinct theses. USAspending searches found no material new public-company award; the date-matched follow-on maintenance order located was only $18,380. No real trade was recommended or executed.</x:v>
      </x:c>
    </x:row>
    <x:row r="45">
      <x:c r="A45" s="27" t="str">
        <x:v>RUN-2026-10-02-0834</x:v>
      </x:c>
      <x:c r="B45" s="28" t="d">
        <x:v>2026-10-02T12:33:58.000Z</x:v>
      </x:c>
      <x:c r="C45" s="27" t="str">
        <x:v>Easy E Invest daily scan</x:v>
      </x:c>
      <x:c r="D45" s="29" t="str">
        <x:v>Separate reviews: energy market; 2026 midterm thesis; Motley Fool watch; plus government awards, macro, rates, semiconductors, healthcare, consumer, industrial automation, shipping and supply chains</x:v>
      </x:c>
      <x:c r="E45" s="29" t="str">
        <x:v>Methodology and current ledger; Reuters; SEC and issuer primary records; USAspending and federal award searches; public Motley Fool editorials; current market and shipping data</x:v>
      </x:c>
      <x:c r="F45" s="29" t="n">
        <x:v>7</x:v>
      </x:c>
      <x:c r="G45" s="29" t="n">
        <x:v>3</x:v>
      </x:c>
      <x:c r="H45" s="29" t="n">
        <x:v>0</x:v>
      </x:c>
      <x:c r="I45" s="29" t="str">
        <x:v>Yes</x:v>
      </x:c>
      <x:c r="J45" s="29" t="str">
        <x:v>Qualifying energy update. EEI-2026-009 remains Actionable at 5/5 confidence, 1/5 trading edge and WAIT: proposed EU/IEA stock releases confirm severe diesel scarcity but drove gasoil down about 5%, strengthening policy and headline risk. EEI-2026-002 remains Strong / WAIT as LNG shipments improved to 19-21 cargoes but only toward a possible 25% of pre-war volume. EEI-2026-003 remains Strong / WAIT: possible control change is increasingly treated as a market risk, but the 10-year yield at 5.34% and AI concentration still block breadth confirmation. Public Motley Fool ideas on MRVL, VKTX, AIQ, TSM, O, analog semiconductors and robotics were independently checked and rejected as distinct theses. No new USAspending/public-company award passed new-award, independent-confirmation and materiality tests. BMY, LULU and AVAV had no thesis-changing evidence. No horizon matured for formal outcome scoring. No real trade was recommended or executed.</x:v>
      </x:c>
    </x:row>
    <x:row r="46">
      <x:c r="A46" s="27"/>
      <x:c r="B46" s="28"/>
      <x:c r="C46" s="27"/>
      <x:c r="D46" s="29"/>
      <x:c r="E46" s="29"/>
      <x:c r="F46" s="29"/>
      <x:c r="G46" s="29"/>
      <x:c r="H46" s="29"/>
      <x:c r="I46" s="29"/>
      <x:c r="J46" s="29"/>
    </x:row>
    <x:row r="47">
      <x:c r="A47" s="27"/>
      <x:c r="B47" s="28"/>
      <x:c r="C47" s="27"/>
      <x:c r="D47" s="29"/>
      <x:c r="E47" s="29"/>
      <x:c r="F47" s="29"/>
      <x:c r="G47" s="29"/>
      <x:c r="H47" s="29"/>
      <x:c r="I47" s="29"/>
      <x:c r="J47" s="29"/>
    </x:row>
    <x:row r="48">
      <x:c r="A48" s="27"/>
      <x:c r="B48" s="28"/>
      <x:c r="C48" s="27"/>
      <x:c r="D48" s="29"/>
      <x:c r="E48" s="29"/>
      <x:c r="F48" s="29"/>
      <x:c r="G48" s="29"/>
      <x:c r="H48" s="29"/>
      <x:c r="I48" s="29"/>
      <x:c r="J48" s="29"/>
    </x:row>
    <x:row r="49">
      <x:c r="A49" s="27"/>
      <x:c r="B49" s="28"/>
      <x:c r="C49" s="27"/>
      <x:c r="D49" s="29"/>
      <x:c r="E49" s="29"/>
      <x:c r="F49" s="29"/>
      <x:c r="G49" s="29"/>
      <x:c r="H49" s="29"/>
      <x:c r="I49" s="29"/>
      <x:c r="J49" s="29"/>
    </x:row>
    <x:row r="50">
      <x:c r="A50" s="27"/>
      <x:c r="B50" s="28"/>
      <x:c r="C50" s="27"/>
      <x:c r="D50" s="29"/>
      <x:c r="E50" s="29"/>
      <x:c r="F50" s="29"/>
      <x:c r="G50" s="29"/>
      <x:c r="H50" s="29"/>
      <x:c r="I50" s="29"/>
      <x:c r="J50" s="29"/>
    </x:row>
    <x:row r="51">
      <x:c r="A51" s="27"/>
      <x:c r="B51" s="28"/>
      <x:c r="C51" s="27"/>
      <x:c r="D51" s="29"/>
      <x:c r="E51" s="29"/>
      <x:c r="F51" s="29"/>
      <x:c r="G51" s="29"/>
      <x:c r="H51" s="29"/>
      <x:c r="I51" s="29"/>
      <x:c r="J51" s="29"/>
    </x:row>
    <x:row r="52">
      <x:c r="A52" s="27"/>
      <x:c r="B52" s="28"/>
      <x:c r="C52" s="27"/>
      <x:c r="D52" s="29"/>
      <x:c r="E52" s="29"/>
      <x:c r="F52" s="29"/>
      <x:c r="G52" s="29"/>
      <x:c r="H52" s="29"/>
      <x:c r="I52" s="29"/>
      <x:c r="J52" s="29"/>
    </x:row>
    <x:row r="53">
      <x:c r="A53" s="27"/>
      <x:c r="B53" s="28"/>
      <x:c r="C53" s="27"/>
      <x:c r="D53" s="29"/>
      <x:c r="E53" s="29"/>
      <x:c r="F53" s="29"/>
      <x:c r="G53" s="29"/>
      <x:c r="H53" s="29"/>
      <x:c r="I53" s="29"/>
      <x:c r="J53" s="29"/>
    </x:row>
    <x:row r="54">
      <x:c r="A54" s="27"/>
      <x:c r="B54" s="28"/>
      <x:c r="C54" s="27"/>
      <x:c r="D54" s="29"/>
      <x:c r="E54" s="29"/>
      <x:c r="F54" s="29"/>
      <x:c r="G54" s="29"/>
      <x:c r="H54" s="29"/>
      <x:c r="I54" s="29"/>
      <x:c r="J54" s="29"/>
    </x:row>
    <x:row r="55">
      <x:c r="A55" s="27"/>
      <x:c r="B55" s="28"/>
      <x:c r="C55" s="27"/>
      <x:c r="D55" s="29"/>
      <x:c r="E55" s="29"/>
      <x:c r="F55" s="29"/>
      <x:c r="G55" s="29"/>
      <x:c r="H55" s="29"/>
      <x:c r="I55" s="29"/>
      <x:c r="J55" s="29"/>
    </x:row>
    <x:row r="56">
      <x:c r="A56" s="27"/>
      <x:c r="B56" s="28"/>
      <x:c r="C56" s="27"/>
      <x:c r="D56" s="29"/>
      <x:c r="E56" s="29"/>
      <x:c r="F56" s="29"/>
      <x:c r="G56" s="29"/>
      <x:c r="H56" s="29"/>
      <x:c r="I56" s="29"/>
      <x:c r="J56" s="29"/>
    </x:row>
    <x:row r="57">
      <x:c r="A57" s="27"/>
      <x:c r="B57" s="28"/>
      <x:c r="C57" s="27"/>
      <x:c r="D57" s="29"/>
      <x:c r="E57" s="29"/>
      <x:c r="F57" s="29"/>
      <x:c r="G57" s="29"/>
      <x:c r="H57" s="29"/>
      <x:c r="I57" s="29"/>
      <x:c r="J57" s="29"/>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ff2ef4fb6a5e4c99"/>
  </x:tableParts>
</x:worksheet>
</file>