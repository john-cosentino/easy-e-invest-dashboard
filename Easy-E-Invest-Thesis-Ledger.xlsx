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22cab3e8c349cb" /></Relationships>
</file>

<file path=xl/workbook.xml><?xml version="1.0" encoding="utf-8"?>
<x:workbook xmlns:x="http://schemas.openxmlformats.org/spreadsheetml/2006/main">
  <x:sheets>
    <x:sheet xmlns:r="http://schemas.openxmlformats.org/officeDocument/2006/relationships" name="Summary" sheetId="1" r:id="Rd6a6ee6dd4fa4840"/>
    <x:sheet xmlns:r="http://schemas.openxmlformats.org/officeDocument/2006/relationships" name="Thesis Ledger" sheetId="2" r:id="R725d0c9884564445"/>
    <x:sheet xmlns:r="http://schemas.openxmlformats.org/officeDocument/2006/relationships" name="Evidence Log" sheetId="3" r:id="Re23fd59e2cb84969"/>
    <x:sheet xmlns:r="http://schemas.openxmlformats.org/officeDocument/2006/relationships" name="Source Registry" sheetId="4" r:id="Rec68c78117734313"/>
    <x:sheet xmlns:r="http://schemas.openxmlformats.org/officeDocument/2006/relationships" name="Paper Trades" sheetId="5" r:id="R805fa394bccd42a7"/>
    <x:sheet xmlns:r="http://schemas.openxmlformats.org/officeDocument/2006/relationships" name="Scan Runs" sheetId="6" r:id="R791f1d00f9754b20"/>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e4512e7a9334900" /><Relationship Type="http://schemas.openxmlformats.org/officeDocument/2006/relationships/theme" Target="/xl/theme/theme1.xml" Id="Rea9d7686ab0f4416" /><Relationship Type="http://schemas.openxmlformats.org/officeDocument/2006/relationships/sharedStrings" Target="/xl/sharedStrings.xml" Id="Rf98c7e05207840cc" /><Relationship Type="http://schemas.openxmlformats.org/officeDocument/2006/relationships/worksheet" Target="/xl/worksheets/sheet1.xml" Id="Rd6a6ee6dd4fa4840" /><Relationship Type="http://schemas.openxmlformats.org/officeDocument/2006/relationships/worksheet" Target="/xl/worksheets/sheet2.xml" Id="R725d0c9884564445" /><Relationship Type="http://schemas.openxmlformats.org/officeDocument/2006/relationships/worksheet" Target="/xl/worksheets/sheet3.xml" Id="Re23fd59e2cb84969" /><Relationship Type="http://schemas.openxmlformats.org/officeDocument/2006/relationships/worksheet" Target="/xl/worksheets/sheet4.xml" Id="Rec68c78117734313" /><Relationship Type="http://schemas.openxmlformats.org/officeDocument/2006/relationships/worksheet" Target="/xl/worksheets/sheet5.xml" Id="R805fa394bccd42a7" /><Relationship Type="http://schemas.openxmlformats.org/officeDocument/2006/relationships/worksheet" Target="/xl/worksheets/sheet6.xml" Id="R791f1d00f9754b20"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ce4dd57e0c047a3" /></Relationships>
</file>

<file path=xl/worksheets/_rels/sheet3.xml.rels>&#65279;<?xml version="1.0" encoding="utf-8"?><Relationships xmlns="http://schemas.openxmlformats.org/package/2006/relationships"><Relationship Type="http://schemas.openxmlformats.org/officeDocument/2006/relationships/table" Target="/xl/tables/table2.xml" Id="Rfab7e52560c14458" /></Relationships>
</file>

<file path=xl/worksheets/_rels/sheet4.xml.rels>&#65279;<?xml version="1.0" encoding="utf-8"?><Relationships xmlns="http://schemas.openxmlformats.org/package/2006/relationships"><Relationship Type="http://schemas.openxmlformats.org/officeDocument/2006/relationships/table" Target="/xl/tables/table3.xml" Id="R970d3a7313744f3d" /></Relationships>
</file>

<file path=xl/worksheets/_rels/sheet5.xml.rels>&#65279;<?xml version="1.0" encoding="utf-8"?><Relationships xmlns="http://schemas.openxmlformats.org/package/2006/relationships"><Relationship Type="http://schemas.openxmlformats.org/officeDocument/2006/relationships/table" Target="/xl/tables/table4.xml" Id="R9ea2d2035bd8405a" /></Relationships>
</file>

<file path=xl/worksheets/_rels/sheet6.xml.rels>&#65279;<?xml version="1.0" encoding="utf-8"?><Relationships xmlns="http://schemas.openxmlformats.org/package/2006/relationships"><Relationship Type="http://schemas.openxmlformats.org/officeDocument/2006/relationships/table" Target="/xl/tables/table5.xml" Id="Ra160bef8f7ed4da7"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14</x:v>
      </x:c>
      <x:c r="C6" s="1"/>
      <x:c r="D6" s="1"/>
      <x:c r="E6" s="1"/>
      <x:c r="F6" s="1"/>
      <x:c r="G6" s="1"/>
      <x:c r="H6" s="1"/>
      <x:c r="I6" s="1"/>
      <x:c r="J6" s="1"/>
    </x:row>
    <x:row r="7">
      <x:c r="A7" s="1" t="str">
        <x:v>Open theses</x:v>
      </x:c>
      <x:c r="B7" s="40" t="n">
        <x:f>COUNTIFS('Thesis Ledger'!A6:A200,"&lt;&gt;",'Thesis Ledger'!F6:F200,"&lt;&gt;Closed",'Thesis Ledger'!F6:F200,"&lt;&gt;Invalidated")</x:f>
        <x:v>12</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46303</x:v>
      </x:c>
      <x:c r="X14" s="43"/>
      <x:c r="Y14" s="29"/>
      <x:c r="Z14" s="29"/>
      <x:c r="AA14" s="29"/>
      <x:c r="AB14" s="29"/>
      <x:c r="AC14" s="29"/>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x:v>
      </x:c>
      <x:c r="Q16" s="29" t="str">
        <x:v>Fujairah fuel-oil imports and exports recovered materially in Q3, Saudi and Russian supply reached the hub, and some bunker operations normalized. More available product and routing workarounds can reduce the duration of extreme freight scarcity.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x:v>
      </x:c>
      <x:c r="T16" s="29" t="str">
        <x:v>Conditional only: tanker operators with meaningful spot exposure remain the cleanest equity mapping, but WAIT for verified rate persistence and a non-headline entry. Charter mix, geopolitics, sanctions, operational risk and route normalization remain material.</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4</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n">
        <x:v>46325.166666666664</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1ce4dd57e0c047a3"/>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fab7e52560c14458"/>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970d3a7313744f3d"/>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60.09</x:v>
      </x:c>
      <x:c r="K6" s="46" t="n">
        <x:f>I6*J6</x:f>
        <x:v>1050.3408495018355</x:v>
      </x:c>
      <x:c r="L6" s="46" t="n">
        <x:f>K6-H6</x:f>
        <x:v>50.340849501835464</x:v>
      </x:c>
      <x:c r="M6" s="48" t="n">
        <x:f>L6/H6</x:f>
        <x:v>0.05034084950183546</x:v>
      </x:c>
      <x:c r="N6" s="30"/>
      <x:c r="O6" s="32"/>
      <x:c r="P6" s="32" t="str">
        <x:f>IF(OR(I6="",O6=""),"",I6*O6)</x:f>
      </x:c>
      <x:c r="Q6" s="32" t="str">
        <x:f>IF(P6="","",P6-H6)</x:f>
      </x:c>
      <x:c r="R6" s="29" t="str">
        <x:v>09/30/26 close: $60.09; position value $1,050.34; +$50.34 (+5.03%). BNO rebounded 2.28% as stalled U.S.-Iran talks and tight fuel inventories lifted crude. Restored Yanbu loadings and Gulf exports near prewar levels continue to limit the extended-hold thesis.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145.66</x:v>
      </x:c>
      <x:c r="K7" s="46" t="n">
        <x:f>I7*J7</x:f>
        <x:v>1007.3305670816045</x:v>
      </x:c>
      <x:c r="L7" s="46" t="n">
        <x:f>K7-H7</x:f>
        <x:v>7.330567081604499</x:v>
      </x:c>
      <x:c r="M7" s="48" t="n">
        <x:f>L7/H7</x:f>
        <x:v>0.0073305670816045</x:v>
      </x:c>
      <x:c r="N7" s="30"/>
      <x:c r="O7" s="32"/>
      <x:c r="P7" s="32" t="str">
        <x:f>IF(OR(I7="",O7=""),"",I7*O7)</x:f>
      </x:c>
      <x:c r="Q7" s="32" t="str">
        <x:f>IF(P7="","",P7-H7)</x:f>
      </x:c>
      <x:c r="R7" s="29" t="str">
        <x:v>09/30/26 close: $145.66; position value $1,007.33; +$7.33 (+0.73%). USO gained 1.61% and moved back above entry as WTI settled at $90.42 on stalled peace talks and tightening product inventories.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179.33</x:v>
      </x:c>
      <x:c r="K8" s="46" t="n">
        <x:f>I8*J8</x:f>
        <x:v>925.1444490301279</x:v>
      </x:c>
      <x:c r="L8" s="46" t="n">
        <x:f>K8-H8</x:f>
        <x:v>-74.85555096987207</x:v>
      </x:c>
      <x:c r="M8" s="48" t="n">
        <x:f>L8/H8</x:f>
        <x:v>-0.07485555096987206</x:v>
      </x:c>
      <x:c r="N8" s="30"/>
      <x:c r="O8" s="32"/>
      <x:c r="P8" s="32" t="str">
        <x:f>IF(OR(I8="",O8=""),"",I8*O8)</x:f>
      </x:c>
      <x:c r="Q8" s="32" t="str">
        <x:f>IF(P8="","",P8-H8)</x:f>
      </x:c>
      <x:c r="R8" s="29" t="str">
        <x:v>09/30/26 close: $179.33; position value $925.14; -$74.86 (-7.49%). XOP gained 0.39% but remains the weakest expression and materially trails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9ea2d2035bd8405a"/>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a160bef8f7ed4da7"/>
  </x:tableParts>
</x:worksheet>
</file>