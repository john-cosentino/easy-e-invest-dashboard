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87b687089254622" /></Relationships>
</file>

<file path=xl/workbook.xml><?xml version="1.0" encoding="utf-8"?>
<x:workbook xmlns:x="http://schemas.openxmlformats.org/spreadsheetml/2006/main">
  <x:sheets>
    <x:sheet xmlns:r="http://schemas.openxmlformats.org/officeDocument/2006/relationships" name="Summary" sheetId="1" r:id="Rb4dd5ad2b7d84f7c"/>
    <x:sheet xmlns:r="http://schemas.openxmlformats.org/officeDocument/2006/relationships" name="Thesis Ledger" sheetId="2" r:id="R458144f0fece4581"/>
    <x:sheet xmlns:r="http://schemas.openxmlformats.org/officeDocument/2006/relationships" name="Evidence Log" sheetId="3" r:id="Re18f4eaa28764f6a"/>
    <x:sheet xmlns:r="http://schemas.openxmlformats.org/officeDocument/2006/relationships" name="Source Registry" sheetId="4" r:id="R09c935e51058422d"/>
    <x:sheet xmlns:r="http://schemas.openxmlformats.org/officeDocument/2006/relationships" name="Paper Trades" sheetId="5" r:id="R9e7e8bb046054f4e"/>
    <x:sheet xmlns:r="http://schemas.openxmlformats.org/officeDocument/2006/relationships" name="Scan Runs" sheetId="6" r:id="R4d3b0857359740b5"/>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a2c78d0d644742" /><Relationship Type="http://schemas.openxmlformats.org/officeDocument/2006/relationships/theme" Target="/xl/theme/theme1.xml" Id="R8a917de2e18e4420" /><Relationship Type="http://schemas.openxmlformats.org/officeDocument/2006/relationships/sharedStrings" Target="/xl/sharedStrings.xml" Id="R81dfb06825574a76" /><Relationship Type="http://schemas.openxmlformats.org/officeDocument/2006/relationships/worksheet" Target="/xl/worksheets/sheet1.xml" Id="Rb4dd5ad2b7d84f7c" /><Relationship Type="http://schemas.openxmlformats.org/officeDocument/2006/relationships/worksheet" Target="/xl/worksheets/sheet2.xml" Id="R458144f0fece4581" /><Relationship Type="http://schemas.openxmlformats.org/officeDocument/2006/relationships/worksheet" Target="/xl/worksheets/sheet3.xml" Id="Re18f4eaa28764f6a" /><Relationship Type="http://schemas.openxmlformats.org/officeDocument/2006/relationships/worksheet" Target="/xl/worksheets/sheet4.xml" Id="R09c935e51058422d" /><Relationship Type="http://schemas.openxmlformats.org/officeDocument/2006/relationships/worksheet" Target="/xl/worksheets/sheet5.xml" Id="R9e7e8bb046054f4e" /><Relationship Type="http://schemas.openxmlformats.org/officeDocument/2006/relationships/worksheet" Target="/xl/worksheets/sheet6.xml" Id="R4d3b0857359740b5"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7f0dae1726a4008" /></Relationships>
</file>

<file path=xl/worksheets/_rels/sheet3.xml.rels>&#65279;<?xml version="1.0" encoding="utf-8"?><Relationships xmlns="http://schemas.openxmlformats.org/package/2006/relationships"><Relationship Type="http://schemas.openxmlformats.org/officeDocument/2006/relationships/table" Target="/xl/tables/table2.xml" Id="Reb91faa69b9c4bee" /></Relationships>
</file>

<file path=xl/worksheets/_rels/sheet4.xml.rels>&#65279;<?xml version="1.0" encoding="utf-8"?><Relationships xmlns="http://schemas.openxmlformats.org/package/2006/relationships"><Relationship Type="http://schemas.openxmlformats.org/officeDocument/2006/relationships/table" Target="/xl/tables/table3.xml" Id="Ra923502dde9f46bc" /></Relationships>
</file>

<file path=xl/worksheets/_rels/sheet5.xml.rels>&#65279;<?xml version="1.0" encoding="utf-8"?><Relationships xmlns="http://schemas.openxmlformats.org/package/2006/relationships"><Relationship Type="http://schemas.openxmlformats.org/officeDocument/2006/relationships/table" Target="/xl/tables/table4.xml" Id="R910bee20202c46d9" /></Relationships>
</file>

<file path=xl/worksheets/_rels/sheet6.xml.rels>&#65279;<?xml version="1.0" encoding="utf-8"?><Relationships xmlns="http://schemas.openxmlformats.org/package/2006/relationships"><Relationship Type="http://schemas.openxmlformats.org/officeDocument/2006/relationships/table" Target="/xl/tables/table5.xml" Id="R365ae3ca9f684ddc"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22</x:v>
      </x:c>
      <x:c r="C6" s="1"/>
      <x:c r="D6" s="1"/>
      <x:c r="E6" s="1"/>
      <x:c r="F6" s="1"/>
      <x:c r="G6" s="1"/>
      <x:c r="H6" s="1"/>
      <x:c r="I6" s="1"/>
      <x:c r="J6" s="1"/>
    </x:row>
    <x:row r="7">
      <x:c r="A7" s="1" t="str">
        <x:v>Open theses</x:v>
      </x:c>
      <x:c r="B7" s="40" t="n">
        <x:f>COUNTIFS('Thesis Ledger'!A6:A200,"&lt;&gt;",'Thesis Ledger'!F6:F200,"&lt;&gt;Closed",'Thesis Ledger'!F6:F200,"&lt;&gt;Invalidated")</x:f>
        <x:v>20</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n">
        <x:v>46321</x:v>
      </x:c>
      <x:c r="X26" s="43"/>
      <x:c r="Y26" s="29"/>
      <x:c r="Z26" s="29"/>
      <x:c r="AA26" s="29"/>
      <x:c r="AB26" s="29"/>
      <x:c r="AC26" s="29"/>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str">
        <x:f>IF(COUNTIF(Y26:AC26,"&lt;&gt;")=0,"",COUNTIF(Y26:AC26,"Yes")/COUNTA(Y26:AC26))</x:f>
      </x:c>
    </x:row>
    <x:row r="27">
      <x:c r="A27" s="27" t="str">
        <x:v>EEI-2026-022</x:v>
      </x:c>
      <x:c r="B27" s="27" t="str">
        <x:v>AT&amp;T connectivity growth and valuation dislocation</x:v>
      </x:c>
      <x:c r="C27" s="27" t="str">
        <x:v>Communication services and telecom</x:v>
      </x:c>
      <x:c r="D27" s="30" t="d">
        <x:v>2026-10-21T13:46:46.000Z</x:v>
      </x:c>
      <x:c r="E27" s="30" t="d">
        <x:v>2026-10-21T13:46:46.000Z</x:v>
      </x:c>
      <x:c r="F27" s="27" t="str">
        <x:v>Strong</x:v>
      </x:c>
      <x:c r="G27" s="27" t="str">
        <x:v>Earnings, guidance and valuation dislocation</x:v>
      </x:c>
      <x:c r="H27" s="27" t="str">
        <x:v>Advanced Connectivity service revenue, subscribers, free cash flow and net leverage</x:v>
      </x:c>
      <x:c r="I27" s="27" t="str">
        <x:v>Up</x:v>
      </x:c>
      <x:c r="J27" s="27" t="str">
        <x:v>Six to eighteen months</x:v>
      </x:c>
      <x:c r="K27" s="27" t="n">
        <x:v>4</x:v>
      </x:c>
      <x:c r="L27" s="27" t="n">
        <x:v>3</x:v>
      </x:c>
      <x:c r="M27" s="27" t="str">
        <x:v>ACTIONABLE NOW</x:v>
      </x:c>
      <x:c r="N27" s="29" t="str">
        <x:v>AT&amp;T reported faster revenue, adjusted EPS, EBITDA and Advanced Connectivity growth, raised 2026 adjusted-EPS guidance to about $2.40 and reiterated at least $18B of free cash flow. The shares traded at $22.01 at 9:31 a.m. ET (15-minute-delayed public feed), within the precommitted $23.50 no-chase ceiling.</x:v>
      </x:c>
      <x:c r="O27" s="29" t="str">
        <x:v>Fiber, fixed wireless and postpaid subscriber additions should expand higher-quality connectivity revenue and cash generation. At the observed price, the equity is valued below ten times raised adjusted EPS and carries a meaningful dividend-plus-buyback yield before growth, providing potential rerating room if debt reduction and legacy-cost removal hold.</x:v>
      </x:c>
      <x:c r="P27" s="29" t="str">
        <x:v>AT&amp;T's primary Q3 release reported revenue of $32.3B, up 5.3%; adjusted EPS of $0.65; adjusted EBITDA of $12.5B, up 5.4%; operating cash flow of $10.5B; free cash flow of $5.0B; Advanced Connectivity service revenue up 6.1%; and 442,000 fiber, 327,000 fixed-wireless and 379,000 postpaid-phone net additions. Reuters independently confirmed the revenue and EPS beats and raised outlook.</x:v>
      </x:c>
      <x:c r="Q27" s="29" t="str">
        <x:v>Net debt remained $149.8B and total debt $159.6B; management does not expect to reach roughly 2.5 times leverage until 2029. Legacy revenue fell 24.5%, Mexico produced a $2.6B impairment, capital intensity remains high, and the initial market reaction was negative despite the beat.</x:v>
      </x:c>
      <x:c r="R27" s="29"/>
      <x:c r="S27" s="29" t="str">
        <x:v>At 9:31 a.m. ET (15-minute-delayed public feed), T traded at $22.01 in a regular-session range of $21.64-$24.04. The negative post-earnings reaction despite raised guidance created a current-price dislocation rather than a headline gap higher.</x:v>
      </x:c>
      <x:c r="T27" s="29" t="str">
        <x:v>T common equity. Proposed exploratory paper entry: $300 at the verified market price near $22.01; do not chase above $23.50. No simulated fill or position is recorded because available portfolio capital and sizing rules are not defined.</x:v>
      </x:c>
      <x:c r="U27" s="29" t="str">
        <x:v>A daily close below $21.50; a cut to 2026 free-cash-flow or adjusted-EPS guidance; weakening Advanced Connectivity service growth or subscriber additions; or deterioration in the net-debt path.</x:v>
      </x:c>
      <x:c r="V27" s="43" t="str">
        <x:v>2026-10-21: Advanced Connectivity growth, subscriber additions and at least $18B of free cash flow should support per-share value over six to eighteen months if leverage trends down and legacy declines remain contained. Initial paper decision: proposed $300 exploratory market-price entry near $22.01; do not chase above $23.50. No fill without capital and sizing rules.</x:v>
      </x:c>
      <x:c r="W27" s="43" t="d">
        <x:v>2026-11-21T14:30:00.000Z</x:v>
      </x:c>
      <x:c r="X27" s="43"/>
      <x:c r="Y27" s="29"/>
      <x:c r="Z27" s="29"/>
      <x:c r="AA27" s="29"/>
      <x:c r="AB27" s="29"/>
      <x:c r="AC27" s="29"/>
      <x:c r="AD27" s="29" t="str">
        <x:v>Opened Strong at confidence 4/5 and trading edge 3/5. ACTIONABLE NOW is a supported proposal, not an actual paper position. The quote, proposed size, no-chase level, invalidation and review date are explicit. Portfolio capital and sizing rules are unavailable, so no fill was manufactured and Paper Trades remains unchanged. No real trade is authorized.</x:v>
      </x:c>
      <x:c r="AE27" s="31" t="str">
        <x:f>IF(COUNTIF(Y27:AC27,"&lt;&gt;")=0,"",COUNTIF(Y27:AC27,"Yes")/COUNTA(Y27:AC27))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77f0dae1726a4008"/>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row r="555">
      <x:c r="A555" t="str">
        <x:v>EV-2026-550</x:v>
      </x:c>
      <x:c r="B555" t="str">
        <x:v>EEI-2026-001</x:v>
      </x:c>
      <x:c r="C555" s="21" t="d">
        <x:v>2026-10-19T21:05:33.000Z</x:v>
      </x:c>
      <x:c r="D555" t="str">
        <x:v>Paper-trade outcome</x:v>
      </x:c>
      <x:c r="E555" t="str">
        <x:v>StockAnalysis</x:v>
      </x:c>
      <x:c r="F555" t="str">
        <x:v>Market data</x:v>
      </x:c>
      <x:c r="G555" s="44" t="str">
        <x:v>https://stockanalysis.com/etf/bno/history/</x:v>
      </x:c>
      <x:c r="H555" s="44" t="str">
        <x:v>BNO closed October 19 at $67.12 versus the fixed September 8 opening entry of $57.21. The $1,000 fractional-share paper position was worth $1,173.22, a gain of $173.22 or 17.32%.</x:v>
      </x:c>
      <x:c r="I555" s="44" t="str">
        <x:v>Confirms direct Brent expression</x:v>
      </x:c>
      <x:c r="J555" s="44" t="n">
        <x:v>4</x:v>
      </x:c>
      <x:c r="K555" s="44" t="str">
        <x:v>Official regular-session close used; totals retain unrounded fractional shares.</x:v>
      </x:c>
    </x:row>
    <x:row r="556">
      <x:c r="A556" t="str">
        <x:v>EV-2026-551</x:v>
      </x:c>
      <x:c r="B556" t="str">
        <x:v>EEI-2026-001</x:v>
      </x:c>
      <x:c r="C556" s="21" t="d">
        <x:v>2026-10-19T21:05:33.000Z</x:v>
      </x:c>
      <x:c r="D556" t="str">
        <x:v>Paper-trade outcome</x:v>
      </x:c>
      <x:c r="E556" t="str">
        <x:v>StockAnalysis</x:v>
      </x:c>
      <x:c r="F556" t="str">
        <x:v>Market data</x:v>
      </x:c>
      <x:c r="G556" s="44" t="str">
        <x:v>https://stockanalysis.com/etf/uso/history/</x:v>
      </x:c>
      <x:c r="H556" s="44" t="str">
        <x:v>USO closed October 19 at $160.81 versus the fixed September 8 opening entry of $144.60. The $1,000 fractional-share paper position was worth $1,112.10, a gain of $112.10 or 11.21%.</x:v>
      </x:c>
      <x:c r="I556" s="44" t="str">
        <x:v>Confirms direct WTI expression</x:v>
      </x:c>
      <x:c r="J556" s="44" t="n">
        <x:v>4</x:v>
      </x:c>
      <x:c r="K556" s="44" t="str">
        <x:v>Official regular-session close used; the fund's futures exposure can diverge from a single expiring WTI contract.</x:v>
      </x:c>
    </x:row>
    <x:row r="557">
      <x:c r="A557" t="str">
        <x:v>EV-2026-552</x:v>
      </x:c>
      <x:c r="B557" t="str">
        <x:v>EEI-2026-001</x:v>
      </x:c>
      <x:c r="C557" s="21" t="d">
        <x:v>2026-10-19T21:05:33.000Z</x:v>
      </x:c>
      <x:c r="D557" t="str">
        <x:v>Paper-trade outcome</x:v>
      </x:c>
      <x:c r="E557" t="str">
        <x:v>StockAnalysis</x:v>
      </x:c>
      <x:c r="F557" t="str">
        <x:v>Market data</x:v>
      </x:c>
      <x:c r="G557" s="44" t="str">
        <x:v>https://stockanalysis.com/etf/xop/history/</x:v>
      </x:c>
      <x:c r="H557" s="44" t="str">
        <x:v>XOP closed October 19 at $199.47 versus the fixed September 8 opening entry of $193.84. The $1,000 fractional-share paper position was worth $1,029.04, a gain of $29.04 or 2.90%.</x:v>
      </x:c>
      <x:c r="I557" s="44" t="str">
        <x:v>Positive but still weakest expression</x:v>
      </x:c>
      <x:c r="J557" s="44" t="n">
        <x:v>4</x:v>
      </x:c>
      <x:c r="K557" s="44" t="str">
        <x:v>Official regular-session close used; the producer-equity ETF retains company and equity-market mapping risk.</x:v>
      </x:c>
    </x:row>
    <x:row r="558">
      <x:c r="A558" t="str">
        <x:v>EV-2026-553</x:v>
      </x:c>
      <x:c r="B558" t="str">
        <x:v>EEI-2026-001</x:v>
      </x:c>
      <x:c r="C558" s="21" t="d">
        <x:v>2026-10-19T21:05:33.000Z</x:v>
      </x:c>
      <x:c r="D558" t="str">
        <x:v>Market confirmation and counterweight</x:v>
      </x:c>
      <x:c r="E558" t="str">
        <x:v>Reuters / Kpler</x:v>
      </x:c>
      <x:c r="F558" t="str">
        <x:v>High-quality independent reporting and shipping data</x:v>
      </x:c>
      <x:c r="G558" s="44" t="str">
        <x:v>https://www.reuters.com/business/energy/oil-slips-trumps-sanction-waiver-may-lead-more-russian-fuel-supplies-2026-10-18/</x:v>
      </x:c>
      <x:c r="H558" s="44" t="str">
        <x:v>Brent settled October 19 at $109.55. The expiring WTI front month settled at $103.66, while the more liquid December contract fell to $98.54. Kpler estimated regional crude flows averaged about 8.5 million bpd last week, down from more than 20 million bpd the prior week, after at least 10 confirmed commercial-vessel incidents.</x:v>
      </x:c>
      <x:c r="I558" s="44" t="str">
        <x:v>Confirms physical disruption but shows price and contract divergence</x:v>
      </x:c>
      <x:c r="J558" s="44" t="n">
        <x:v>5</x:v>
      </x:c>
      <x:c r="K558" s="44" t="str">
        <x:v>Houthi claims of attacks on Saudi facilities were unverified. A partial U.S. waiver on Russian-energy sanctions and higher September OPEC output could add supply.</x:v>
      </x:c>
    </x:row>
    <x:row r="559">
      <x:c r="A559" t="str">
        <x:v>EV-2026-554</x:v>
      </x:c>
      <x:c r="B559" t="str">
        <x:v>EEI-2026-001</x:v>
      </x:c>
      <x:c r="C559" s="21" t="d">
        <x:v>2026-10-19T21:05:33.000Z</x:v>
      </x:c>
      <x:c r="D559" t="str">
        <x:v>Mechanism update</x:v>
      </x:c>
      <x:c r="E559" t="str">
        <x:v>Reuters analysis / Kpler / LSEG</x:v>
      </x:c>
      <x:c r="F559" t="str">
        <x:v>High-quality analysis citing shipping and market data</x:v>
      </x:c>
      <x:c r="G559" s="44" t="str">
        <x:v>https://www.reuters.com/commentary/reuters-open-interest/asian-refiners-pain-is-middle-east-oil-producers-problem-bousso-2026-10-19/</x:v>
      </x:c>
      <x:c r="H559" s="44" t="str">
        <x:v>September Middle East crude exports recovered to 15.4 million bpd, nearly 90% of prewar levels, and Hormuz flows reached 10.7 million bpd, about 75% of prewar levels. Yet freight and insurance reached as much as 30% of delivered crude cost; Nigeria-to-Singapore freight was about $32 per barrel, and estimated Asian net refining margin was only a little above $7 after freight.</x:v>
      </x:c>
      <x:c r="I559" s="44" t="str">
        <x:v>Mixed: invalidates a pure volume-shortage view but confirms severe logistics friction</x:v>
      </x:c>
      <x:c r="J559" s="44" t="n">
        <x:v>5</x:v>
      </x:c>
      <x:c r="K559" s="44" t="str">
        <x:v>The article is Reuters analysis rather than a primary dataset. Freight costs and producer discounts can change quickly with security conditions and negotiations.</x:v>
      </x:c>
    </x:row>
    <x:row r="560">
      <x:c r="A560" t="str">
        <x:v>EV-2026-560</x:v>
      </x:c>
      <x:c r="B560"/>
      <x:c r="C560" s="21" t="d">
        <x:v>2026-10-21T13:46:46.000Z</x:v>
      </x:c>
      <x:c r="D560" t="str">
        <x:v>Cross-asset discovery screen</x:v>
      </x:c>
      <x:c r="E560" t="str">
        <x:v>Reuters / public market data</x:v>
      </x:c>
      <x:c r="F560" t="str">
        <x:v>Independent reporting and timestamped market data</x:v>
      </x:c>
      <x:c r="G560" s="44" t="str">
        <x:v>https://www.reuters.com/legal/transactional/nasdaq-futures-lead-gains-spacex-super-micro-results-lift-ai-trade-2026-10-21/</x:v>
      </x:c>
      <x:c r="H560" s="44" t="str">
        <x:v>Public-data coverage spanned major equity sectors, broad and sector ETFs, Treasury and high-yield instruments, gold and silver, crude and energy equities, earnings revisions, corporate actions, federal awards, policy and public Motley Fool ideas. Relative strength favored healthcare, financials, real estate and small caps while technology lagged early.</x:v>
      </x:c>
      <x:c r="I560" s="44" t="str">
        <x:v>Discovery context; no standalone thesis</x:v>
      </x:c>
      <x:c r="J560" s="44" t="n">
        <x:v>4</x:v>
      </x:c>
      <x:c r="K560" s="44" t="str">
        <x:v>Coverage was broad but not exhaustive. No proprietary flow, consolidated order book, paid research or complete insider-feed census was available.</x:v>
      </x:c>
    </x:row>
    <x:row r="561">
      <x:c r="A561" t="str">
        <x:v>EV-2026-561</x:v>
      </x:c>
      <x:c r="B561" t="str">
        <x:v>EEI-2026-022</x:v>
      </x:c>
      <x:c r="C561" s="21" t="d">
        <x:v>2026-10-21T13:46:46.000Z</x:v>
      </x:c>
      <x:c r="D561" t="str">
        <x:v>AT&amp;T Q3 primary validation</x:v>
      </x:c>
      <x:c r="E561" t="str">
        <x:v>AT&amp;T</x:v>
      </x:c>
      <x:c r="F561" t="str">
        <x:v>Primary issuer results</x:v>
      </x:c>
      <x:c r="G561" s="44" t="str">
        <x:v>https://about.att.com/story/2026/3q-earnings.html</x:v>
      </x:c>
      <x:c r="H561" s="44" t="str">
        <x:v>Q3 revenue was $32.3B, up 5.3%; adjusted EPS $0.65; adjusted EBITDA $12.5B, up 5.4%; operating cash flow $10.5B; free cash flow $5.0B; Advanced Connectivity service revenue up 6.1%; and subscriber additions included 442,000 fiber, 327,000 fixed wireless and 379,000 postpaid phones.</x:v>
      </x:c>
      <x:c r="I561" s="44" t="str">
        <x:v>Supports new Strong thesis</x:v>
      </x:c>
      <x:c r="J561" s="44" t="n">
        <x:v>5</x:v>
      </x:c>
      <x:c r="K561" s="44" t="str">
        <x:v>Net debt was $149.8B, total debt $159.6B, legacy revenue fell 24.5%, Mexico took a $2.6B impairment and leverage normalization is long dated.</x:v>
      </x:c>
    </x:row>
    <x:row r="562">
      <x:c r="A562" t="str">
        <x:v>EV-2026-562</x:v>
      </x:c>
      <x:c r="B562" t="str">
        <x:v>EEI-2026-022</x:v>
      </x:c>
      <x:c r="C562" s="21" t="d">
        <x:v>2026-10-21T13:46:46.000Z</x:v>
      </x:c>
      <x:c r="D562" t="str">
        <x:v>AT&amp;T independent confirmation and price decision</x:v>
      </x:c>
      <x:c r="E562" t="str">
        <x:v>Reuters / public market data</x:v>
      </x:c>
      <x:c r="F562" t="str">
        <x:v>Independent reporting and timestamped quote</x:v>
      </x:c>
      <x:c r="G562" s="44" t="str">
        <x:v>https://www.reuters.com/business/media-telecom/att-raises-annual-profit-forecast-strong-demand-bundled-plans-2026-10-21/</x:v>
      </x:c>
      <x:c r="H562" s="44" t="str">
        <x:v>Reuters confirmed revenue and EPS beats, stronger bundled-plan demand and raised adjusted-EPS guidance. T traded at $22.01 at 9:31 a.m. ET (15-minute-delayed public feed), range $21.64-$24.04. Decision: propose a $300 exploratory paper entry at market; do not chase above $23.50. No fill was recorded.</x:v>
      </x:c>
      <x:c r="I562" s="44" t="str">
        <x:v>ACTIONABLE NOW proposal; not a fill</x:v>
      </x:c>
      <x:c r="J562" s="44" t="n">
        <x:v>4</x:v>
      </x:c>
      <x:c r="K562" s="44" t="str">
        <x:v>The negative market response may reflect debt, capex and legacy-business risk. Portfolio capital and sizing rules remain unavailable, so a proposal cannot be counted as a position.</x:v>
      </x:c>
    </x:row>
    <x:row r="563">
      <x:c r="A563" t="str">
        <x:v>EV-2026-563</x:v>
      </x:c>
      <x:c r="B563"/>
      <x:c r="C563" s="21" t="d">
        <x:v>2026-10-21T13:46:46.000Z</x:v>
      </x:c>
      <x:c r="D563" t="str">
        <x:v>Super Micro preliminary-results candidate</x:v>
      </x:c>
      <x:c r="E563" t="str">
        <x:v>Super Micro Computer / SEC and Reuters</x:v>
      </x:c>
      <x:c r="F563" t="str">
        <x:v>Primary filing with independent confirmation</x:v>
      </x:c>
      <x:c r="G563" s="44" t="str">
        <x:v>https://www.sec.gov/Archives/edgar/data/1375365/000137536526000025/smcifirstquarterfy2027busi.htm</x:v>
      </x:c>
      <x:c r="H563" s="44" t="str">
        <x:v>Super Micro preliminarily raised fiscal-Q1 revenue to $18.5B-$19.5B from $14.5B-$15.5B and gross margin to 12.0%-12.5% from 10.4%-10.8%; SMCI traded near $36.77 at 9:31 a.m. ET (15-minute-delayed public feed). Decision: REJECT a fresh entry until audited November 3 results resolve profitability, cash conversion and accounting quality.</x:v>
      </x:c>
      <x:c r="I563" s="44" t="str">
        <x:v>Rejected fresh candidate</x:v>
      </x:c>
      <x:c r="J563" s="44" t="n">
        <x:v>5</x:v>
      </x:c>
      <x:c r="K563" s="44" t="str">
        <x:v>Figures are unaudited; the company remains under accounting scrutiny, recently changed CFO, and the initial repricing reduced near-term edge.</x:v>
      </x:c>
    </x:row>
    <x:row r="564">
      <x:c r="A564" t="str">
        <x:v>EV-2026-564</x:v>
      </x:c>
      <x:c r="B564"/>
      <x:c r="C564" s="21" t="d">
        <x:v>2026-10-21T13:46:46.000Z</x:v>
      </x:c>
      <x:c r="D564" t="str">
        <x:v>Elevance earnings candidate</x:v>
      </x:c>
      <x:c r="E564" t="str">
        <x:v>Reuters</x:v>
      </x:c>
      <x:c r="F564" t="str">
        <x:v>Independent market reporting</x:v>
      </x:c>
      <x:c r="G564" s="44" t="str">
        <x:v>https://www.reuters.com/business/healthcare-pharmaceuticals/elevance-lifts-2026-profit-forecast-better-medical-cost-management-2026-10-21/</x:v>
      </x:c>
      <x:c r="H564" s="44" t="str">
        <x:v>Elevance raised 2026 adjusted-EPS guidance to at least $29 and reported a 90.6% benefit-expense ratio; ELV traded near $446.79 at 9:31 a.m. ET (15-minute-delayed public feed). Decision: REJECT because membership fell by about 487,000 and the headline EPS included $1.85 of non-operating income.</x:v>
      </x:c>
      <x:c r="I564" s="44" t="str">
        <x:v>Rejected fresh candidate</x:v>
      </x:c>
      <x:c r="J564" s="44" t="n">
        <x:v>4</x:v>
      </x:c>
      <x:c r="K564" s="44" t="str">
        <x:v>The medical-cost result improved, but membership contraction and non-operating earnings reduce the quality of the apparent beat.</x:v>
      </x:c>
    </x:row>
    <x:row r="565">
      <x:c r="A565" t="str">
        <x:v>EV-2026-565</x:v>
      </x:c>
      <x:c r="B565"/>
      <x:c r="C565" s="21" t="d">
        <x:v>2026-10-21T13:46:46.000Z</x:v>
      </x:c>
      <x:c r="D565" t="str">
        <x:v>Netflix earnings and public-editorial trigger</x:v>
      </x:c>
      <x:c r="E565" t="str">
        <x:v>Reuters / The Motley Fool</x:v>
      </x:c>
      <x:c r="F565" t="str">
        <x:v>Independent reporting; free editorial trigger only</x:v>
      </x:c>
      <x:c r="G565" s="44" t="str">
        <x:v>https://www.reuters.com/business/media-telecom/netflix-issues-weak-fourth-quarter-forecast-company-seeks-kick-start-growth-2026-10-20/</x:v>
      </x:c>
      <x:c r="H565" s="44" t="str">
        <x:v>A public Motley Fool article called Netflix oversold, but Reuters reported weaker Q4 profit guidance, a reduced 2026 advertising-revenue forecast and U.S. subscriber losses; NFLX traded near $65.08 at 9:31 a.m. ET (15-minute-delayed public feed). Decision: REJECT. Motley Fool was not confirmation.</x:v>
      </x:c>
      <x:c r="I565" s="44" t="str">
        <x:v>Rejected fresh candidate</x:v>
      </x:c>
      <x:c r="J565" s="44" t="n">
        <x:v>4</x:v>
      </x:c>
      <x:c r="K565" s="44" t="str">
        <x:v>Q3 revenue grew 11.8%, but subscriber, advertising and forward-profit evidence contradicted the oversold thesis.</x:v>
      </x:c>
    </x:row>
    <x:row r="566">
      <x:c r="A566" t="str">
        <x:v>EV-2026-566</x:v>
      </x:c>
      <x:c r="B566"/>
      <x:c r="C566" s="21" t="d">
        <x:v>2026-10-21T13:46:46.000Z</x:v>
      </x:c>
      <x:c r="D566" t="str">
        <x:v>Abbott separation candidate</x:v>
      </x:c>
      <x:c r="E566" t="str">
        <x:v>Reuters</x:v>
      </x:c>
      <x:c r="F566" t="str">
        <x:v>Independent market reporting</x:v>
      </x:c>
      <x:c r="G566" s="44" t="str">
        <x:v>https://www.reuters.com/business/healthcare-pharmaceuticals/abbott-lowers-2026-sales-growth-forecast-medical-device-weakness-2026-10-21/</x:v>
      </x:c>
      <x:c r="H566" s="44" t="str">
        <x:v>Abbott proposed a nutrition-business separation by the end of 2027 but cut 2026 organic-sales growth guidance because of medical-device weakness. Decision: REJECT a new thesis pending transaction details and stabilization in the core device business.</x:v>
      </x:c>
      <x:c r="I566" s="44" t="str">
        <x:v>Rejected corporate-action candidate</x:v>
      </x:c>
      <x:c r="J566" s="44" t="n">
        <x:v>4</x:v>
      </x:c>
      <x:c r="K566" s="44" t="str">
        <x:v>A long-dated separation cannot offset an immediate operating-guide cut without clearer standalone economics.</x:v>
      </x:c>
    </x:row>
    <x:row r="567">
      <x:c r="A567" t="str">
        <x:v>EV-2026-567</x:v>
      </x:c>
      <x:c r="B567"/>
      <x:c r="C567" s="21" t="d">
        <x:v>2026-10-21T13:46:46.000Z</x:v>
      </x:c>
      <x:c r="D567" t="str">
        <x:v>L3Harris Navy contract screen</x:v>
      </x:c>
      <x:c r="E567" t="str">
        <x:v>L3Harris</x:v>
      </x:c>
      <x:c r="F567" t="str">
        <x:v>Primary issuer announcement</x:v>
      </x:c>
      <x:c r="G567" s="44" t="str">
        <x:v>https://www.l3harris.com/newsroom/press-release/2026/10/l3harris-advances-us-navy-next-generation-jammer-low-band-program</x:v>
      </x:c>
      <x:c r="H567" s="44" t="str">
        <x:v>L3Harris disclosed an $876.4M undefinitized Navy contract modification for the Next Generation Jammer Low Band engineering and manufacturing-development phase. Decision: REJECT a standalone entry because the action was previously signaled, funding and margin detail remain incomplete, and an undefinitized modification is not equivalent to a new fully funded award.</x:v>
      </x:c>
      <x:c r="I567" s="44" t="str">
        <x:v>Rejected award catalyst</x:v>
      </x:c>
      <x:c r="J567" s="44" t="n">
        <x:v>5</x:v>
      </x:c>
      <x:c r="K567" s="44" t="str">
        <x:v>The notice did not establish incremental obligation, competition terms, final economics or unexpected materiality relative to L3Harris revenue and backlog.</x:v>
      </x:c>
    </x:row>
    <x:row r="568">
      <x:c r="A568" t="str">
        <x:v>EV-2026-568</x:v>
      </x:c>
      <x:c r="B568"/>
      <x:c r="C568" s="21" t="d">
        <x:v>2026-10-21T13:46:46.000Z</x:v>
      </x:c>
      <x:c r="D568" t="str">
        <x:v>Federal-award channel screen</x:v>
      </x:c>
      <x:c r="E568" t="str">
        <x:v>U.S. Department of War / federal award records</x:v>
      </x:c>
      <x:c r="F568" t="str">
        <x:v>Primary government records and delayed award data</x:v>
      </x:c>
      <x:c r="G568" s="44" t="str">
        <x:v>https://www.war.gov/news/contracts/</x:v>
      </x:c>
      <x:c r="H568" s="44" t="str">
        <x:v>The October 20 public contract list included electricity-supply awards to Constellation NewEnergy, Direct Energy and WGL Energy whose individual values were not material to public parents. A separately surfaced $2.21B TOTE shipbuilding award was a July action posted with delay and involved a private recipient. No listed-equity thesis qualified.</x:v>
      </x:c>
      <x:c r="I568" s="44" t="str">
        <x:v>No public-equity thesis</x:v>
      </x:c>
      <x:c r="J568" s="44" t="n">
        <x:v>4</x:v>
      </x:c>
      <x:c r="K568" s="44" t="str">
        <x:v>The current award page was intermittently inaccessible, and delayed feeds can surface old actions as new. Obligations, NAICS/PSC and parent-level materiality were incomplete for some records.</x:v>
      </x:c>
    </x:row>
    <x:row r="569">
      <x:c r="A569" t="str">
        <x:v>EV-2026-569</x:v>
      </x:c>
      <x:c r="B569"/>
      <x:c r="C569" s="21" t="d">
        <x:v>2026-10-21T13:46:46.000Z</x:v>
      </x:c>
      <x:c r="D569" t="str">
        <x:v>Motley Fool public-idea screen</x:v>
      </x:c>
      <x:c r="E569" t="str">
        <x:v>The Motley Fool / John Ballard</x:v>
      </x:c>
      <x:c r="F569" t="str">
        <x:v>Free editorial trigger source only</x:v>
      </x:c>
      <x:c r="G569" s="44" t="str">
        <x:v>https://www.fool.com/investing/2026/10/21/2-brilliant-stocks-to-buy-now-and-hold-forever/</x:v>
      </x:c>
      <x:c r="H569" s="44" t="str">
        <x:v>A free October 21 editorial proposed Amazon and On Holding as long-duration buys. The article supplied no new independently material catalyst beyond existing growth narratives, so neither idea advanced to a thesis or paper action. Promotional framing was excluded and Motley Fool was not treated as confirmation.</x:v>
      </x:c>
      <x:c r="I569" s="44" t="str">
        <x:v>Rejected escalation</x:v>
      </x:c>
      <x:c r="J569" s="44" t="n">
        <x:v>3</x:v>
      </x:c>
      <x:c r="K569" s="44" t="str">
        <x:v>No paid-service pick was inferred. The article's broad long-horizon claims did not create a fresh, timestamped entry edge.</x:v>
      </x:c>
    </x:row>
  </x:sheetData>
  <x:mergeCells>
    <x:mergeCell ref="A2:K2"/>
  </x:mergeCells>
  <x:pageMargins left="0.7" right="0.7" top="0.75" bottom="0.75" header="0.3" footer="0.3"/>
  <x:tableParts count="1">
    <x:tablePart xmlns:r="http://schemas.openxmlformats.org/officeDocument/2006/relationships" r:id="Reb91faa69b9c4bee"/>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a923502dde9f46bc"/>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66.5</x:v>
      </x:c>
      <x:c r="K6" s="46" t="n">
        <x:f>I6*J6</x:f>
        <x:v>1162.3841985666843</x:v>
      </x:c>
      <x:c r="L6" s="46" t="n">
        <x:f>K6-H6</x:f>
        <x:v>162.3841985666843</x:v>
      </x:c>
      <x:c r="M6" s="48" t="n">
        <x:f>L6/H6</x:f>
        <x:v>0.1623841985666843</x:v>
      </x:c>
      <x:c r="N6" s="30"/>
      <x:c r="O6" s="32"/>
      <x:c r="P6" s="32" t="str">
        <x:f>IF(OR(I6="",O6=""),"",I6*O6)</x:f>
      </x:c>
      <x:c r="Q6" s="32" t="str">
        <x:f>IF(P6="","",P6-H6)</x:f>
      </x:c>
      <x:c r="R6" s="29" t="str">
        <x:v>10/21/26 regular-session mark at 9:31 a.m. ET (15-minute-delayed public feed): $66.50; position value $1162.38; return 16.24%. Historical WAIT label is not a live order. No transaction occurred.</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158.92</x:v>
      </x:c>
      <x:c r="K7" s="46" t="n">
        <x:f>I7*J7</x:f>
        <x:v>1099.0318118948824</x:v>
      </x:c>
      <x:c r="L7" s="46" t="n">
        <x:f>K7-H7</x:f>
        <x:v>99.03181189488237</x:v>
      </x:c>
      <x:c r="M7" s="48" t="n">
        <x:f>L7/H7</x:f>
        <x:v>0.09903181189488236</x:v>
      </x:c>
      <x:c r="N7" s="30"/>
      <x:c r="O7" s="32"/>
      <x:c r="P7" s="32" t="str">
        <x:f>IF(OR(I7="",O7=""),"",I7*O7)</x:f>
      </x:c>
      <x:c r="Q7" s="32" t="str">
        <x:f>IF(P7="","",P7-H7)</x:f>
      </x:c>
      <x:c r="R7" s="29" t="str">
        <x:v>10/21/26 regular-session mark at 9:31 a.m. ET (15-minute-delayed public feed): $158.92; position value $1099.03; return 9.90%. Historical WAIT label is not a live order. No transaction occurred.</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199.29</x:v>
      </x:c>
      <x:c r="K8" s="46" t="n">
        <x:f>I8*J8</x:f>
        <x:v>1028.115971935617</x:v>
      </x:c>
      <x:c r="L8" s="46" t="n">
        <x:f>K8-H8</x:f>
        <x:v>28.115971935616926</x:v>
      </x:c>
      <x:c r="M8" s="48" t="n">
        <x:f>L8/H8</x:f>
        <x:v>0.028115971935616928</x:v>
      </x:c>
      <x:c r="N8" s="30"/>
      <x:c r="O8" s="32"/>
      <x:c r="P8" s="32" t="str">
        <x:f>IF(OR(I8="",O8=""),"",I8*O8)</x:f>
      </x:c>
      <x:c r="Q8" s="32" t="str">
        <x:f>IF(P8="","",P8-H8)</x:f>
      </x:c>
      <x:c r="R8" s="29" t="str">
        <x:v>10/21/26 regular-session mark at 9:31 a.m. ET (15-minute-delayed public feed): $199.29; position value $1028.12; return 2.81%. Historical WAIT label is not a live order. No transaction occurred.</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910bee20202c46d9"/>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t="str">
        <x:v>RUN-2026-10-20-1706</x:v>
      </x:c>
      <x:c r="B63" s="28" t="d">
        <x:v>2026-10-20T21:06:27.000Z</x:v>
      </x:c>
      <x:c r="C63" s="27" t="str">
        <x:v>Easy E Invest daily scan — audit repair</x:v>
      </x:c>
      <x:c r="D63" s="29" t="str">
        <x:v>Audit repair from contemporaneously saved October 20 evidence and official-close paper-position marks. The original Scan Runs row was missing, so broader discovery counts and candidate-review detail are left blank rather than invented.</x:v>
      </x:c>
      <x:c r="E63" s="29" t="str">
        <x:v>StockAnalysis official-close data and Reuters energy reporting retained in Evidence Log EV-2026-555 through EV-2026-559.</x:v>
      </x:c>
      <x:c r="F63" s="29"/>
      <x:c r="G63" s="29"/>
      <x:c r="H63" s="29" t="n">
        <x:v>0</x:v>
      </x:c>
      <x:c r="I63" s="29" t="str">
        <x:v>No</x:v>
      </x:c>
      <x:c r="J63" s="29" t="str">
        <x:v>Recovered record: no new thesis, paper entry or portfolio transaction was present in the authoritative workbook. BNO, USO and XOP closed at $66.87, $160.61 and $200.05; the three fixed $1,000 paper positions were worth $3,311.61, up $311.61 (+10.39%) in total. The row documents only verifiable retained state.</x:v>
      </x:c>
    </x:row>
    <x:row r="64">
      <x:c r="A64" s="27" t="str">
        <x:v>RUN-2026-10-21-0940</x:v>
      </x:c>
      <x:c r="B64" s="28" t="d">
        <x:v>2026-10-21T13:46:46.000Z</x:v>
      </x:c>
      <x:c r="C64" s="27" t="str">
        <x:v>Easy E Invest daily scan — broad discovery and live-price decision</x:v>
      </x:c>
      <x:c r="D64" s="29" t="str">
        <x:v>More than two thirds of research effort was allocated outside the existing watchlist. Public-data coverage included all major equity sectors through sector ETFs and earnings/mover screens; broad ETFs; Treasury and high-yield instruments; gold, silver, crude and energy equities; earnings revisions; valuation dislocations; corporate actions; government awards and policy; and public Motley Fool editorials. Deep comparisons focused on AT&amp;T, Super Micro, Elevance, Netflix, Abbott and L3Harris.</x:v>
      </x:c>
      <x:c r="E64" s="29" t="str">
        <x:v>AT&amp;T and Super Micro primary records; Reuters; L3Harris issuer materials; U.S. Department of War contract records; public ETF and timestamped market data; and free Motley Fool editorials. No proprietary-flow feed, consolidated order book, paid research, complete real-time insider census or portfolio-capital rule was available; coverage was broad but not exhaustive.</x:v>
      </x:c>
      <x:c r="F64" s="29" t="n">
        <x:v>38</x:v>
      </x:c>
      <x:c r="G64" s="29" t="n">
        <x:v>10</x:v>
      </x:c>
      <x:c r="H64" s="29" t="n">
        <x:v>0</x:v>
      </x:c>
      <x:c r="I64" s="29" t="str">
        <x:v>Yes</x:v>
      </x:c>
      <x:c r="J64" s="29" t="str">
        <x:v>Opened EEI-2026-022 Strong at confidence 4/5 and edge 3/5. Proposed a $300 exploratory paper entry in T at $22.01, with a $23.50 no-chase ceiling, daily-close invalidation below $21.50 and November 21 review. This is not a fill or position because capital and sizing rules are unavailable. SMCI, ELV, NFLX, ABT and LHX were rejected with explicit reasons. Actual positions remain BNO, USO and XOP only; at 9:31 a.m. ET (15-minute-delayed public feed) their verified value was $3289.53, up $289.53 (9.65%) on $3,000, versus SPY 0.22% from the September 8 open, a 9.43 percentage-point relative return. Day change versus October 20 close was -0.67%. No real trade was recommended or executed.</x:v>
      </x:c>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365ae3ca9f684ddc"/>
  </x:tableParts>
</x:worksheet>
</file>