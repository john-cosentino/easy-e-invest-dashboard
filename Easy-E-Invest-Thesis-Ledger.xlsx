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b08df914704ae5" /></Relationships>
</file>

<file path=xl/workbook.xml><?xml version="1.0" encoding="utf-8"?>
<x:workbook xmlns:x="http://schemas.openxmlformats.org/spreadsheetml/2006/main">
  <x:sheets>
    <x:sheet xmlns:r="http://schemas.openxmlformats.org/officeDocument/2006/relationships" name="Summary" sheetId="1" r:id="R83c312c135f64a93"/>
    <x:sheet xmlns:r="http://schemas.openxmlformats.org/officeDocument/2006/relationships" name="Thesis Ledger" sheetId="2" r:id="R2b5bd22967eb44f5"/>
    <x:sheet xmlns:r="http://schemas.openxmlformats.org/officeDocument/2006/relationships" name="Evidence Log" sheetId="3" r:id="R7e7e6f04ce364b45"/>
    <x:sheet xmlns:r="http://schemas.openxmlformats.org/officeDocument/2006/relationships" name="Source Registry" sheetId="4" r:id="R5b1ad4c60c7a4fe7"/>
    <x:sheet xmlns:r="http://schemas.openxmlformats.org/officeDocument/2006/relationships" name="Paper Trades" sheetId="5" r:id="Ra6e4e13b93cc455c"/>
    <x:sheet xmlns:r="http://schemas.openxmlformats.org/officeDocument/2006/relationships" name="Scan Runs" sheetId="6" r:id="R34035a9292e6488e"/>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e37649671c4765" /><Relationship Type="http://schemas.openxmlformats.org/officeDocument/2006/relationships/theme" Target="/xl/theme/theme1.xml" Id="Rdef7de10a9a04efc" /><Relationship Type="http://schemas.openxmlformats.org/officeDocument/2006/relationships/sharedStrings" Target="/xl/sharedStrings.xml" Id="R3d2c817dccc8403f" /><Relationship Type="http://schemas.openxmlformats.org/officeDocument/2006/relationships/worksheet" Target="/xl/worksheets/sheet1.xml" Id="R83c312c135f64a93" /><Relationship Type="http://schemas.openxmlformats.org/officeDocument/2006/relationships/worksheet" Target="/xl/worksheets/sheet2.xml" Id="R2b5bd22967eb44f5" /><Relationship Type="http://schemas.openxmlformats.org/officeDocument/2006/relationships/worksheet" Target="/xl/worksheets/sheet3.xml" Id="R7e7e6f04ce364b45" /><Relationship Type="http://schemas.openxmlformats.org/officeDocument/2006/relationships/worksheet" Target="/xl/worksheets/sheet4.xml" Id="R5b1ad4c60c7a4fe7" /><Relationship Type="http://schemas.openxmlformats.org/officeDocument/2006/relationships/worksheet" Target="/xl/worksheets/sheet5.xml" Id="Ra6e4e13b93cc455c" /><Relationship Type="http://schemas.openxmlformats.org/officeDocument/2006/relationships/worksheet" Target="/xl/worksheets/sheet6.xml" Id="R34035a9292e6488e"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31a94fa8b884a04" /></Relationships>
</file>

<file path=xl/worksheets/_rels/sheet3.xml.rels>&#65279;<?xml version="1.0" encoding="utf-8"?><Relationships xmlns="http://schemas.openxmlformats.org/package/2006/relationships"><Relationship Type="http://schemas.openxmlformats.org/officeDocument/2006/relationships/table" Target="/xl/tables/table2.xml" Id="R61629386e3c34556" /></Relationships>
</file>

<file path=xl/worksheets/_rels/sheet4.xml.rels>&#65279;<?xml version="1.0" encoding="utf-8"?><Relationships xmlns="http://schemas.openxmlformats.org/package/2006/relationships"><Relationship Type="http://schemas.openxmlformats.org/officeDocument/2006/relationships/table" Target="/xl/tables/table3.xml" Id="R12fec15a25754000" /></Relationships>
</file>

<file path=xl/worksheets/_rels/sheet5.xml.rels>&#65279;<?xml version="1.0" encoding="utf-8"?><Relationships xmlns="http://schemas.openxmlformats.org/package/2006/relationships"><Relationship Type="http://schemas.openxmlformats.org/officeDocument/2006/relationships/table" Target="/xl/tables/table4.xml" Id="R19bfe0158f2d4ed1" /></Relationships>
</file>

<file path=xl/worksheets/_rels/sheet6.xml.rels>&#65279;<?xml version="1.0" encoding="utf-8"?><Relationships xmlns="http://schemas.openxmlformats.org/package/2006/relationships"><Relationship Type="http://schemas.openxmlformats.org/officeDocument/2006/relationships/table" Target="/xl/tables/table5.xml" Id="R0897e74538c94645"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21</x:v>
      </x:c>
      <x:c r="C6" s="1"/>
      <x:c r="D6" s="1"/>
      <x:c r="E6" s="1"/>
      <x:c r="F6" s="1"/>
      <x:c r="G6" s="1"/>
      <x:c r="H6" s="1"/>
      <x:c r="I6" s="1"/>
      <x:c r="J6" s="1"/>
    </x:row>
    <x:row r="7">
      <x:c r="A7" s="1" t="str">
        <x:v>Open theses</x:v>
      </x:c>
      <x:c r="B7" s="40" t="n">
        <x:f>COUNTIFS('Thesis Ledger'!A6:A200,"&lt;&gt;",'Thesis Ledger'!F6:F200,"&lt;&gt;Closed",'Thesis Ledger'!F6:F200,"&lt;&gt;Invalidated")</x:f>
        <x:v>19</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PROPOSED $365 / 2026-10-23</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At 8:59 a.m. ET on October 16, TRV was indicated at $371.30, down 3.28% from the verified October 15 close of $383.89. The decline provides a testable setup but not an executable fill; the source did not provide a bid/ask spread.</x:v>
      </x:c>
      <x:c r="T26" s="29" t="str">
        <x:v>PROPOSED PENDING PAPER ORDER only: $500 notional TRV limit at $365, expiring October 23, 2026. Do not count as a position. A fill requires regular-session time-and-sales evidence at or below $365, adequate liquidity and captured spread/costs. The ledger has no available-capital or sizing rule, so activation remains operationally blocked.</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46318</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x:v>
      </x:c>
      <x:c r="AE26" s="31" t="str">
        <x:f>IF(COUNTIF(Y26:AC26,"&lt;&gt;")=0,"",COUNTIF(Y26:AC26,"Yes")/COUNTA(Y26:AC26))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b31a94fa8b884a04"/>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sheetData>
  <x:mergeCells>
    <x:mergeCell ref="A2:K2"/>
  </x:mergeCells>
  <x:pageMargins left="0.7" right="0.7" top="0.75" bottom="0.75" header="0.3" footer="0.3"/>
  <x:tableParts count="1">
    <x:tablePart xmlns:r="http://schemas.openxmlformats.org/officeDocument/2006/relationships" r:id="R61629386e3c34556"/>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12fec15a25754000"/>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64.87</x:v>
      </x:c>
      <x:c r="K6" s="46" t="n">
        <x:f>I6*J6</x:f>
        <x:v>1133.8926761055761</x:v>
      </x:c>
      <x:c r="L6" s="46" t="n">
        <x:f>K6-H6</x:f>
        <x:v>133.89267610557613</x:v>
      </x:c>
      <x:c r="M6" s="48" t="n">
        <x:f>L6/H6</x:f>
        <x:v>0.13389267610557612</x:v>
      </x:c>
      <x:c r="N6" s="30"/>
      <x:c r="O6" s="32"/>
      <x:c r="P6" s="32" t="str">
        <x:f>IF(OR(I6="",O6=""),"",I6*O6)</x:f>
      </x:c>
      <x:c r="Q6" s="32" t="str">
        <x:f>IF(P6="","",P6-H6)</x:f>
      </x:c>
      <x:c r="R6" s="29" t="str">
        <x:v>10/15/26 close: $64.87; position value $1,133.89; +$133.89 (+13.39%). BNO fell 0.30% as Brent settled nearly flat at $105.92. Shipping attacks and documented Gulf infrastructure damage preserved the risk premium, while possible sanctions relief and emergency stock releases limited upside.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157.31</x:v>
      </x:c>
      <x:c r="K7" s="46" t="n">
        <x:f>I7*J7</x:f>
        <x:v>1087.8976486860304</x:v>
      </x:c>
      <x:c r="L7" s="46" t="n">
        <x:f>K7-H7</x:f>
        <x:v>87.89764868603038</x:v>
      </x:c>
      <x:c r="M7" s="48" t="n">
        <x:f>L7/H7</x:f>
        <x:v>0.08789764868603038</x:v>
      </x:c>
      <x:c r="N7" s="30"/>
      <x:c r="O7" s="32"/>
      <x:c r="P7" s="32" t="str">
        <x:f>IF(OR(I7="",O7=""),"",I7*O7)</x:f>
      </x:c>
      <x:c r="Q7" s="32" t="str">
        <x:f>IF(P7="","",P7-H7)</x:f>
      </x:c>
      <x:c r="R7" s="29" t="str">
        <x:v>10/15/26 close: $157.31; position value $1,087.90; +$87.90 (+8.79%). USO gained 2.44% as WTI settled at $97.97 after an 8.6-million-barrel U.S. crude inventory draw. It remains profitable but below BNO's cumulative return.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194.89</x:v>
      </x:c>
      <x:c r="K8" s="46" t="n">
        <x:f>I8*J8</x:f>
        <x:v>1005.4168386297977</x:v>
      </x:c>
      <x:c r="L8" s="46" t="n">
        <x:f>K8-H8</x:f>
        <x:v>5.416838629797667</x:v>
      </x:c>
      <x:c r="M8" s="48" t="n">
        <x:f>L8/H8</x:f>
        <x:v>0.0054168386297976665</x:v>
      </x:c>
      <x:c r="N8" s="30"/>
      <x:c r="O8" s="32"/>
      <x:c r="P8" s="32" t="str">
        <x:f>IF(OR(I8="",O8=""),"",I8*O8)</x:f>
      </x:c>
      <x:c r="Q8" s="32" t="str">
        <x:f>IF(P8="","",P8-H8)</x:f>
      </x:c>
      <x:c r="R8" s="29" t="str">
        <x:v>10/15/26 close: $194.89; position value $1,005.42; +$5.42 (+0.54%). XOP fell 1.49% despite the WTI rally and remains the weakest expression, showing that producer equities did not track the crude move cleanly.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19bfe0158f2d4ed1"/>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0897e74538c94645"/>
  </x:tableParts>
</x:worksheet>
</file>