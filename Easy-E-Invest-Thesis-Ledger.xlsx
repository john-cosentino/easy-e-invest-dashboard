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c8f569b36eb4b63" /></Relationships>
</file>

<file path=xl/workbook.xml><?xml version="1.0" encoding="utf-8"?>
<x:workbook xmlns:x="http://schemas.openxmlformats.org/spreadsheetml/2006/main">
  <x:sheets>
    <x:sheet xmlns:r="http://schemas.openxmlformats.org/officeDocument/2006/relationships" name="Summary" sheetId="1" r:id="Rfccf58e0a5754907"/>
    <x:sheet xmlns:r="http://schemas.openxmlformats.org/officeDocument/2006/relationships" name="Thesis Ledger" sheetId="2" r:id="R0d56404516e34231"/>
    <x:sheet xmlns:r="http://schemas.openxmlformats.org/officeDocument/2006/relationships" name="Evidence Log" sheetId="3" r:id="Rf6e99e3653d44edd"/>
    <x:sheet xmlns:r="http://schemas.openxmlformats.org/officeDocument/2006/relationships" name="Source Registry" sheetId="4" r:id="R3a3a239a32b7478e"/>
    <x:sheet xmlns:r="http://schemas.openxmlformats.org/officeDocument/2006/relationships" name="Paper Trades" sheetId="5" r:id="Rb01b4ab895d74d31"/>
    <x:sheet xmlns:r="http://schemas.openxmlformats.org/officeDocument/2006/relationships" name="Scan Runs" sheetId="6" r:id="R946ccfe0e1284fe0"/>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511cb69c91340da" /><Relationship Type="http://schemas.openxmlformats.org/officeDocument/2006/relationships/theme" Target="/xl/theme/theme1.xml" Id="R90a4e9fa06034956" /><Relationship Type="http://schemas.openxmlformats.org/officeDocument/2006/relationships/sharedStrings" Target="/xl/sharedStrings.xml" Id="R751ff2e4e8ce43a8" /><Relationship Type="http://schemas.openxmlformats.org/officeDocument/2006/relationships/worksheet" Target="/xl/worksheets/sheet1.xml" Id="Rfccf58e0a5754907" /><Relationship Type="http://schemas.openxmlformats.org/officeDocument/2006/relationships/worksheet" Target="/xl/worksheets/sheet2.xml" Id="R0d56404516e34231" /><Relationship Type="http://schemas.openxmlformats.org/officeDocument/2006/relationships/worksheet" Target="/xl/worksheets/sheet3.xml" Id="Rf6e99e3653d44edd" /><Relationship Type="http://schemas.openxmlformats.org/officeDocument/2006/relationships/worksheet" Target="/xl/worksheets/sheet4.xml" Id="R3a3a239a32b7478e" /><Relationship Type="http://schemas.openxmlformats.org/officeDocument/2006/relationships/worksheet" Target="/xl/worksheets/sheet5.xml" Id="Rb01b4ab895d74d31" /><Relationship Type="http://schemas.openxmlformats.org/officeDocument/2006/relationships/worksheet" Target="/xl/worksheets/sheet6.xml" Id="R946ccfe0e1284fe0"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dc137159b2445e8" /></Relationships>
</file>

<file path=xl/worksheets/_rels/sheet3.xml.rels>&#65279;<?xml version="1.0" encoding="utf-8"?><Relationships xmlns="http://schemas.openxmlformats.org/package/2006/relationships"><Relationship Type="http://schemas.openxmlformats.org/officeDocument/2006/relationships/table" Target="/xl/tables/table2.xml" Id="R497c2fd903124529" /></Relationships>
</file>

<file path=xl/worksheets/_rels/sheet4.xml.rels>&#65279;<?xml version="1.0" encoding="utf-8"?><Relationships xmlns="http://schemas.openxmlformats.org/package/2006/relationships"><Relationship Type="http://schemas.openxmlformats.org/officeDocument/2006/relationships/table" Target="/xl/tables/table3.xml" Id="R862cbe3d133e4d74" /></Relationships>
</file>

<file path=xl/worksheets/_rels/sheet5.xml.rels>&#65279;<?xml version="1.0" encoding="utf-8"?><Relationships xmlns="http://schemas.openxmlformats.org/package/2006/relationships"><Relationship Type="http://schemas.openxmlformats.org/officeDocument/2006/relationships/table" Target="/xl/tables/table4.xml" Id="R290d691bbfd34228" /></Relationships>
</file>

<file path=xl/worksheets/_rels/sheet6.xml.rels>&#65279;<?xml version="1.0" encoding="utf-8"?><Relationships xmlns="http://schemas.openxmlformats.org/package/2006/relationships"><Relationship Type="http://schemas.openxmlformats.org/officeDocument/2006/relationships/table" Target="/xl/tables/table5.xml" Id="Rb73c353ffe2447f0"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18</x:v>
      </x:c>
      <x:c r="C6" s="1"/>
      <x:c r="D6" s="1"/>
      <x:c r="E6" s="1"/>
      <x:c r="F6" s="1"/>
      <x:c r="G6" s="1"/>
      <x:c r="H6" s="1"/>
      <x:c r="I6" s="1"/>
      <x:c r="J6" s="1"/>
    </x:row>
    <x:row r="7">
      <x:c r="A7" s="1" t="str">
        <x:v>Open theses</x:v>
      </x:c>
      <x:c r="B7" s="40" t="n">
        <x:f>COUNTIFS('Thesis Ledger'!A6:A200,"&lt;&gt;",'Thesis Ledger'!F6:F200,"&lt;&gt;Closed",'Thesis Ledger'!F6:F200,"&lt;&gt;Invalidated")</x:f>
        <x:v>16</x:v>
      </x:c>
      <x:c r="C7" s="1"/>
      <x:c r="D7" s="1"/>
      <x:c r="E7" s="1"/>
      <x:c r="F7" s="1"/>
      <x:c r="G7" s="1"/>
      <x:c r="H7" s="1"/>
      <x:c r="I7" s="1"/>
      <x:c r="J7" s="1"/>
    </x:row>
    <x:row r="8">
      <x:c r="A8" s="1" t="str">
        <x:v>Evaluated theses</x:v>
      </x:c>
      <x:c r="B8" s="40" t="n">
        <x:f>COUNT('Thesis Ledger'!AE6:AE200)</x:f>
        <x:v>3</x:v>
      </x:c>
      <x:c r="C8" s="1"/>
      <x:c r="D8" s="1"/>
      <x:c r="E8" s="1"/>
      <x:c r="F8" s="1"/>
      <x:c r="G8" s="1"/>
      <x:c r="H8" s="1"/>
      <x:c r="I8" s="1"/>
      <x:c r="J8" s="1"/>
    </x:row>
    <x:row r="9">
      <x:c r="A9" s="1" t="str">
        <x:v>Average prediction score</x:v>
      </x:c>
      <x:c r="B9" s="55" t="n">
        <x:f>IFERROR(AVERAGE('Thesis Ledger'!AE6:AE200),"")</x:f>
        <x:v>0.8666666666666667</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46310</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46310</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WAIT</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x:v>
      </x:c>
      <x:c r="T8" s="29" t="str">
        <x:v>Conditional only: RSP versus SPY remains the central breadth test. The widened Senate path improves the political case, but the investable case remains WAIT until rates and oil stabilize and equal-weight, small-cap and cyclical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2026-10-08T12:00:00.000Z</x:v>
      </x:c>
      <x:c r="X16" s="43"/>
      <x:c r="Y16" s="29"/>
      <x:c r="Z16" s="29"/>
      <x:c r="AA16" s="29"/>
      <x:c r="AB16" s="29"/>
      <x:c r="AC16" s="29"/>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x:v>
      </x:c>
      <x:c r="AE16" s="31" t="str">
        <x:f>IF(COUNTA(Y16:AC16)=0,"",COUNTIF(Y16:AC16,"Yes")/COUNTA(Y16:AC16))</x:f>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4dc137159b2445e8"/>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497c2fd903124529"/>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862cbe3d133e4d74"/>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61.93</x:v>
      </x:c>
      <x:c r="K6" s="46" t="n">
        <x:f>I6*J6</x:f>
        <x:v>1082.5030589057858</x:v>
      </x:c>
      <x:c r="L6" s="46" t="n">
        <x:f>K6-H6</x:f>
        <x:v>82.50305890578579</x:v>
      </x:c>
      <x:c r="M6" s="48" t="n">
        <x:f>L6/H6</x:f>
        <x:v>0.0825030589057858</x:v>
      </x:c>
      <x:c r="N6" s="30"/>
      <x:c r="O6" s="32"/>
      <x:c r="P6" s="32" t="str">
        <x:f>IF(OR(I6="",O6=""),"",I6*O6)</x:f>
      </x:c>
      <x:c r="Q6" s="32" t="str">
        <x:f>IF(P6="","",P6-H6)</x:f>
      </x:c>
      <x:c r="R6" s="29" t="str">
        <x:v>10/06/26 close: $61.93; position value $1,082.50; +$82.50 (+8.25%). BNO gained 0.78%. Brent settled at $100.58 as higher Middle East exports, East-West pipeline flows and a planned G7 emergency release offset continuing regional attack and shipping risks.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144.91</x:v>
      </x:c>
      <x:c r="K7" s="46" t="n">
        <x:f>I7*J7</x:f>
        <x:v>1002.1438450899032</x:v>
      </x:c>
      <x:c r="L7" s="46" t="n">
        <x:f>K7-H7</x:f>
        <x:v>2.1438450899031523</x:v>
      </x:c>
      <x:c r="M7" s="48" t="n">
        <x:f>L7/H7</x:f>
        <x:v>0.0021438450899031523</x:v>
      </x:c>
      <x:c r="N7" s="30"/>
      <x:c r="O7" s="32"/>
      <x:c r="P7" s="32" t="str">
        <x:f>IF(OR(I7="",O7=""),"",I7*O7)</x:f>
      </x:c>
      <x:c r="Q7" s="32" t="str">
        <x:f>IF(P7="","",P7-H7)</x:f>
      </x:c>
      <x:c r="R7" s="29" t="str">
        <x:v>10/06/26 close: $144.91; position value $1,002.14; +$2.14 (+0.21%). USO gained 0.64% and moved slightly above entry; WTI settled at $89.44. Improved crude flows continue to weaken the extended-hold scarcity case, while conflict and infrastructure risks preserve a residual premium.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188.46</x:v>
      </x:c>
      <x:c r="K8" s="46" t="n">
        <x:f>I8*J8</x:f>
        <x:v>972.2451506397028</x:v>
      </x:c>
      <x:c r="L8" s="46" t="n">
        <x:f>K8-H8</x:f>
        <x:v>-27.754849360297158</x:v>
      </x:c>
      <x:c r="M8" s="48" t="n">
        <x:f>L8/H8</x:f>
        <x:v>-0.02775484936029716</x:v>
      </x:c>
      <x:c r="N8" s="30"/>
      <x:c r="O8" s="32"/>
      <x:c r="P8" s="32" t="str">
        <x:f>IF(OR(I8="",O8=""),"",I8*O8)</x:f>
      </x:c>
      <x:c r="Q8" s="32" t="str">
        <x:f>IF(P8="","",P8-H8)</x:f>
      </x:c>
      <x:c r="R8" s="29" t="str">
        <x:v>10/06/26 close: $188.46; position value $972.25; -$27.75 (-2.78%). XOP gained 0.54% but remains the weakest cumulative expression and below entry. The producer-equity proxy still trails direct Brent exposure despite today's broad rebound.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290d691bbfd34228"/>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b73c353ffe2447f0"/>
  </x:tableParts>
</x:worksheet>
</file>