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3a3384dda094215" /></Relationships>
</file>

<file path=xl/workbook.xml><?xml version="1.0" encoding="utf-8"?>
<x:workbook xmlns:x="http://schemas.openxmlformats.org/spreadsheetml/2006/main">
  <x:sheets>
    <x:sheet xmlns:r="http://schemas.openxmlformats.org/officeDocument/2006/relationships" name="Summary" sheetId="1" r:id="R046b1cf508c04d15"/>
    <x:sheet xmlns:r="http://schemas.openxmlformats.org/officeDocument/2006/relationships" name="Thesis Ledger" sheetId="2" r:id="R140dec53a64c480d"/>
    <x:sheet xmlns:r="http://schemas.openxmlformats.org/officeDocument/2006/relationships" name="Evidence Log" sheetId="3" r:id="R245de7b1754e47d2"/>
    <x:sheet xmlns:r="http://schemas.openxmlformats.org/officeDocument/2006/relationships" name="Source Registry" sheetId="4" r:id="R3563f0c813664167"/>
    <x:sheet xmlns:r="http://schemas.openxmlformats.org/officeDocument/2006/relationships" name="Paper Trades" sheetId="5" r:id="R1ca539d896194f45"/>
    <x:sheet xmlns:r="http://schemas.openxmlformats.org/officeDocument/2006/relationships" name="Scan Runs" sheetId="6" r:id="R8dcb0d1aa9fa49e4"/>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9fb835f2eab4746" /><Relationship Type="http://schemas.openxmlformats.org/officeDocument/2006/relationships/theme" Target="/xl/theme/theme1.xml" Id="R4be57072f5ce4b2b" /><Relationship Type="http://schemas.openxmlformats.org/officeDocument/2006/relationships/sharedStrings" Target="/xl/sharedStrings.xml" Id="R28fb2ef53cdd430d" /><Relationship Type="http://schemas.openxmlformats.org/officeDocument/2006/relationships/worksheet" Target="/xl/worksheets/sheet1.xml" Id="R046b1cf508c04d15" /><Relationship Type="http://schemas.openxmlformats.org/officeDocument/2006/relationships/worksheet" Target="/xl/worksheets/sheet2.xml" Id="R140dec53a64c480d" /><Relationship Type="http://schemas.openxmlformats.org/officeDocument/2006/relationships/worksheet" Target="/xl/worksheets/sheet3.xml" Id="R245de7b1754e47d2" /><Relationship Type="http://schemas.openxmlformats.org/officeDocument/2006/relationships/worksheet" Target="/xl/worksheets/sheet4.xml" Id="R3563f0c813664167" /><Relationship Type="http://schemas.openxmlformats.org/officeDocument/2006/relationships/worksheet" Target="/xl/worksheets/sheet5.xml" Id="R1ca539d896194f45" /><Relationship Type="http://schemas.openxmlformats.org/officeDocument/2006/relationships/worksheet" Target="/xl/worksheets/sheet6.xml" Id="R8dcb0d1aa9fa49e4"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bc1723050f14471" /></Relationships>
</file>

<file path=xl/worksheets/_rels/sheet3.xml.rels>&#65279;<?xml version="1.0" encoding="utf-8"?><Relationships xmlns="http://schemas.openxmlformats.org/package/2006/relationships"><Relationship Type="http://schemas.openxmlformats.org/officeDocument/2006/relationships/table" Target="/xl/tables/table2.xml" Id="R09af1bddd51e4ca6" /></Relationships>
</file>

<file path=xl/worksheets/_rels/sheet4.xml.rels>&#65279;<?xml version="1.0" encoding="utf-8"?><Relationships xmlns="http://schemas.openxmlformats.org/package/2006/relationships"><Relationship Type="http://schemas.openxmlformats.org/officeDocument/2006/relationships/table" Target="/xl/tables/table3.xml" Id="Rfd79b10ebeb44d7c" /></Relationships>
</file>

<file path=xl/worksheets/_rels/sheet5.xml.rels>&#65279;<?xml version="1.0" encoding="utf-8"?><Relationships xmlns="http://schemas.openxmlformats.org/package/2006/relationships"><Relationship Type="http://schemas.openxmlformats.org/officeDocument/2006/relationships/table" Target="/xl/tables/table4.xml" Id="R371dc8655be9437f" /></Relationships>
</file>

<file path=xl/worksheets/_rels/sheet6.xml.rels>&#65279;<?xml version="1.0" encoding="utf-8"?><Relationships xmlns="http://schemas.openxmlformats.org/package/2006/relationships"><Relationship Type="http://schemas.openxmlformats.org/officeDocument/2006/relationships/table" Target="/xl/tables/table5.xml" Id="R4b7e8ca1123c453e"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Reuters/Ipsos national poll published September 21 showed registered voters preferring Democratic congressional candidates 43% to 35%, the widest Democratic lead in this poll during 2026, while presidential approval fell to 32%. Cost of living remained the dominant issue.</x:v>
      </x:c>
      <x:c r="O8" s="29" t="str">
        <x:v>Expected changes in fiscal, regulatory and sector policy could alter risk appetite and relative performance.</x:v>
      </x:c>
      <x:c r="P8" s="29" t="str">
        <x:v>The Reuters/Ipsos poll provides a meaningful national-direction signal: Democrats held an eight-point generic-ballot advantage among registered voters, presidential approval reached a record low for the survey and only 17% approved of the handling of cost of living. These observations support the possibility of a political shift and policy uncertainty into the election.</x:v>
      </x:c>
      <x:c r="Q8" s="29" t="str">
        <x:v>A national generic-ballot poll does not map directly to individual House districts or Senate races and does not establish control of either chamber. The September 23 market check still showed weak small-cap and biotech breadth and a 10-year Treasury yield above 5%. No new U.S. cash-market session was available by the September 24 scan time.</x:v>
      </x:c>
      <x:c r="R8" s="29"/>
      <x:c r="S8" s="29" t="str">
        <x:v>No new U.S. cash-market session was available by 8:25 a.m. ET on September 24. The latest completed check remained mixed to weak: RSP fell slightly less than SPY, but IWM, XBI, copper and broad materials weakened while the 10-year Treasury yield returned above 5%. Polling changed the political outlook, not the market-confirmation test.</x:v>
      </x:c>
      <x:c r="T8" s="29" t="str">
        <x:v>No automatic entry. RSP versus SPY remains the central breadth test; IWM, XLI, XLF, XLV/XBI and rates must confirm. The poll can condition future sector work but is not itself a trade signal. Entry Window remains WAIT and inactive until the thesis becomes Actionable.</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September 24 added a meaningful national election-outlook signal: Reuters/Ipsos showed a 43%-35% Democratic generic-ballot lead and record-low presidential approval. The evidence does not resolve district-level House outcomes, state-specific Senate contests or the investable market mechanism. Stage remains Developing, confidence 3/5, trading edge 1/5 and Entry Window WAIT inactive until Actionable. Next check: credible district and Senate polling, control probabilities, RSP-versus-SPY breadth, rates, inflation and volatility.</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Physical confirmation strengthened. Serbia announced an emergency diesel-reserve release; low Danube water limited barges to roughly 30%-40% of normal capacity and sharply reduced planned fuel imports. European diesel futures remained near all-time highs, and U.S. distillate stocks fell 428,000 barrels to 107.4 million. Disrupted Middle East and Russian product flows remain the core support.</x:v>
      </x:c>
      <x:c r="Q14" s="29" t="str">
        <x:v>The White House denied that a 90-day U.S. diesel-export ban was being prepared, removing one immediate policy shock. U.S. crude inventories rose about 3 million barrels. Saudi bypass-pipeline restoration, diplomacy and longer-run Russian Vostok Oil supply can improve crude availability, while demand destruction, substitution and refinery operating constraints can cap investable margins.</x:v>
      </x:c>
      <x:c r="R14" s="29"/>
      <x:c r="S14" s="29" t="str">
        <x:v>The underlying commodity signal strengthened before the U.S. cash-market open: Reuters reported Brent up about 2.36% to $105.51 and WTI up 1.89% to $93.90, with European diesel futures near all-time highs. The prior session showed a roughly 5% diesel-futures reversal around conflicting export-ban headlines, confirming scarcity but also severe policy and headline volatility.</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Serbia's state-reserve release and sharply impaired Danube imports add direct physical and government-response confirmation to global diesel scarcity. Near-record European diesel and falling U.S. distillate stocks support the economic variable, while the White House export-ban denial and normalization options reduce the incremental policy shock. Stage remains Actionable, confidence 5/5, trading edge 1/5 and Entry Window WAIT. Prices are extended and headline-sensitive; require an orderly retracement or consolidation with inventories, exports and physical cracks still confirming. Invalidate on sustained normalization in exports, inventories, logistics and cracks.</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fbc1723050f14471"/>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09af1bddd51e4ca6"/>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fd79b10ebeb44d7c"/>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60.36</x:v>
      </x:c>
      <x:c r="K6" s="46" t="n">
        <x:f>I6*J6</x:f>
        <x:v>1055.0603041426325</x:v>
      </x:c>
      <x:c r="L6" s="46" t="n">
        <x:f>K6-H6</x:f>
        <x:v>55.0603041426325</x:v>
      </x:c>
      <x:c r="M6" s="48" t="n">
        <x:f>L6/H6</x:f>
        <x:v>0.0550603041426325</x:v>
      </x:c>
      <x:c r="N6" s="30"/>
      <x:c r="O6" s="32"/>
      <x:c r="P6" s="32" t="str">
        <x:f>IF(OR(I6="",O6=""),"",I6*O6)</x:f>
      </x:c>
      <x:c r="Q6" s="32" t="str">
        <x:f>IF(P6="","",P6-H6)</x:f>
      </x:c>
      <x:c r="R6" s="29" t="str">
        <x:v>09/23/26 close: $60.36; position value $1,055.06; +$55.06 (+5.51%). BNO rebounded 4.23% for the session and is again the strongest paper position, consistent with its ranking as the cleanest Brent-linked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148.89</x:v>
      </x:c>
      <x:c r="K7" s="46" t="n">
        <x:f>I7*J7</x:f>
        <x:v>1029.668049792531</x:v>
      </x:c>
      <x:c r="L7" s="46" t="n">
        <x:f>K7-H7</x:f>
        <x:v>29.668049792531065</x:v>
      </x:c>
      <x:c r="M7" s="48" t="n">
        <x:f>L7/H7</x:f>
        <x:v>0.029668049792531064</x:v>
      </x:c>
      <x:c r="N7" s="30"/>
      <x:c r="O7" s="32"/>
      <x:c r="P7" s="32" t="str">
        <x:f>IF(OR(I7="",O7=""),"",I7*O7)</x:f>
      </x:c>
      <x:c r="Q7" s="32" t="str">
        <x:f>IF(P7="","",P7-H7)</x:f>
      </x:c>
      <x:c r="R7" s="29" t="str">
        <x:v>09/23/26 close: $148.89; position value $1,029.67; +$29.67 (+2.97%). USO rebounded 3.34% and moved back above entry, confirming that direct crude exposure remains more responsive than producer equities.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183.04</x:v>
      </x:c>
      <x:c r="K8" s="46" t="n">
        <x:f>I8*J8</x:f>
        <x:v>944.28394552208</x:v>
      </x:c>
      <x:c r="L8" s="46" t="n">
        <x:f>K8-H8</x:f>
        <x:v>-55.71605447792001</x:v>
      </x:c>
      <x:c r="M8" s="48" t="n">
        <x:f>L8/H8</x:f>
        <x:v>-0.05571605447792001</x:v>
      </x:c>
      <x:c r="N8" s="30"/>
      <x:c r="O8" s="32"/>
      <x:c r="P8" s="32" t="str">
        <x:f>IF(OR(I8="",O8=""),"",I8*O8)</x:f>
      </x:c>
      <x:c r="Q8" s="32" t="str">
        <x:f>IF(P8="","",P8-H8)</x:f>
      </x:c>
      <x:c r="R8" s="29" t="str">
        <x:v>09/23/26 close: $183.04; position value $944.28; -$55.72 (-5.57%). XOP gained 0.79% for the session but remains the weakest expression and materially trails both direct crude funds.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371dc8655be9437f"/>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4b7e8ca1123c453e"/>
  </x:tableParts>
</x:worksheet>
</file>