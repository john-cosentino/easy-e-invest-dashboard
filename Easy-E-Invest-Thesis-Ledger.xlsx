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bca981f27614799" /></Relationships>
</file>

<file path=xl/workbook.xml><?xml version="1.0" encoding="utf-8"?>
<x:workbook xmlns:x="http://schemas.openxmlformats.org/spreadsheetml/2006/main">
  <x:sheets>
    <x:sheet xmlns:r="http://schemas.openxmlformats.org/officeDocument/2006/relationships" name="Summary" sheetId="1" r:id="R21d2064707574235"/>
    <x:sheet xmlns:r="http://schemas.openxmlformats.org/officeDocument/2006/relationships" name="Thesis Ledger" sheetId="2" r:id="R99029fd4f3574d03"/>
    <x:sheet xmlns:r="http://schemas.openxmlformats.org/officeDocument/2006/relationships" name="Evidence Log" sheetId="3" r:id="R6ac8a9dce9104bdc"/>
    <x:sheet xmlns:r="http://schemas.openxmlformats.org/officeDocument/2006/relationships" name="Source Registry" sheetId="4" r:id="Rbbf71466db274104"/>
    <x:sheet xmlns:r="http://schemas.openxmlformats.org/officeDocument/2006/relationships" name="Paper Trades" sheetId="5" r:id="Rc1729c7d63dc4656"/>
    <x:sheet xmlns:r="http://schemas.openxmlformats.org/officeDocument/2006/relationships" name="Scan Runs" sheetId="6" r:id="R9df6bb6d598e4a2b"/>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5fe4b6f3db499c" /><Relationship Type="http://schemas.openxmlformats.org/officeDocument/2006/relationships/theme" Target="/xl/theme/theme1.xml" Id="Rccd79b9ccede4062" /><Relationship Type="http://schemas.openxmlformats.org/officeDocument/2006/relationships/sharedStrings" Target="/xl/sharedStrings.xml" Id="R2b92f52ce9624c16" /><Relationship Type="http://schemas.openxmlformats.org/officeDocument/2006/relationships/worksheet" Target="/xl/worksheets/sheet1.xml" Id="R21d2064707574235" /><Relationship Type="http://schemas.openxmlformats.org/officeDocument/2006/relationships/worksheet" Target="/xl/worksheets/sheet2.xml" Id="R99029fd4f3574d03" /><Relationship Type="http://schemas.openxmlformats.org/officeDocument/2006/relationships/worksheet" Target="/xl/worksheets/sheet3.xml" Id="R6ac8a9dce9104bdc" /><Relationship Type="http://schemas.openxmlformats.org/officeDocument/2006/relationships/worksheet" Target="/xl/worksheets/sheet4.xml" Id="Rbbf71466db274104" /><Relationship Type="http://schemas.openxmlformats.org/officeDocument/2006/relationships/worksheet" Target="/xl/worksheets/sheet5.xml" Id="Rc1729c7d63dc4656" /><Relationship Type="http://schemas.openxmlformats.org/officeDocument/2006/relationships/worksheet" Target="/xl/worksheets/sheet6.xml" Id="R9df6bb6d598e4a2b"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7827eb2b591493b" /></Relationships>
</file>

<file path=xl/worksheets/_rels/sheet3.xml.rels>&#65279;<?xml version="1.0" encoding="utf-8"?><Relationships xmlns="http://schemas.openxmlformats.org/package/2006/relationships"><Relationship Type="http://schemas.openxmlformats.org/officeDocument/2006/relationships/table" Target="/xl/tables/table2.xml" Id="R4a47272ebe75435c" /></Relationships>
</file>

<file path=xl/worksheets/_rels/sheet4.xml.rels>&#65279;<?xml version="1.0" encoding="utf-8"?><Relationships xmlns="http://schemas.openxmlformats.org/package/2006/relationships"><Relationship Type="http://schemas.openxmlformats.org/officeDocument/2006/relationships/table" Target="/xl/tables/table3.xml" Id="R06412c9a1ed44fe3" /></Relationships>
</file>

<file path=xl/worksheets/_rels/sheet5.xml.rels>&#65279;<?xml version="1.0" encoding="utf-8"?><Relationships xmlns="http://schemas.openxmlformats.org/package/2006/relationships"><Relationship Type="http://schemas.openxmlformats.org/officeDocument/2006/relationships/table" Target="/xl/tables/table4.xml" Id="Re6efe8df99334354" /></Relationships>
</file>

<file path=xl/worksheets/_rels/sheet6.xml.rels>&#65279;<?xml version="1.0" encoding="utf-8"?><Relationships xmlns="http://schemas.openxmlformats.org/package/2006/relationships"><Relationship Type="http://schemas.openxmlformats.org/officeDocument/2006/relationships/table" Target="/xl/tables/table5.xml" Id="Rcbf74a71e588414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Cook Political Report shifted 15 House races toward Democrats on September 25 and now says Republicans are on track to lose the House majority; it separately rates Senate control a true toss-up. This independently reinforces the Reuters/Ipsos national signal and competitive-state polling without treating a forecast as an election result.</x:v>
      </x:c>
      <x:c r="O8" s="29" t="str">
        <x:v>Expected changes in fiscal, regulatory and sector policy could alter risk appetite and relative performance.</x:v>
      </x:c>
      <x:c r="P8" s="29" t="str">
        <x:v>Cook's nonpartisan district ratings provide a second independent line of evidence: 15 House ratings moved Democratic-ward and its analysts now expect a House flip, while the Senate remains unresolved. Reuters/Ipsos still showed a 43%-35% Democratic generic-ballot lead, and prior state polling kept several Senate contests competitive.</x:v>
      </x:c>
      <x:c r="Q8" s="29" t="str">
        <x:v>Race ratings and polling are not votes; turnout, candidate quality, district geography and late events can still reverse control. Cook calls the Senate a toss-up rather than a Democratic lean. Market confirmation is incomplete: equal-weight and small-cap indexes lagged SPY on September 25, XBI fell, and elevated oil, yields and inflation risk can suppress the expected breadth rotation.</x:v>
      </x:c>
      <x:c r="R8" s="29"/>
      <x:c r="S8" s="29" t="str">
        <x:v>September 25 close: SPY +0.53%, RSP +0.40%, IWM +0.11%, XLI +0.94%, XLB +0.22%, XBI -0.67%, XLF +0.52% and CPER -0.02%. Industrials led, but the equal-weight and small-cap lag and biotech weakness do not yet confirm a broad post-gridlock rotation.</x:v>
      </x:c>
      <x:c r="T8" s="29" t="str">
        <x:v>Conditional only: XLI is the clearest relative-strength expression; monitor RSP versus SPY and IWM for breadth confirmation. Do not chase election headlines. WAIT until the political evidence remains intact and market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Promoted to Strong, confidence 4/5 on 2026-09-26 after Cook's 15 House rating shifts and explicit House-majority call independently confirmed the national and state polling signal. Trading edge remains 1/5 and Entry Window remains WAIT because the Senate is unresolved and breadth confirmation is incomplete.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 On September 28 Brent rose 3.82% to $108.30 and WTI rose 3.81% to $95.93 after the United States rejected Iran's peace proposal. Capital Economics said the market remained in deficit despite improving Hormuz flows.</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 Middle East crude exports rebounded to 12.8 million barrels per day in September, the highest since the war began, as Saudi Arabia and the UAE raised shipments; U.S.-Iran talks were expected to continue. This improves crude availability but does not resolve the separate refined-product shortage.</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 September 28 premarket confirmation strengthened the scarcity signal but weakened entry quality: Brent and WTI each rose about 3.8% on rejected peace terms, reinforcing headline sensitivity and the WAIT classification.</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 September 28 review: the economic thesis remains supported, but higher crude exports and continued talks are credible normalization modifiers. Stage remains Actionable, confidence 5/5, trading edge 1/5 and Entry Window WAIT.</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 Middle East crude exports rebounded to 12.8 million barrels per day in September, the highest since the war began, as Saudi Arabia and the UAE raised shipments through improving Hormuz flows. This can reduce the disruption premium even if higher volumes temporarily absorb tanker capacity.</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 September 28 crude gains confirmed renewed geopolitical risk, but no fresh verified VLCC-rate or listed-tanker cash-flow evidence established a better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 September 28 review: export recovery and ongoing diplomacy increase normalization risk, while the freight mechanism remains plausible. Stage stays Strong, confidence 4/5, trading edge 1/5 and Entry Window WAIT.</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97827eb2b591493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4a47272ebe75435c"/>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06412c9a1ed44fe3"/>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59.65</x:v>
      </x:c>
      <x:c r="K6" s="46" t="n">
        <x:f>I6*J6</x:f>
        <x:v>1042.6498863834995</x:v>
      </x:c>
      <x:c r="L6" s="46" t="n">
        <x:f>K6-H6</x:f>
        <x:v>42.649886383499506</x:v>
      </x:c>
      <x:c r="M6" s="48" t="n">
        <x:f>L6/H6</x:f>
        <x:v>0.04264988638349951</x:v>
      </x:c>
      <x:c r="N6" s="30"/>
      <x:c r="O6" s="32"/>
      <x:c r="P6" s="32" t="str">
        <x:f>IF(OR(I6="",O6=""),"",I6*O6)</x:f>
      </x:c>
      <x:c r="Q6" s="32" t="str">
        <x:f>IF(P6="","",P6-H6)</x:f>
      </x:c>
      <x:c r="R6" s="29" t="str">
        <x:v>09/25/26 close: $59.65; position value $1,042.65; +$42.65 (+4.26%). BNO fell sharply for the session but remains the strongest position and the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148.39</x:v>
      </x:c>
      <x:c r="K7" s="46" t="n">
        <x:f>I7*J7</x:f>
        <x:v>1026.210235131397</x:v>
      </x:c>
      <x:c r="L7" s="46" t="n">
        <x:f>K7-H7</x:f>
        <x:v>26.210235131396985</x:v>
      </x:c>
      <x:c r="M7" s="48" t="n">
        <x:f>L7/H7</x:f>
        <x:v>0.026210235131396985</x:v>
      </x:c>
      <x:c r="N7" s="30"/>
      <x:c r="O7" s="32"/>
      <x:c r="P7" s="32" t="str">
        <x:f>IF(OR(I7="",O7=""),"",I7*O7)</x:f>
      </x:c>
      <x:c r="Q7" s="32" t="str">
        <x:f>IF(P7="","",P7-H7)</x:f>
      </x:c>
      <x:c r="R7" s="29" t="str">
        <x:v>09/25/26 close: $148.39; position value $1,026.21; +$26.21 (+2.62%). USO remains profitable, but today's decline nearly erased the extended-hold cushion. Direct crude exposure still outperforms XOP.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181.5</x:v>
      </x:c>
      <x:c r="K8" s="46" t="n">
        <x:f>I8*J8</x:f>
        <x:v>936.3392488650433</x:v>
      </x:c>
      <x:c r="L8" s="46" t="n">
        <x:f>K8-H8</x:f>
        <x:v>-63.66075113495674</x:v>
      </x:c>
      <x:c r="M8" s="48" t="n">
        <x:f>L8/H8</x:f>
        <x:v>-0.06366075113495674</x:v>
      </x:c>
      <x:c r="N8" s="30"/>
      <x:c r="O8" s="32"/>
      <x:c r="P8" s="32" t="str">
        <x:f>IF(OR(I8="",O8=""),"",I8*O8)</x:f>
      </x:c>
      <x:c r="Q8" s="32" t="str">
        <x:f>IF(P8="","",P8-H8)</x:f>
      </x:c>
      <x:c r="R8" s="29" t="str">
        <x:v>09/25/26 close: $181.50; position value $936.34; -$63.66 (-6.37%). XOP remains the weakest expression and materially trails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e6efe8df9933435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cbf74a71e5884147"/>
  </x:tableParts>
</x:worksheet>
</file>