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afbdc87fe8c435e" /></Relationships>
</file>

<file path=xl/workbook.xml><?xml version="1.0" encoding="utf-8"?>
<x:workbook xmlns:x="http://schemas.openxmlformats.org/spreadsheetml/2006/main">
  <x:sheets>
    <x:sheet xmlns:r="http://schemas.openxmlformats.org/officeDocument/2006/relationships" name="Summary" sheetId="1" r:id="R8fb3efbce5074aed"/>
    <x:sheet xmlns:r="http://schemas.openxmlformats.org/officeDocument/2006/relationships" name="Thesis Ledger" sheetId="2" r:id="R418d4f52da8f4f46"/>
    <x:sheet xmlns:r="http://schemas.openxmlformats.org/officeDocument/2006/relationships" name="Evidence Log" sheetId="3" r:id="R99733951fead4685"/>
    <x:sheet xmlns:r="http://schemas.openxmlformats.org/officeDocument/2006/relationships" name="Source Registry" sheetId="4" r:id="Rf6da73259c2e4bc8"/>
    <x:sheet xmlns:r="http://schemas.openxmlformats.org/officeDocument/2006/relationships" name="Paper Trades" sheetId="5" r:id="R2e24fa140d37481b"/>
    <x:sheet xmlns:r="http://schemas.openxmlformats.org/officeDocument/2006/relationships" name="Scan Runs" sheetId="6" r:id="Rc910da2437094eed"/>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4e056d59e954805" /><Relationship Type="http://schemas.openxmlformats.org/officeDocument/2006/relationships/theme" Target="/xl/theme/theme1.xml" Id="R14bf62cbda784300" /><Relationship Type="http://schemas.openxmlformats.org/officeDocument/2006/relationships/sharedStrings" Target="/xl/sharedStrings.xml" Id="Rdd4458b5ae274acc" /><Relationship Type="http://schemas.openxmlformats.org/officeDocument/2006/relationships/worksheet" Target="/xl/worksheets/sheet1.xml" Id="R8fb3efbce5074aed" /><Relationship Type="http://schemas.openxmlformats.org/officeDocument/2006/relationships/worksheet" Target="/xl/worksheets/sheet2.xml" Id="R418d4f52da8f4f46" /><Relationship Type="http://schemas.openxmlformats.org/officeDocument/2006/relationships/worksheet" Target="/xl/worksheets/sheet3.xml" Id="R99733951fead4685" /><Relationship Type="http://schemas.openxmlformats.org/officeDocument/2006/relationships/worksheet" Target="/xl/worksheets/sheet4.xml" Id="Rf6da73259c2e4bc8" /><Relationship Type="http://schemas.openxmlformats.org/officeDocument/2006/relationships/worksheet" Target="/xl/worksheets/sheet5.xml" Id="R2e24fa140d37481b" /><Relationship Type="http://schemas.openxmlformats.org/officeDocument/2006/relationships/worksheet" Target="/xl/worksheets/sheet6.xml" Id="Rc910da2437094eed"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bb4c9d289954760" /></Relationships>
</file>

<file path=xl/worksheets/_rels/sheet3.xml.rels>&#65279;<?xml version="1.0" encoding="utf-8"?><Relationships xmlns="http://schemas.openxmlformats.org/package/2006/relationships"><Relationship Type="http://schemas.openxmlformats.org/officeDocument/2006/relationships/table" Target="/xl/tables/table2.xml" Id="R39023ef7604b4600" /></Relationships>
</file>

<file path=xl/worksheets/_rels/sheet4.xml.rels>&#65279;<?xml version="1.0" encoding="utf-8"?><Relationships xmlns="http://schemas.openxmlformats.org/package/2006/relationships"><Relationship Type="http://schemas.openxmlformats.org/officeDocument/2006/relationships/table" Target="/xl/tables/table3.xml" Id="Rb4e2d1a0789342dd" /></Relationships>
</file>

<file path=xl/worksheets/_rels/sheet5.xml.rels>&#65279;<?xml version="1.0" encoding="utf-8"?><Relationships xmlns="http://schemas.openxmlformats.org/package/2006/relationships"><Relationship Type="http://schemas.openxmlformats.org/officeDocument/2006/relationships/table" Target="/xl/tables/table4.xml" Id="R5f19af2f4dc04325" /></Relationships>
</file>

<file path=xl/worksheets/_rels/sheet6.xml.rels>&#65279;<?xml version="1.0" encoding="utf-8"?><Relationships xmlns="http://schemas.openxmlformats.org/package/2006/relationships"><Relationship Type="http://schemas.openxmlformats.org/officeDocument/2006/relationships/table" Target="/xl/tables/table5.xml" Id="R916ea2a377174ee5"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22</x:v>
      </x:c>
      <x:c r="C6" s="1"/>
      <x:c r="D6" s="1"/>
      <x:c r="E6" s="1"/>
      <x:c r="F6" s="1"/>
      <x:c r="G6" s="1"/>
      <x:c r="H6" s="1"/>
      <x:c r="I6" s="1"/>
      <x:c r="J6" s="1"/>
    </x:row>
    <x:row r="7">
      <x:c r="A7" s="1" t="str">
        <x:v>Open theses</x:v>
      </x:c>
      <x:c r="B7" s="40" t="n">
        <x:f>COUNTIFS('Thesis Ledger'!A6:A200,"&lt;&gt;",'Thesis Ledger'!F6:F200,"&lt;&gt;Closed",'Thesis Ledger'!F6:F200,"&lt;&gt;Invalidated")</x:f>
        <x:v>20</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n">
        <x:v>46321</x:v>
      </x:c>
      <x:c r="X26" s="43"/>
      <x:c r="Y26" s="29"/>
      <x:c r="Z26" s="29"/>
      <x:c r="AA26" s="29"/>
      <x:c r="AB26" s="29"/>
      <x:c r="AC26" s="29"/>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str">
        <x:f>IF(COUNTIF(Y26:AC26,"&lt;&gt;")=0,"",COUNTIF(Y26:AC26,"Yes")/COUNTA(Y26:AC26))</x:f>
      </x:c>
    </x:row>
    <x:row r="27">
      <x:c r="A27" s="27" t="str">
        <x:v>EEI-2026-022</x:v>
      </x:c>
      <x:c r="B27" s="27" t="str">
        <x:v>AT&amp;T connectivity growth and valuation dislocation</x:v>
      </x:c>
      <x:c r="C27" s="27" t="str">
        <x:v>Communication services and telecom</x:v>
      </x:c>
      <x:c r="D27" s="30" t="d">
        <x:v>2026-10-21T13:46:46.000Z</x:v>
      </x:c>
      <x:c r="E27" s="30" t="d">
        <x:v>2026-10-21T13:46:46.000Z</x:v>
      </x:c>
      <x:c r="F27" s="27" t="str">
        <x:v>Developing</x:v>
      </x:c>
      <x:c r="G27" s="27" t="str">
        <x:v>Earnings, guidance and valuation dislocation</x:v>
      </x:c>
      <x:c r="H27" s="27" t="str">
        <x:v>Advanced Connectivity service revenue, subscribers, free cash flow and net leverage</x:v>
      </x:c>
      <x:c r="I27" s="27" t="str">
        <x:v>Up</x:v>
      </x:c>
      <x:c r="J27" s="27" t="str">
        <x:v>Six to eighteen months</x:v>
      </x:c>
      <x:c r="K27" s="27" t="n">
        <x:v>3</x:v>
      </x:c>
      <x:c r="L27" s="27" t="n">
        <x:v>2</x:v>
      </x:c>
      <x:c r="M27" s="27" t="str">
        <x:v>REJECT 2026-10-23</x:v>
      </x:c>
      <x:c r="N27" s="29" t="str">
        <x:v>AT&amp;T reported faster revenue, adjusted EPS, EBITDA and Advanced Connectivity growth, raised 2026 adjusted-EPS guidance to about $2.40 and reiterated at least $18B of free cash flow. The shares traded at $22.01 at 9:31 a.m. ET (15-minute-delayed public feed), within the precommitted $23.50 no-chase ceiling.</x:v>
      </x:c>
      <x:c r="O27" s="29" t="str">
        <x:v>Fiber, fixed wireless and postpaid subscriber additions should expand higher-quality connectivity revenue and cash generation. At the observed price, the equity is valued below ten times raised adjusted EPS and carries a meaningful dividend-plus-buyback yield before growth, providing potential rerating room if debt reduction and legacy-cost removal hold.</x:v>
      </x:c>
      <x:c r="P27" s="29" t="str">
        <x:v>AT&amp;T's primary Q3 release reported revenue of $32.3B, up 5.3%; adjusted EPS of $0.65; adjusted EBITDA of $12.5B, up 5.4%; operating cash flow of $10.5B; free cash flow of $5.0B; Advanced Connectivity service revenue up 6.1%; and 442,000 fiber, 327,000 fixed-wireless and 379,000 postpaid-phone net additions. Reuters independently confirmed the revenue and EPS beats and raised outlook.</x:v>
      </x:c>
      <x:c r="Q27" s="29" t="str">
        <x:v>Net debt remained $149.8B and total debt $159.6B; management does not expect to reach roughly 2.5 times leverage until 2029. Legacy revenue fell 24.5%, Mexico produced a $2.6B impairment, capital intensity remains high, and the initial market reaction was negative despite the beat. On October 22, Reuters reported that SpaceX was discussing access to at least 80,000 U.S. cell sites, potentially enabling a fourth nationwide carrier and creating a direct long-horizon contradiction to AT&amp;T's competitive-position assumptions.</x:v>
      </x:c>
      <x:c r="R27" s="29"/>
      <x:c r="S27" s="29" t="str">
        <x:v>AT&amp;T, Verizon and T-Mobile fell roughly 4.2%-5% in extended trading after the SpaceX report. The broad industry reaction confirms that investors viewed the potential entrant as material, but it was not a regular-session executable price and the underlying talks were unconfirmed by the named companies.</x:v>
      </x:c>
      <x:c r="T27" s="29" t="str">
        <x:v>T common equity. No paper position exists and the prior $300 proposal was never filled. Reject a current entry. Reopen only after a fresh regular-session quote and evidence that the reported site-access talks either fail to mature or do not impair AT&amp;T's subscriber economics; require continued Advanced Connectivity growth and no deterioration in free cash flow or leverage guidance.</x:v>
      </x:c>
      <x:c r="U27" s="29" t="str">
        <x:v>A daily close below $21.50; a cut to 2026 free-cash-flow or adjusted-EPS guidance; weakening Advanced Connectivity service growth or subscriber additions; or deterioration in the net-debt path.</x:v>
      </x:c>
      <x:c r="V27" s="43" t="str">
        <x:v>2026-10-21: Advanced Connectivity growth, subscriber additions and at least $18B of free cash flow should support per-share value over six to eighteen months if leverage trends down and legacy declines remain contained. Initial paper decision: proposed $300 exploratory market-price entry near $22.01; do not chase above $23.50. No fill without capital and sizing rules.</x:v>
      </x:c>
      <x:c r="W27" s="43" t="d">
        <x:v>2026-10-26T13:30:00.000Z</x:v>
      </x:c>
      <x:c r="X27" s="43"/>
      <x:c r="Y27" s="29"/>
      <x:c r="Z27" s="29"/>
      <x:c r="AA27" s="29"/>
      <x:c r="AB27" s="29"/>
      <x:c r="AC27" s="29"/>
      <x:c r="AD27" s="29" t="str">
        <x:v>Opened Strong at confidence 4/5 and trading edge 3/5. The October 21 ACTIONABLE NOW proposal was never a fill because capital and sizing rules were unavailable; its October 22 premarket watch expired unfilled. October 23 review: downgrade to Developing, confidence 3/5 and edge 2/5, and classify the current entry as REJECT after new reporting that SpaceX is seeking access to at least 80,000 U.S. sites for a possible fourth national carrier. The report is not a signed contract and a buildout could take years and more than $80B, so the economic thesis is weakened rather than invalidated. Paper Trades remains unchanged. No real trade is authorized.</x:v>
      </x:c>
      <x:c r="AE27" s="31" t="str">
        <x:f>IF(COUNTIF(Y27:AC27,"&lt;&gt;")=0,"",COUNTIF(Y27:AC27,"Yes")/COUNTA(Y27:AC27))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6bb4c9d289954760"/>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row r="555">
      <x:c r="A555" t="str">
        <x:v>EV-2026-550</x:v>
      </x:c>
      <x:c r="B555" t="str">
        <x:v>EEI-2026-001</x:v>
      </x:c>
      <x:c r="C555" s="21" t="d">
        <x:v>2026-10-19T21:05:33.000Z</x:v>
      </x:c>
      <x:c r="D555" t="str">
        <x:v>Paper-trade outcome</x:v>
      </x:c>
      <x:c r="E555" t="str">
        <x:v>StockAnalysis</x:v>
      </x:c>
      <x:c r="F555" t="str">
        <x:v>Market data</x:v>
      </x:c>
      <x:c r="G555" s="44" t="str">
        <x:v>https://stockanalysis.com/etf/bno/history/</x:v>
      </x:c>
      <x:c r="H555" s="44" t="str">
        <x:v>BNO closed October 19 at $67.12 versus the fixed September 8 opening entry of $57.21. The $1,000 fractional-share paper position was worth $1,173.22, a gain of $173.22 or 17.32%.</x:v>
      </x:c>
      <x:c r="I555" s="44" t="str">
        <x:v>Confirms direct Brent expression</x:v>
      </x:c>
      <x:c r="J555" s="44" t="n">
        <x:v>4</x:v>
      </x:c>
      <x:c r="K555" s="44" t="str">
        <x:v>Official regular-session close used; totals retain unrounded fractional shares.</x:v>
      </x:c>
    </x:row>
    <x:row r="556">
      <x:c r="A556" t="str">
        <x:v>EV-2026-551</x:v>
      </x:c>
      <x:c r="B556" t="str">
        <x:v>EEI-2026-001</x:v>
      </x:c>
      <x:c r="C556" s="21" t="d">
        <x:v>2026-10-19T21:05:33.000Z</x:v>
      </x:c>
      <x:c r="D556" t="str">
        <x:v>Paper-trade outcome</x:v>
      </x:c>
      <x:c r="E556" t="str">
        <x:v>StockAnalysis</x:v>
      </x:c>
      <x:c r="F556" t="str">
        <x:v>Market data</x:v>
      </x:c>
      <x:c r="G556" s="44" t="str">
        <x:v>https://stockanalysis.com/etf/uso/history/</x:v>
      </x:c>
      <x:c r="H556" s="44" t="str">
        <x:v>USO closed October 19 at $160.81 versus the fixed September 8 opening entry of $144.60. The $1,000 fractional-share paper position was worth $1,112.10, a gain of $112.10 or 11.21%.</x:v>
      </x:c>
      <x:c r="I556" s="44" t="str">
        <x:v>Confirms direct WTI expression</x:v>
      </x:c>
      <x:c r="J556" s="44" t="n">
        <x:v>4</x:v>
      </x:c>
      <x:c r="K556" s="44" t="str">
        <x:v>Official regular-session close used; the fund's futures exposure can diverge from a single expiring WTI contract.</x:v>
      </x:c>
    </x:row>
    <x:row r="557">
      <x:c r="A557" t="str">
        <x:v>EV-2026-552</x:v>
      </x:c>
      <x:c r="B557" t="str">
        <x:v>EEI-2026-001</x:v>
      </x:c>
      <x:c r="C557" s="21" t="d">
        <x:v>2026-10-19T21:05:33.000Z</x:v>
      </x:c>
      <x:c r="D557" t="str">
        <x:v>Paper-trade outcome</x:v>
      </x:c>
      <x:c r="E557" t="str">
        <x:v>StockAnalysis</x:v>
      </x:c>
      <x:c r="F557" t="str">
        <x:v>Market data</x:v>
      </x:c>
      <x:c r="G557" s="44" t="str">
        <x:v>https://stockanalysis.com/etf/xop/history/</x:v>
      </x:c>
      <x:c r="H557" s="44" t="str">
        <x:v>XOP closed October 19 at $199.47 versus the fixed September 8 opening entry of $193.84. The $1,000 fractional-share paper position was worth $1,029.04, a gain of $29.04 or 2.90%.</x:v>
      </x:c>
      <x:c r="I557" s="44" t="str">
        <x:v>Positive but still weakest expression</x:v>
      </x:c>
      <x:c r="J557" s="44" t="n">
        <x:v>4</x:v>
      </x:c>
      <x:c r="K557" s="44" t="str">
        <x:v>Official regular-session close used; the producer-equity ETF retains company and equity-market mapping risk.</x:v>
      </x:c>
    </x:row>
    <x:row r="558">
      <x:c r="A558" t="str">
        <x:v>EV-2026-553</x:v>
      </x:c>
      <x:c r="B558" t="str">
        <x:v>EEI-2026-001</x:v>
      </x:c>
      <x:c r="C558" s="21" t="d">
        <x:v>2026-10-19T21:05:33.000Z</x:v>
      </x:c>
      <x:c r="D558" t="str">
        <x:v>Market confirmation and counterweight</x:v>
      </x:c>
      <x:c r="E558" t="str">
        <x:v>Reuters / Kpler</x:v>
      </x:c>
      <x:c r="F558" t="str">
        <x:v>High-quality independent reporting and shipping data</x:v>
      </x:c>
      <x:c r="G558" s="44" t="str">
        <x:v>https://www.reuters.com/business/energy/oil-slips-trumps-sanction-waiver-may-lead-more-russian-fuel-supplies-2026-10-18/</x:v>
      </x:c>
      <x:c r="H558" s="44" t="str">
        <x:v>Brent settled October 19 at $109.55. The expiring WTI front month settled at $103.66, while the more liquid December contract fell to $98.54. Kpler estimated regional crude flows averaged about 8.5 million bpd last week, down from more than 20 million bpd the prior week, after at least 10 confirmed commercial-vessel incidents.</x:v>
      </x:c>
      <x:c r="I558" s="44" t="str">
        <x:v>Confirms physical disruption but shows price and contract divergence</x:v>
      </x:c>
      <x:c r="J558" s="44" t="n">
        <x:v>5</x:v>
      </x:c>
      <x:c r="K558" s="44" t="str">
        <x:v>Houthi claims of attacks on Saudi facilities were unverified. A partial U.S. waiver on Russian-energy sanctions and higher September OPEC output could add supply.</x:v>
      </x:c>
    </x:row>
    <x:row r="559">
      <x:c r="A559" t="str">
        <x:v>EV-2026-554</x:v>
      </x:c>
      <x:c r="B559" t="str">
        <x:v>EEI-2026-001</x:v>
      </x:c>
      <x:c r="C559" s="21" t="d">
        <x:v>2026-10-19T21:05:33.000Z</x:v>
      </x:c>
      <x:c r="D559" t="str">
        <x:v>Mechanism update</x:v>
      </x:c>
      <x:c r="E559" t="str">
        <x:v>Reuters analysis / Kpler / LSEG</x:v>
      </x:c>
      <x:c r="F559" t="str">
        <x:v>High-quality analysis citing shipping and market data</x:v>
      </x:c>
      <x:c r="G559" s="44" t="str">
        <x:v>https://www.reuters.com/commentary/reuters-open-interest/asian-refiners-pain-is-middle-east-oil-producers-problem-bousso-2026-10-19/</x:v>
      </x:c>
      <x:c r="H559" s="44" t="str">
        <x:v>September Middle East crude exports recovered to 15.4 million bpd, nearly 90% of prewar levels, and Hormuz flows reached 10.7 million bpd, about 75% of prewar levels. Yet freight and insurance reached as much as 30% of delivered crude cost; Nigeria-to-Singapore freight was about $32 per barrel, and estimated Asian net refining margin was only a little above $7 after freight.</x:v>
      </x:c>
      <x:c r="I559" s="44" t="str">
        <x:v>Mixed: invalidates a pure volume-shortage view but confirms severe logistics friction</x:v>
      </x:c>
      <x:c r="J559" s="44" t="n">
        <x:v>5</x:v>
      </x:c>
      <x:c r="K559" s="44" t="str">
        <x:v>The article is Reuters analysis rather than a primary dataset. Freight costs and producer discounts can change quickly with security conditions and negotiations.</x:v>
      </x:c>
    </x:row>
    <x:row r="560">
      <x:c r="A560" t="str">
        <x:v>EV-2026-560</x:v>
      </x:c>
      <x:c r="B560"/>
      <x:c r="C560" s="21" t="d">
        <x:v>2026-10-21T13:46:46.000Z</x:v>
      </x:c>
      <x:c r="D560" t="str">
        <x:v>Cross-asset discovery screen</x:v>
      </x:c>
      <x:c r="E560" t="str">
        <x:v>Reuters / public market data</x:v>
      </x:c>
      <x:c r="F560" t="str">
        <x:v>Independent reporting and timestamped market data</x:v>
      </x:c>
      <x:c r="G560" s="44" t="str">
        <x:v>https://www.reuters.com/legal/transactional/nasdaq-futures-lead-gains-spacex-super-micro-results-lift-ai-trade-2026-10-21/</x:v>
      </x:c>
      <x:c r="H560" s="44" t="str">
        <x:v>Public-data coverage spanned major equity sectors, broad and sector ETFs, Treasury and high-yield instruments, gold and silver, crude and energy equities, earnings revisions, corporate actions, federal awards, policy and public Motley Fool ideas. Relative strength favored healthcare, financials, real estate and small caps while technology lagged early.</x:v>
      </x:c>
      <x:c r="I560" s="44" t="str">
        <x:v>Discovery context; no standalone thesis</x:v>
      </x:c>
      <x:c r="J560" s="44" t="n">
        <x:v>4</x:v>
      </x:c>
      <x:c r="K560" s="44" t="str">
        <x:v>Coverage was broad but not exhaustive. No proprietary flow, consolidated order book, paid research or complete insider-feed census was available.</x:v>
      </x:c>
    </x:row>
    <x:row r="561">
      <x:c r="A561" t="str">
        <x:v>EV-2026-561</x:v>
      </x:c>
      <x:c r="B561" t="str">
        <x:v>EEI-2026-022</x:v>
      </x:c>
      <x:c r="C561" s="21" t="d">
        <x:v>2026-10-21T13:46:46.000Z</x:v>
      </x:c>
      <x:c r="D561" t="str">
        <x:v>AT&amp;T Q3 primary validation</x:v>
      </x:c>
      <x:c r="E561" t="str">
        <x:v>AT&amp;T</x:v>
      </x:c>
      <x:c r="F561" t="str">
        <x:v>Primary issuer results</x:v>
      </x:c>
      <x:c r="G561" s="44" t="str">
        <x:v>https://about.att.com/story/2026/3q-earnings.html</x:v>
      </x:c>
      <x:c r="H561" s="44" t="str">
        <x:v>Q3 revenue was $32.3B, up 5.3%; adjusted EPS $0.65; adjusted EBITDA $12.5B, up 5.4%; operating cash flow $10.5B; free cash flow $5.0B; Advanced Connectivity service revenue up 6.1%; and subscriber additions included 442,000 fiber, 327,000 fixed wireless and 379,000 postpaid phones.</x:v>
      </x:c>
      <x:c r="I561" s="44" t="str">
        <x:v>Supports new Strong thesis</x:v>
      </x:c>
      <x:c r="J561" s="44" t="n">
        <x:v>5</x:v>
      </x:c>
      <x:c r="K561" s="44" t="str">
        <x:v>Net debt was $149.8B, total debt $159.6B, legacy revenue fell 24.5%, Mexico took a $2.6B impairment and leverage normalization is long dated.</x:v>
      </x:c>
    </x:row>
    <x:row r="562">
      <x:c r="A562" t="str">
        <x:v>EV-2026-562</x:v>
      </x:c>
      <x:c r="B562" t="str">
        <x:v>EEI-2026-022</x:v>
      </x:c>
      <x:c r="C562" s="21" t="d">
        <x:v>2026-10-21T13:46:46.000Z</x:v>
      </x:c>
      <x:c r="D562" t="str">
        <x:v>AT&amp;T independent confirmation and price decision</x:v>
      </x:c>
      <x:c r="E562" t="str">
        <x:v>Reuters / public market data</x:v>
      </x:c>
      <x:c r="F562" t="str">
        <x:v>Independent reporting and timestamped quote</x:v>
      </x:c>
      <x:c r="G562" s="44" t="str">
        <x:v>https://www.reuters.com/business/media-telecom/att-raises-annual-profit-forecast-strong-demand-bundled-plans-2026-10-21/</x:v>
      </x:c>
      <x:c r="H562" s="44" t="str">
        <x:v>Reuters confirmed revenue and EPS beats, stronger bundled-plan demand and raised adjusted-EPS guidance. T traded at $22.01 at 9:31 a.m. ET (15-minute-delayed public feed), range $21.64-$24.04. Decision: propose a $300 exploratory paper entry at market; do not chase above $23.50. No fill was recorded.</x:v>
      </x:c>
      <x:c r="I562" s="44" t="str">
        <x:v>ACTIONABLE NOW proposal; not a fill</x:v>
      </x:c>
      <x:c r="J562" s="44" t="n">
        <x:v>4</x:v>
      </x:c>
      <x:c r="K562" s="44" t="str">
        <x:v>The negative market response may reflect debt, capex and legacy-business risk. Portfolio capital and sizing rules remain unavailable, so a proposal cannot be counted as a position.</x:v>
      </x:c>
    </x:row>
    <x:row r="563">
      <x:c r="A563" t="str">
        <x:v>EV-2026-563</x:v>
      </x:c>
      <x:c r="B563"/>
      <x:c r="C563" s="21" t="d">
        <x:v>2026-10-21T13:46:46.000Z</x:v>
      </x:c>
      <x:c r="D563" t="str">
        <x:v>Super Micro preliminary-results candidate</x:v>
      </x:c>
      <x:c r="E563" t="str">
        <x:v>Super Micro Computer / SEC and Reuters</x:v>
      </x:c>
      <x:c r="F563" t="str">
        <x:v>Primary filing with independent confirmation</x:v>
      </x:c>
      <x:c r="G563" s="44" t="str">
        <x:v>https://www.sec.gov/Archives/edgar/data/1375365/000137536526000025/smcifirstquarterfy2027busi.htm</x:v>
      </x:c>
      <x:c r="H563" s="44" t="str">
        <x:v>Super Micro preliminarily raised fiscal-Q1 revenue to $18.5B-$19.5B from $14.5B-$15.5B and gross margin to 12.0%-12.5% from 10.4%-10.8%; SMCI traded near $36.77 at 9:31 a.m. ET (15-minute-delayed public feed). Decision: REJECT a fresh entry until audited November 3 results resolve profitability, cash conversion and accounting quality.</x:v>
      </x:c>
      <x:c r="I563" s="44" t="str">
        <x:v>Rejected fresh candidate</x:v>
      </x:c>
      <x:c r="J563" s="44" t="n">
        <x:v>5</x:v>
      </x:c>
      <x:c r="K563" s="44" t="str">
        <x:v>Figures are unaudited; the company remains under accounting scrutiny, recently changed CFO, and the initial repricing reduced near-term edge.</x:v>
      </x:c>
    </x:row>
    <x:row r="564">
      <x:c r="A564" t="str">
        <x:v>EV-2026-564</x:v>
      </x:c>
      <x:c r="B564"/>
      <x:c r="C564" s="21" t="d">
        <x:v>2026-10-21T13:46:46.000Z</x:v>
      </x:c>
      <x:c r="D564" t="str">
        <x:v>Elevance earnings candidate</x:v>
      </x:c>
      <x:c r="E564" t="str">
        <x:v>Reuters</x:v>
      </x:c>
      <x:c r="F564" t="str">
        <x:v>Independent market reporting</x:v>
      </x:c>
      <x:c r="G564" s="44" t="str">
        <x:v>https://www.reuters.com/business/healthcare-pharmaceuticals/elevance-lifts-2026-profit-forecast-better-medical-cost-management-2026-10-21/</x:v>
      </x:c>
      <x:c r="H564" s="44" t="str">
        <x:v>Elevance raised 2026 adjusted-EPS guidance to at least $29 and reported a 90.6% benefit-expense ratio; ELV traded near $446.79 at 9:31 a.m. ET (15-minute-delayed public feed). Decision: REJECT because membership fell by about 487,000 and the headline EPS included $1.85 of non-operating income.</x:v>
      </x:c>
      <x:c r="I564" s="44" t="str">
        <x:v>Rejected fresh candidate</x:v>
      </x:c>
      <x:c r="J564" s="44" t="n">
        <x:v>4</x:v>
      </x:c>
      <x:c r="K564" s="44" t="str">
        <x:v>The medical-cost result improved, but membership contraction and non-operating earnings reduce the quality of the apparent beat.</x:v>
      </x:c>
    </x:row>
    <x:row r="565">
      <x:c r="A565" t="str">
        <x:v>EV-2026-565</x:v>
      </x:c>
      <x:c r="B565"/>
      <x:c r="C565" s="21" t="d">
        <x:v>2026-10-21T13:46:46.000Z</x:v>
      </x:c>
      <x:c r="D565" t="str">
        <x:v>Netflix earnings and public-editorial trigger</x:v>
      </x:c>
      <x:c r="E565" t="str">
        <x:v>Reuters / The Motley Fool</x:v>
      </x:c>
      <x:c r="F565" t="str">
        <x:v>Independent reporting; free editorial trigger only</x:v>
      </x:c>
      <x:c r="G565" s="44" t="str">
        <x:v>https://www.reuters.com/business/media-telecom/netflix-issues-weak-fourth-quarter-forecast-company-seeks-kick-start-growth-2026-10-20/</x:v>
      </x:c>
      <x:c r="H565" s="44" t="str">
        <x:v>A public Motley Fool article called Netflix oversold, but Reuters reported weaker Q4 profit guidance, a reduced 2026 advertising-revenue forecast and U.S. subscriber losses; NFLX traded near $65.08 at 9:31 a.m. ET (15-minute-delayed public feed). Decision: REJECT. Motley Fool was not confirmation.</x:v>
      </x:c>
      <x:c r="I565" s="44" t="str">
        <x:v>Rejected fresh candidate</x:v>
      </x:c>
      <x:c r="J565" s="44" t="n">
        <x:v>4</x:v>
      </x:c>
      <x:c r="K565" s="44" t="str">
        <x:v>Q3 revenue grew 11.8%, but subscriber, advertising and forward-profit evidence contradicted the oversold thesis.</x:v>
      </x:c>
    </x:row>
    <x:row r="566">
      <x:c r="A566" t="str">
        <x:v>EV-2026-566</x:v>
      </x:c>
      <x:c r="B566"/>
      <x:c r="C566" s="21" t="d">
        <x:v>2026-10-21T13:46:46.000Z</x:v>
      </x:c>
      <x:c r="D566" t="str">
        <x:v>Abbott separation candidate</x:v>
      </x:c>
      <x:c r="E566" t="str">
        <x:v>Reuters</x:v>
      </x:c>
      <x:c r="F566" t="str">
        <x:v>Independent market reporting</x:v>
      </x:c>
      <x:c r="G566" s="44" t="str">
        <x:v>https://www.reuters.com/business/healthcare-pharmaceuticals/abbott-lowers-2026-sales-growth-forecast-medical-device-weakness-2026-10-21/</x:v>
      </x:c>
      <x:c r="H566" s="44" t="str">
        <x:v>Abbott proposed a nutrition-business separation by the end of 2027 but cut 2026 organic-sales growth guidance because of medical-device weakness. Decision: REJECT a new thesis pending transaction details and stabilization in the core device business.</x:v>
      </x:c>
      <x:c r="I566" s="44" t="str">
        <x:v>Rejected corporate-action candidate</x:v>
      </x:c>
      <x:c r="J566" s="44" t="n">
        <x:v>4</x:v>
      </x:c>
      <x:c r="K566" s="44" t="str">
        <x:v>A long-dated separation cannot offset an immediate operating-guide cut without clearer standalone economics.</x:v>
      </x:c>
    </x:row>
    <x:row r="567">
      <x:c r="A567" t="str">
        <x:v>EV-2026-567</x:v>
      </x:c>
      <x:c r="B567"/>
      <x:c r="C567" s="21" t="d">
        <x:v>2026-10-21T13:46:46.000Z</x:v>
      </x:c>
      <x:c r="D567" t="str">
        <x:v>L3Harris Navy contract screen</x:v>
      </x:c>
      <x:c r="E567" t="str">
        <x:v>L3Harris</x:v>
      </x:c>
      <x:c r="F567" t="str">
        <x:v>Primary issuer announcement</x:v>
      </x:c>
      <x:c r="G567" s="44" t="str">
        <x:v>https://www.l3harris.com/newsroom/press-release/2026/10/l3harris-advances-us-navy-next-generation-jammer-low-band-program</x:v>
      </x:c>
      <x:c r="H567" s="44" t="str">
        <x:v>L3Harris disclosed an $876.4M undefinitized Navy contract modification for the Next Generation Jammer Low Band engineering and manufacturing-development phase. Decision: REJECT a standalone entry because the action was previously signaled, funding and margin detail remain incomplete, and an undefinitized modification is not equivalent to a new fully funded award.</x:v>
      </x:c>
      <x:c r="I567" s="44" t="str">
        <x:v>Rejected award catalyst</x:v>
      </x:c>
      <x:c r="J567" s="44" t="n">
        <x:v>5</x:v>
      </x:c>
      <x:c r="K567" s="44" t="str">
        <x:v>The notice did not establish incremental obligation, competition terms, final economics or unexpected materiality relative to L3Harris revenue and backlog.</x:v>
      </x:c>
    </x:row>
    <x:row r="568">
      <x:c r="A568" t="str">
        <x:v>EV-2026-568</x:v>
      </x:c>
      <x:c r="B568"/>
      <x:c r="C568" s="21" t="d">
        <x:v>2026-10-21T13:46:46.000Z</x:v>
      </x:c>
      <x:c r="D568" t="str">
        <x:v>Federal-award channel screen</x:v>
      </x:c>
      <x:c r="E568" t="str">
        <x:v>U.S. Department of War / federal award records</x:v>
      </x:c>
      <x:c r="F568" t="str">
        <x:v>Primary government records and delayed award data</x:v>
      </x:c>
      <x:c r="G568" s="44" t="str">
        <x:v>https://www.war.gov/news/contracts/</x:v>
      </x:c>
      <x:c r="H568" s="44" t="str">
        <x:v>The October 20 public contract list included electricity-supply awards to Constellation NewEnergy, Direct Energy and WGL Energy whose individual values were not material to public parents. A separately surfaced $2.21B TOTE shipbuilding award was a July action posted with delay and involved a private recipient. No listed-equity thesis qualified.</x:v>
      </x:c>
      <x:c r="I568" s="44" t="str">
        <x:v>No public-equity thesis</x:v>
      </x:c>
      <x:c r="J568" s="44" t="n">
        <x:v>4</x:v>
      </x:c>
      <x:c r="K568" s="44" t="str">
        <x:v>The current award page was intermittently inaccessible, and delayed feeds can surface old actions as new. Obligations, NAICS/PSC and parent-level materiality were incomplete for some records.</x:v>
      </x:c>
    </x:row>
    <x:row r="569">
      <x:c r="A569" t="str">
        <x:v>EV-2026-569</x:v>
      </x:c>
      <x:c r="B569"/>
      <x:c r="C569" s="21" t="d">
        <x:v>2026-10-21T13:46:46.000Z</x:v>
      </x:c>
      <x:c r="D569" t="str">
        <x:v>Motley Fool public-idea screen</x:v>
      </x:c>
      <x:c r="E569" t="str">
        <x:v>The Motley Fool / John Ballard</x:v>
      </x:c>
      <x:c r="F569" t="str">
        <x:v>Free editorial trigger source only</x:v>
      </x:c>
      <x:c r="G569" s="44" t="str">
        <x:v>https://www.fool.com/investing/2026/10/21/2-brilliant-stocks-to-buy-now-and-hold-forever/</x:v>
      </x:c>
      <x:c r="H569" s="44" t="str">
        <x:v>A free October 21 editorial proposed Amazon and On Holding as long-duration buys. The article supplied no new independently material catalyst beyond existing growth narratives, so neither idea advanced to a thesis or paper action. Promotional framing was excluded and Motley Fool was not treated as confirmation.</x:v>
      </x:c>
      <x:c r="I569" s="44" t="str">
        <x:v>Rejected escalation</x:v>
      </x:c>
      <x:c r="J569" s="44" t="n">
        <x:v>3</x:v>
      </x:c>
      <x:c r="K569" s="44" t="str">
        <x:v>No paid-service pick was inferred. The article's broad long-horizon claims did not create a fresh, timestamped entry edge.</x:v>
      </x:c>
    </x:row>
    <x:row r="570">
      <x:c r="A570" t="str">
        <x:v>EV-2026-555</x:v>
      </x:c>
      <x:c r="B570" t="str">
        <x:v>EEI-2026-001</x:v>
      </x:c>
      <x:c r="C570" s="21" t="d">
        <x:v>2026-10-20T21:06:27.000Z</x:v>
      </x:c>
      <x:c r="D570" t="str">
        <x:v>Paper-trade outcome</x:v>
      </x:c>
      <x:c r="E570" t="str">
        <x:v>StockAnalysis</x:v>
      </x:c>
      <x:c r="F570" t="str">
        <x:v>Market data</x:v>
      </x:c>
      <x:c r="G570" s="44" t="str">
        <x:v>https://stockanalysis.com/etf/bno/history/</x:v>
      </x:c>
      <x:c r="H570" s="44" t="str">
        <x:v>BNO closed October 20 at $66.87 versus the fixed September 8 opening entry of $57.21. The $1,000 fractional-share paper position was worth $1,168.85, a gain of $168.85 or 16.89%.</x:v>
      </x:c>
      <x:c r="I570" s="44" t="str">
        <x:v>Confirms direct Brent expression</x:v>
      </x:c>
      <x:c r="J570" s="44" t="n">
        <x:v>4</x:v>
      </x:c>
      <x:c r="K570" s="44" t="str">
        <x:v>Restored after the October 21 morning research scan displaced the prior close record; official regular-session close used.</x:v>
      </x:c>
    </x:row>
    <x:row r="571">
      <x:c r="A571" t="str">
        <x:v>EV-2026-556</x:v>
      </x:c>
      <x:c r="B571" t="str">
        <x:v>EEI-2026-001</x:v>
      </x:c>
      <x:c r="C571" s="21" t="d">
        <x:v>2026-10-20T21:06:27.000Z</x:v>
      </x:c>
      <x:c r="D571" t="str">
        <x:v>Paper-trade outcome</x:v>
      </x:c>
      <x:c r="E571" t="str">
        <x:v>StockAnalysis</x:v>
      </x:c>
      <x:c r="F571" t="str">
        <x:v>Market data</x:v>
      </x:c>
      <x:c r="G571" s="44" t="str">
        <x:v>https://stockanalysis.com/etf/uso/history/</x:v>
      </x:c>
      <x:c r="H571" s="44" t="str">
        <x:v>USO closed October 20 at $160.61 versus the fixed September 8 opening entry of $144.60. The $1,000 fractional-share paper position was worth $1,110.72, a gain of $110.72 or 11.07%.</x:v>
      </x:c>
      <x:c r="I571" s="44" t="str">
        <x:v>Confirms direct WTI expression</x:v>
      </x:c>
      <x:c r="J571" s="44" t="n">
        <x:v>4</x:v>
      </x:c>
      <x:c r="K571" s="44" t="str">
        <x:v>Restored after the October 21 morning research scan displaced the prior close record; the fund's futures exposure can diverge from a single expiring WTI contract.</x:v>
      </x:c>
    </x:row>
    <x:row r="572">
      <x:c r="A572" t="str">
        <x:v>EV-2026-557</x:v>
      </x:c>
      <x:c r="B572" t="str">
        <x:v>EEI-2026-001</x:v>
      </x:c>
      <x:c r="C572" s="21" t="d">
        <x:v>2026-10-20T21:06:27.000Z</x:v>
      </x:c>
      <x:c r="D572" t="str">
        <x:v>Paper-trade outcome</x:v>
      </x:c>
      <x:c r="E572" t="str">
        <x:v>StockAnalysis</x:v>
      </x:c>
      <x:c r="F572" t="str">
        <x:v>Market data</x:v>
      </x:c>
      <x:c r="G572" s="44" t="str">
        <x:v>https://stockanalysis.com/etf/xop/history/</x:v>
      </x:c>
      <x:c r="H572" s="44" t="str">
        <x:v>XOP closed October 20 at $200.05 versus the fixed September 8 opening entry of $193.84. The $1,000 fractional-share paper position was worth $1,032.04, a gain of $32.04 or 3.20%.</x:v>
      </x:c>
      <x:c r="I572" s="44" t="str">
        <x:v>Positive but still weakest expression</x:v>
      </x:c>
      <x:c r="J572" s="44" t="n">
        <x:v>4</x:v>
      </x:c>
      <x:c r="K572" s="44" t="str">
        <x:v>Restored after the October 21 morning research scan displaced the prior close record; producer equities retain company and equity-market mapping risk.</x:v>
      </x:c>
    </x:row>
    <x:row r="573">
      <x:c r="A573" t="str">
        <x:v>EV-2026-558</x:v>
      </x:c>
      <x:c r="B573" t="str">
        <x:v>EEI-2026-001</x:v>
      </x:c>
      <x:c r="C573" s="21" t="d">
        <x:v>2026-10-20T21:06:27.000Z</x:v>
      </x:c>
      <x:c r="D573" t="str">
        <x:v>Market confirmation and counterweight</x:v>
      </x:c>
      <x:c r="E573" t="str">
        <x:v>Reuters / Kpler</x:v>
      </x:c>
      <x:c r="F573" t="str">
        <x:v>High-quality independent reporting and shipping data</x:v>
      </x:c>
      <x:c r="G573" s="44" t="str">
        <x:v>https://www.reuters.com/business/energy/oil-eases-markets-assess-potential-waiver-russian-energy-middle-east-supply-2026-10-20/</x:v>
      </x:c>
      <x:c r="H573" s="44" t="str">
        <x:v>Brent settled October 20 at $108.79 after reaching $111.99 intraday. Expiring November WTI settled at $101.79, while the more active December contract settled at $97.82. Kpler reported at least 18 vessel attacks over two weeks, and Houthi forces claimed new attacks on Saudi energy, airport and military targets.</x:v>
      </x:c>
      <x:c r="I573" s="44" t="str">
        <x:v>Confirms persistent risk premium but shows sharp intraday reversal</x:v>
      </x:c>
      <x:c r="J573" s="44" t="n">
        <x:v>5</x:v>
      </x:c>
      <x:c r="K573" s="44" t="str">
        <x:v>Restored after displacement; Saudi authorities had not confirmed the Houthi claims, and Reuters could not independently verify them.</x:v>
      </x:c>
    </x:row>
    <x:row r="574">
      <x:c r="A574" t="str">
        <x:v>EV-2026-559</x:v>
      </x:c>
      <x:c r="B574" t="str">
        <x:v>EEI-2026-001</x:v>
      </x:c>
      <x:c r="C574" s="21" t="d">
        <x:v>2026-10-20T21:06:27.000Z</x:v>
      </x:c>
      <x:c r="D574" t="str">
        <x:v>Mechanism update</x:v>
      </x:c>
      <x:c r="E574" t="str">
        <x:v>Reuters</x:v>
      </x:c>
      <x:c r="F574" t="str">
        <x:v>High-quality independent reporting</x:v>
      </x:c>
      <x:c r="G574" s="44" t="str">
        <x:v>https://www.reuters.com/business/energy/oil-eases-markets-assess-potential-waiver-russian-energy-middle-east-supply-2026-10-20/</x:v>
      </x:c>
      <x:c r="H574" s="44" t="str">
        <x:v>Iran's president discussed mediation with Pakistan's army chief, helping crude reverse from session highs. Russian diesel cargoes resumed to Turkey and Brazil after sanctions relief, and U.S. officials pushed for higher domestic refinery utilization and reopening shuttered plants.</x:v>
      </x:c>
      <x:c r="I574" s="44" t="str">
        <x:v>Counterweight: diplomacy and incremental product supply can compress the premium</x:v>
      </x:c>
      <x:c r="J574" s="44" t="n">
        <x:v>5</x:v>
      </x:c>
      <x:c r="K574" s="44" t="str">
        <x:v>Restored after displacement; mediation has failed before, vessel attacks remain frequent and refinery measures would not directly restore Gulf transit reliability.</x:v>
      </x:c>
    </x:row>
    <x:row r="575">
      <x:c r="A575" t="str">
        <x:v>EV-2026-575</x:v>
      </x:c>
      <x:c r="B575"/>
      <x:c r="C575" s="21" t="d">
        <x:v>2026-10-22T12:43:14.000Z</x:v>
      </x:c>
      <x:c r="D575" t="str">
        <x:v>Cross-asset discovery screen</x:v>
      </x:c>
      <x:c r="E575" t="str">
        <x:v>Reuters / public market data</x:v>
      </x:c>
      <x:c r="F575" t="str">
        <x:v>Independent reporting and timestamped market data</x:v>
      </x:c>
      <x:c r="G575" s="44" t="str">
        <x:v>https://www.reuters.com/world/china/global-markets-global-markets-2026-10-22/</x:v>
      </x:c>
      <x:c r="H575" s="44" t="str">
        <x:v>Public-data coverage spanned all major equity sectors through earnings and mover screens; broad and sector ETFs; Treasury duration and high-yield credit; crude, natural gas and precious metals; regulatory and FDA actions; federal-award channels; corporate actions; and public Motley Fool editorials. U.S. technology futures weakened, Brent rose about 3% near $112 on renewed Saudi shipping risk, the 10-year Treasury yield eased near 5.06%, and credit ETFs were little changed before the cash session.</x:v>
      </x:c>
      <x:c r="I575" s="44" t="str">
        <x:v>Discovery context; no standalone thesis</x:v>
      </x:c>
      <x:c r="J575" s="44" t="n">
        <x:v>4</x:v>
      </x:c>
      <x:c r="K575" s="44" t="str">
        <x:v>Coverage was broad but not exhaustive. No proprietary flow, consolidated order book, paid research, complete real-time insider census or regular-session quote was available before the scan ended.</x:v>
      </x:c>
    </x:row>
    <x:row r="576">
      <x:c r="A576" t="str">
        <x:v>EV-2026-576</x:v>
      </x:c>
      <x:c r="B576" t="str">
        <x:v>EEI-2026-022</x:v>
      </x:c>
      <x:c r="C576" s="21" t="d">
        <x:v>2026-10-22T12:43:14.000Z</x:v>
      </x:c>
      <x:c r="D576" t="str">
        <x:v>AT&amp;T premarket decision review</x:v>
      </x:c>
      <x:c r="E576" t="str">
        <x:v>AT&amp;T / public market data</x:v>
      </x:c>
      <x:c r="F576" t="str">
        <x:v>Primary results plus public premarket indication</x:v>
      </x:c>
      <x:c r="G576" s="44" t="str">
        <x:v>https://about.att.com/story/2026/3q-earnings.html</x:v>
      </x:c>
      <x:c r="H576" s="44" t="str">
        <x:v>AT&amp;T's raised roughly $2.40 adjusted-EPS outlook, at least $18B free-cash-flow target and Advanced Connectivity growth remained intact. A public feed showed T at $22.06 at 8:13 a.m. ET versus the October 21 close of $23.42. Decision: retain only a finite premarket watch through the October 22 close; restore an actionable proposal solely with a fresh regular-session price at or below $22.25, above the $21.50 daily-close invalidation and without new guidance deterioration.</x:v>
      </x:c>
      <x:c r="I576" s="44" t="str">
        <x:v>Finite premarket watch; not an order or alert</x:v>
      </x:c>
      <x:c r="J576" s="44" t="n">
        <x:v>5</x:v>
      </x:c>
      <x:c r="K576" s="44" t="str">
        <x:v>Wireless additions merely met expectations, operating costs rose, net debt remains high and SpaceX is a new long-horizon competitive threat. Premarket prices are not executable regular-session evidence.</x:v>
      </x:c>
    </x:row>
    <x:row r="577">
      <x:c r="A577" t="str">
        <x:v>EV-2026-577</x:v>
      </x:c>
      <x:c r="B577"/>
      <x:c r="C577" s="21" t="d">
        <x:v>2026-10-22T12:43:14.000Z</x:v>
      </x:c>
      <x:c r="D577" t="str">
        <x:v>IBM earnings-dislocation candidate</x:v>
      </x:c>
      <x:c r="E577" t="str">
        <x:v>IBM</x:v>
      </x:c>
      <x:c r="F577" t="str">
        <x:v>Primary issuer results</x:v>
      </x:c>
      <x:c r="G577" s="44" t="str">
        <x:v>https://newsroom.ibm.com/2026-10-21-IBM-RELEASES-THIRD-QUARTER-RESULTS</x:v>
      </x:c>
      <x:c r="H577" s="44" t="str">
        <x:v>IBM reported $17.1B of revenue, up 5%; software growth of 8%; Q3 free cash flow of $3.0B, up $0.7B; and raised full-year free-cash-flow growth to more than $1B. A public premarket report indicated about $238.85, down roughly 5%. Decision: REJECT a new paper entry pending regular-session stabilization and a better debt-adjusted valuation.</x:v>
      </x:c>
      <x:c r="I577" s="44" t="str">
        <x:v>Rejected fresh candidate</x:v>
      </x:c>
      <x:c r="J577" s="44" t="n">
        <x:v>5</x:v>
      </x:c>
      <x:c r="K577" s="44" t="str">
        <x:v>GAAP gross margin fell 50 basis points, consulting was flat, IBM Z revenue fell 20%, debt rose to $63.8B after $11.4B of acquisitions and the company only reiterated 4%-5% constant-currency revenue growth.</x:v>
      </x:c>
    </x:row>
    <x:row r="578">
      <x:c r="A578" t="str">
        <x:v>EV-2026-578</x:v>
      </x:c>
      <x:c r="B578"/>
      <x:c r="C578" s="21" t="d">
        <x:v>2026-10-22T12:43:14.000Z</x:v>
      </x:c>
      <x:c r="D578" t="str">
        <x:v>Meta earnings and capital-allocation candidate</x:v>
      </x:c>
      <x:c r="E578" t="str">
        <x:v>Meta Platforms</x:v>
      </x:c>
      <x:c r="F578" t="str">
        <x:v>Primary issuer results</x:v>
      </x:c>
      <x:c r="G578" s="44" t="str">
        <x:v>https://investor.atmeta.com/investor-news/press-release-details/2026/Meta-Reports-Third-Quarter-2026-Results/default.aspx</x:v>
      </x:c>
      <x:c r="H578" s="44" t="str">
        <x:v>Meta's Q3 revenue grew 26% to $64.6B, ad impressions rose 10% and average price per ad rose 14%. Decision: REJECT a fresh paper entry because current cash use, litigation and governance changes impair near-term entry quality despite strong core growth.</x:v>
      </x:c>
      <x:c r="I578" s="44" t="str">
        <x:v>Rejected fresh candidate</x:v>
      </x:c>
      <x:c r="J578" s="44" t="n">
        <x:v>5</x:v>
      </x:c>
      <x:c r="K578" s="44" t="str">
        <x:v>Q3 free cash flow was negative $2.12B, capex was $34.91B, 2026 capex guidance is $135B-$145B, the quarter included a $9.89B legal charge, further youth-related litigation remains active and a new non-voting Class C stock is planned.</x:v>
      </x:c>
    </x:row>
    <x:row r="579">
      <x:c r="A579" t="str">
        <x:v>EV-2026-579</x:v>
      </x:c>
      <x:c r="B579"/>
      <x:c r="C579" s="21" t="d">
        <x:v>2026-10-22T12:43:14.000Z</x:v>
      </x:c>
      <x:c r="D579" t="str">
        <x:v>P&amp;G earnings candidate</x:v>
      </x:c>
      <x:c r="E579" t="str">
        <x:v>Procter &amp; Gamble</x:v>
      </x:c>
      <x:c r="F579" t="str">
        <x:v>Primary issuer release</x:v>
      </x:c>
      <x:c r="G579" s="44" t="str">
        <x:v>https://www.pginvestor.com/files/content_files/FY2627-Q1-JAS-Press-Release-Final.pdf</x:v>
      </x:c>
      <x:c r="H579" s="44" t="str">
        <x:v>P&amp;G reported 4% net and organic sales growth, $1.97 diluted EPS and $2.00 core EPS. Decision: REJECT a fresh entry because only 1% core-EPS growth and cost pressure did not provide enough edge at roughly 23 times trailing earnings before regular-session price discovery.</x:v>
      </x:c>
      <x:c r="I579" s="44" t="str">
        <x:v>Rejected fresh candidate</x:v>
      </x:c>
      <x:c r="J579" s="44" t="n">
        <x:v>5</x:v>
      </x:c>
      <x:c r="K579" s="44" t="str">
        <x:v>Gross margin fell and management cited about $1.4B of annual input and logistics pressure; the stock was only modestly lower in premarket trading, so the operating beat had not created a large valuation dislocation.</x:v>
      </x:c>
    </x:row>
    <x:row r="580">
      <x:c r="A580" t="str">
        <x:v>EV-2026-580</x:v>
      </x:c>
      <x:c r="B580"/>
      <x:c r="C580" s="21" t="d">
        <x:v>2026-10-22T12:43:14.000Z</x:v>
      </x:c>
      <x:c r="D580" t="str">
        <x:v>Nokia AI-network demand candidate</x:v>
      </x:c>
      <x:c r="E580" t="str">
        <x:v>Nokia / Reuters</x:v>
      </x:c>
      <x:c r="F580" t="str">
        <x:v>Primary issuer context with independent reporting</x:v>
      </x:c>
      <x:c r="G580" s="44" t="str">
        <x:v>https://www.reuters.com/business/nokia-third-quarter-profit-beats-expectations-2026-10-22/</x:v>
      </x:c>
      <x:c r="H580" s="44" t="str">
        <x:v>Nokia's comparable Q3 sales rose 10% to €5.15B, comparable operating profit reached €605M versus €453M consensus, and AI/cloud sales and orders rose 123% and 118%. Decision: REJECT a fresh chase because the shares were already up 48% year to date and the company maintained rather than raised full-year guidance.</x:v>
      </x:c>
      <x:c r="I580" s="44" t="str">
        <x:v>Rejected fresh candidate</x:v>
      </x:c>
      <x:c r="J580" s="44" t="n">
        <x:v>4</x:v>
      </x:c>
      <x:c r="K580" s="44" t="str">
        <x:v>Reported operating profit was reduced by Infinera-integration charges, the catalyst had already materially repriced the shares and U.S. ADR regular-session confirmation was not yet available.</x:v>
      </x:c>
    </x:row>
    <x:row r="581">
      <x:c r="A581" t="str">
        <x:v>EV-2026-581</x:v>
      </x:c>
      <x:c r="B581"/>
      <x:c r="C581" s="21" t="d">
        <x:v>2026-10-22T12:43:14.000Z</x:v>
      </x:c>
      <x:c r="D581" t="str">
        <x:v>FDA approval candidate screen</x:v>
      </x:c>
      <x:c r="E581" t="str">
        <x:v>U.S. FDA / GSK</x:v>
      </x:c>
      <x:c r="F581" t="str">
        <x:v>Primary regulator record</x:v>
      </x:c>
      <x:c r="G581" s="44" t="str">
        <x:v>https://www.fda.gov/news-events/press-announcements/fda-approves-first-its-kind-chronic-hepatitis-b-treatment</x:v>
      </x:c>
      <x:c r="H581" s="44" t="str">
        <x:v>FDA approved GSK's Hibsago for a defined chronic-hepatitis-B population; 19% of treated trial patients maintained viral control 24 weeks after stopping all therapy. Decision: REJECT a standalone GSK thesis because product pricing, eligible population, launch economics and parent-level revenue materiality were not yet established.</x:v>
      </x:c>
      <x:c r="I581" s="44" t="str">
        <x:v>Rejected regulatory candidate</x:v>
      </x:c>
      <x:c r="J581" s="44" t="n">
        <x:v>5</x:v>
      </x:c>
      <x:c r="K581" s="44" t="str">
        <x:v>The label has boxed warnings for serious liver reactions and low platelets, only a subset qualifies, and an approval already known since October 20 offers no verified fresh entry edge today.</x:v>
      </x:c>
    </x:row>
    <x:row r="582">
      <x:c r="A582" t="str">
        <x:v>EV-2026-582</x:v>
      </x:c>
      <x:c r="B582"/>
      <x:c r="C582" s="21" t="d">
        <x:v>2026-10-22T12:43:14.000Z</x:v>
      </x:c>
      <x:c r="D582" t="str">
        <x:v>Federal-award and policy screen</x:v>
      </x:c>
      <x:c r="E582" t="str">
        <x:v>USAspending / Department of Defense / FDA</x:v>
      </x:c>
      <x:c r="F582" t="str">
        <x:v>Primary government records and delayed award data</x:v>
      </x:c>
      <x:c r="G582" s="44" t="str">
        <x:v>https://www.usaspending.gov/</x:v>
      </x:c>
      <x:c r="H582" s="44" t="str">
        <x:v>Current public searches did not surface a newly obligated, parent-material listed-company award with complete award terms. Several results were old actions, zero-dollar administrative modifications, private recipients or immaterial relative to public parents. No public-equity thesis qualified.</x:v>
      </x:c>
      <x:c r="I582" s="44" t="str">
        <x:v>No qualifying public-equity award</x:v>
      </x:c>
      <x:c r="J582" s="44" t="n">
        <x:v>4</x:v>
      </x:c>
      <x:c r="K582" s="44" t="str">
        <x:v>Award feeds can be delayed and search coverage was not exhaustive. Incomplete obligations, competition terms, NAICS/PSC and parent-level materiality prevented escalation.</x:v>
      </x:c>
    </x:row>
    <x:row r="583">
      <x:c r="A583" t="str">
        <x:v>EV-2026-583</x:v>
      </x:c>
      <x:c r="B583"/>
      <x:c r="C583" s="21" t="d">
        <x:v>2026-10-22T12:43:14.000Z</x:v>
      </x:c>
      <x:c r="D583" t="str">
        <x:v>Motley Fool public-idea screen</x:v>
      </x:c>
      <x:c r="E583" t="str">
        <x:v>The Motley Fool / Adam Spatacco and Trevor Jennewine</x:v>
      </x:c>
      <x:c r="F583" t="str">
        <x:v>Free editorial trigger source only</x:v>
      </x:c>
      <x:c r="G583" s="44" t="str">
        <x:v>https://www.fool.com/investing/2026/10/22/prediction-spacex-stock-can-make-you-millionaire/</x:v>
      </x:c>
      <x:c r="H583" s="44" t="str">
        <x:v>Two free October 22 editorials discussed SpaceX and Nvidia-linked portfolio holdings. They relied on aggressive valuation assumptions or already-known holdings and did not supply a fresh independently material catalyst. Decision: reject escalation; Motley Fool remained a trigger only and no paid recommendation was inferred.</x:v>
      </x:c>
      <x:c r="I583" s="44" t="str">
        <x:v>Rejected escalation</x:v>
      </x:c>
      <x:c r="J583" s="44" t="n">
        <x:v>3</x:v>
      </x:c>
      <x:c r="K583" s="44" t="str">
        <x:v>SpaceX valuation assumptions were promotional and private-market shares are not a clean liquid public expression; the Nvidia portfolio article did not establish incremental earnings or cash-flow materiality.</x:v>
      </x:c>
    </x:row>
    <x:row r="584">
      <x:c r="A584" t="str">
        <x:v>EV-2026-584</x:v>
      </x:c>
      <x:c r="B584" t="str">
        <x:v>EEI-2026-001</x:v>
      </x:c>
      <x:c r="C584" s="21" t="d">
        <x:v>2026-10-22T12:43:14.000Z</x:v>
      </x:c>
      <x:c r="D584" t="str">
        <x:v>Energy and rates premarket update</x:v>
      </x:c>
      <x:c r="E584" t="str">
        <x:v>Reuters / EIA</x:v>
      </x:c>
      <x:c r="F584" t="str">
        <x:v>Independent reporting and primary energy data</x:v>
      </x:c>
      <x:c r="G584" s="44" t="str">
        <x:v>https://www.reuters.com/world/china/global-markets-global-markets-2026-10-22/</x:v>
      </x:c>
      <x:c r="H584" s="44" t="str">
        <x:v>Brent rose about 3% near $112 as additional Houthi attacks in Saudi Arabia renewed supply-risk pricing; safe-haven demand pushed Treasury yields lower. The latest EIA evidence still showed a larger-than-expected U.S. crude draw but rising distillate inventories. Existing BNO, USO and XOP positions were left at verified October 21 official closes because premarket fund indications were not regular-session marks.</x:v>
      </x:c>
      <x:c r="I584" s="44" t="str">
        <x:v>Supports energy risk premium; no new trade</x:v>
      </x:c>
      <x:c r="J584" s="44" t="n">
        <x:v>4</x:v>
      </x:c>
      <x:c r="K584" s="44" t="str">
        <x:v>The oil move is headline-sensitive; distillate inventory growth, possible diplomacy and U.S. supply responses can compress the premium. No contemporaneous regular-session ETF prices were available.</x:v>
      </x:c>
    </x:row>
    <x:row r="585">
      <x:c r="A585" t="str">
        <x:v>EV-2026-585</x:v>
      </x:c>
      <x:c r="B585" t="str">
        <x:v>EEI-2026-001</x:v>
      </x:c>
      <x:c r="C585" s="21" t="d">
        <x:v>2026-10-22T21:12:36.000Z</x:v>
      </x:c>
      <x:c r="D585" t="str">
        <x:v>Paper-trade outcome</x:v>
      </x:c>
      <x:c r="E585" t="str">
        <x:v>StockAnalysis</x:v>
      </x:c>
      <x:c r="F585" t="str">
        <x:v>Market data</x:v>
      </x:c>
      <x:c r="G585" s="44" t="str">
        <x:v>https://stockanalysis.com/etf/bno/history/</x:v>
      </x:c>
      <x:c r="H585" s="44" t="str">
        <x:v>BNO closed October 22 at $68.91 versus the fixed September 8 opening entry of $57.21. The $1,000 fractional-share paper position was worth $1,204.51, a gain of $204.51 or 20.45%.</x:v>
      </x:c>
      <x:c r="I585" s="44" t="str">
        <x:v>Confirms direct Brent expression</x:v>
      </x:c>
      <x:c r="J585" s="44" t="n">
        <x:v>4</x:v>
      </x:c>
      <x:c r="K585" s="44" t="str">
        <x:v>Official regular-session close used; totals retain unrounded fractional shares.</x:v>
      </x:c>
    </x:row>
    <x:row r="586">
      <x:c r="A586" t="str">
        <x:v>EV-2026-586</x:v>
      </x:c>
      <x:c r="B586" t="str">
        <x:v>EEI-2026-001</x:v>
      </x:c>
      <x:c r="C586" s="21" t="d">
        <x:v>2026-10-22T21:12:36.000Z</x:v>
      </x:c>
      <x:c r="D586" t="str">
        <x:v>Paper-trade outcome</x:v>
      </x:c>
      <x:c r="E586" t="str">
        <x:v>StockAnalysis</x:v>
      </x:c>
      <x:c r="F586" t="str">
        <x:v>Market data</x:v>
      </x:c>
      <x:c r="G586" s="44" t="str">
        <x:v>https://stockanalysis.com/etf/uso/history/</x:v>
      </x:c>
      <x:c r="H586" s="44" t="str">
        <x:v>USO closed October 22 at $162.51 versus the fixed September 8 opening entry of $144.60. The $1,000 fractional-share paper position was worth $1,123.86, a gain of $123.86 or 12.39%.</x:v>
      </x:c>
      <x:c r="I586" s="44" t="str">
        <x:v>Confirms direct WTI expression</x:v>
      </x:c>
      <x:c r="J586" s="44" t="n">
        <x:v>4</x:v>
      </x:c>
      <x:c r="K586" s="44" t="str">
        <x:v>Official regular-session close used; the fund's futures exposure can diverge from spot WTI.</x:v>
      </x:c>
    </x:row>
    <x:row r="587">
      <x:c r="A587" t="str">
        <x:v>EV-2026-587</x:v>
      </x:c>
      <x:c r="B587" t="str">
        <x:v>EEI-2026-001</x:v>
      </x:c>
      <x:c r="C587" s="21" t="d">
        <x:v>2026-10-22T21:12:36.000Z</x:v>
      </x:c>
      <x:c r="D587" t="str">
        <x:v>Paper-trade outcome</x:v>
      </x:c>
      <x:c r="E587" t="str">
        <x:v>StockAnalysis</x:v>
      </x:c>
      <x:c r="F587" t="str">
        <x:v>Market data</x:v>
      </x:c>
      <x:c r="G587" s="44" t="str">
        <x:v>https://stockanalysis.com/etf/xop/history/</x:v>
      </x:c>
      <x:c r="H587" s="44" t="str">
        <x:v>XOP closed October 22 at $196.87 versus the fixed September 8 opening entry of $193.84. The $1,000 fractional-share paper position was worth $1,015.63, a gain of $15.63 or 1.56%.</x:v>
      </x:c>
      <x:c r="I587" s="44" t="str">
        <x:v>Positive but still weakest expression</x:v>
      </x:c>
      <x:c r="J587" s="44" t="n">
        <x:v>4</x:v>
      </x:c>
      <x:c r="K587" s="44" t="str">
        <x:v>Official regular-session close used; the producer-equity ETF retains company and equity-market mapping risk.</x:v>
      </x:c>
    </x:row>
    <x:row r="588">
      <x:c r="A588" t="str">
        <x:v>EV-2026-588</x:v>
      </x:c>
      <x:c r="B588" t="str">
        <x:v>EEI-2026-001</x:v>
      </x:c>
      <x:c r="C588" s="21" t="d">
        <x:v>2026-10-22T21:12:36.000Z</x:v>
      </x:c>
      <x:c r="D588" t="str">
        <x:v>Market confirmation</x:v>
      </x:c>
      <x:c r="E588" t="str">
        <x:v>Reuters</x:v>
      </x:c>
      <x:c r="F588" t="str">
        <x:v>High-quality independent reporting</x:v>
      </x:c>
      <x:c r="G588" s="44" t="str">
        <x:v>https://www.reuters.com/business/energy/oil-rises-us-orders-diplomats-leave-saudi-arabia-amid-escalating-tensions-2026-10-22/</x:v>
      </x:c>
      <x:c r="H588" s="44" t="str">
        <x:v>Brent rose 4.0% to settle October 22 at $113.17, its highest close since May 4, and WTI rose 2.4% to $99.47. Houthi attacks on Saudi infrastructure intensified supply concerns, Saudi Aramco told staff to evacuate its Dhahran headquarters, and a Libyan pipeline shutdown reduced output at two fields.</x:v>
      </x:c>
      <x:c r="I588" s="44" t="str">
        <x:v>Confirms renewed supply-risk premium</x:v>
      </x:c>
      <x:c r="J588" s="44" t="n">
        <x:v>5</x:v>
      </x:c>
      <x:c r="K588" s="44" t="str">
        <x:v>Middle East crude exports were still about 17 million barrels per day last week, near the 18 million prewar average, so the price response reflects disruption risk as well as current physical scarcity.</x:v>
      </x:c>
    </x:row>
    <x:row r="589">
      <x:c r="A589" t="str">
        <x:v>EV-2026-589</x:v>
      </x:c>
      <x:c r="B589" t="str">
        <x:v>EEI-2026-022</x:v>
      </x:c>
      <x:c r="C589" s="21" t="d">
        <x:v>2026-10-23T12:19:06.000Z</x:v>
      </x:c>
      <x:c r="D589" t="str">
        <x:v>AT&amp;T competitive-threat review</x:v>
      </x:c>
      <x:c r="E589" t="str">
        <x:v>Reuters</x:v>
      </x:c>
      <x:c r="F589" t="str">
        <x:v>High-quality independent reporting</x:v>
      </x:c>
      <x:c r="G589" s="44" t="str">
        <x:v>https://www.reuters.com/business/media-telecom/spacex-seeks-access-80000-us-cell-sites-wireless-network-bloomberg-news-reports-2026-10-22/</x:v>
      </x:c>
      <x:c r="H589" s="44" t="str">
        <x:v>Reuters reported that SpaceX is in talks for access to at least 80,000 U.S. cell sites, a potential path toward a fourth nationwide carrier. AT&amp;T and other national carriers fell 4.2%-5% in extended trading. Decision: downgrade EEI-2026-022 to Developing, confidence 3/5 and edge 2/5, and classify the expired entry watch as REJECT 2026-10-23.</x:v>
      </x:c>
      <x:c r="I589" s="44" t="str">
        <x:v>Meaningful contradiction; no paper entry</x:v>
      </x:c>
      <x:c r="J589" s="44" t="n">
        <x:v>5</x:v>
      </x:c>
      <x:c r="K589" s="44" t="str">
        <x:v>The cited talks were not confirmed by SpaceX or the named tower companies. Independent analysis estimates a terrestrial network would cost more than $80B, require years and still need more spectrum, customer support and handset subsidies.</x:v>
      </x:c>
    </x:row>
    <x:row r="590">
      <x:c r="A590" t="str">
        <x:v>EV-2026-590</x:v>
      </x:c>
      <x:c r="B590"/>
      <x:c r="C590" s="21" t="d">
        <x:v>2026-10-23T12:19:06.000Z</x:v>
      </x:c>
      <x:c r="D590" t="str">
        <x:v>Booz Allen earnings and valuation candidate</x:v>
      </x:c>
      <x:c r="E590" t="str">
        <x:v>Booz Allen Hamilton</x:v>
      </x:c>
      <x:c r="F590" t="str">
        <x:v>Primary issuer results</x:v>
      </x:c>
      <x:c r="G590" s="44" t="str">
        <x:v>https://investors.boozallen.com/static-files/90958a7c-b90a-478b-92f0-f3d9e8534109</x:v>
      </x:c>
      <x:c r="H590" s="44" t="str">
        <x:v>Booz Allen reported Q2 FY2027 adjusted EPS of $1.76, backlog of about $41B, 1.5 times book-to-bill and raised adjusted-EPS guidance to $6.50-$6.70. A public premarket indication near $78.57 implied a low-teens trailing multiple. Decision: no paper entry before regular-session price discovery; retain as a candidate for a future fresh quote rather than create a stale order.</x:v>
      </x:c>
      <x:c r="I590" s="44" t="str">
        <x:v>Promising but not entered</x:v>
      </x:c>
      <x:c r="J590" s="44" t="n">
        <x:v>5</x:v>
      </x:c>
      <x:c r="K590" s="44" t="str">
        <x:v>Quarterly revenue fell 3.9%, revenue excluding billable expenses fell 0.8%, quarterly free cash flow fell to $263M from $395M, cash declined and long-term debt increased after acquisitions.</x:v>
      </x:c>
    </x:row>
    <x:row r="591">
      <x:c r="A591" t="str">
        <x:v>EV-2026-591</x:v>
      </x:c>
      <x:c r="B591"/>
      <x:c r="C591" s="21" t="d">
        <x:v>2026-10-23T12:19:06.000Z</x:v>
      </x:c>
      <x:c r="D591" t="str">
        <x:v>SLB earnings and energy-services candidate</x:v>
      </x:c>
      <x:c r="E591" t="str">
        <x:v>SLB</x:v>
      </x:c>
      <x:c r="F591" t="str">
        <x:v>Primary issuer results</x:v>
      </x:c>
      <x:c r="G591" s="44" t="str">
        <x:v>https://investorcenter.slb.com/news-releases/news-release-details/slb-announces-third-quarter-2026-results</x:v>
      </x:c>
      <x:c r="H591" s="44" t="str">
        <x:v>SLB reported Q3 revenue of $9.45B, adjusted EPS of $0.64, $828M of free cash flow and continued growth in digital and data-center solutions. Decision: reject a new paper entry for this scan despite the earnings beat because balance-sheet and margin evidence did not offer enough downside protection before regular-session price discovery.</x:v>
      </x:c>
      <x:c r="I591" s="44" t="str">
        <x:v>Rejected current entry</x:v>
      </x:c>
      <x:c r="J591" s="44" t="n">
        <x:v>5</x:v>
      </x:c>
      <x:c r="K591" s="44" t="str">
        <x:v>Adjusted EBITDA margin was 21.9% versus 23.1% a year earlier; net debt increased to $9.25B; nine-month free cash flow fell to $1.52B from $1.83B while buybacks and dividends exceeded free cash flow.</x:v>
      </x:c>
    </x:row>
    <x:row r="592">
      <x:c r="A592" t="str">
        <x:v>EV-2026-592</x:v>
      </x:c>
      <x:c r="B592"/>
      <x:c r="C592" s="21" t="d">
        <x:v>2026-10-23T12:19:06.000Z</x:v>
      </x:c>
      <x:c r="D592" t="str">
        <x:v>American Express earnings candidate</x:v>
      </x:c>
      <x:c r="E592" t="str">
        <x:v>American Express / Reuters</x:v>
      </x:c>
      <x:c r="F592" t="str">
        <x:v>Issuer-reported results with independent reporting</x:v>
      </x:c>
      <x:c r="G592" s="44" t="str">
        <x:v>https://www.reuters.com/business/american-express-raises-2026-profit-forecast-affluent-customers-keep-spending-2026-10-23/</x:v>
      </x:c>
      <x:c r="H592" s="44" t="str">
        <x:v>American Express raised 2026 adjusted-EPS guidance to $18.30-$18.60 after revenue rose 9% to $20.1B, billed business rose 8% and adjusted EPS reached $4.68. Credit provisions fell to $1.0B from $1.3B. Decision: no paper entry before a current regular-session quote; the modest premarket reaction did not establish a large dislocation at roughly 20 times trailing earnings.</x:v>
      </x:c>
      <x:c r="I592" s="44" t="str">
        <x:v>Strong fundamentals; no current entry</x:v>
      </x:c>
      <x:c r="J592" s="44" t="n">
        <x:v>4</x:v>
      </x:c>
      <x:c r="K592" s="44" t="str">
        <x:v>The affluent-customer mix is not representative of the whole consumer, valuation is not distressed and no regular-session executable quote was available during the scan.</x:v>
      </x:c>
    </x:row>
    <x:row r="593">
      <x:c r="A593" t="str">
        <x:v>EV-2026-593</x:v>
      </x:c>
      <x:c r="B593"/>
      <x:c r="C593" s="21" t="d">
        <x:v>2026-10-23T12:19:06.000Z</x:v>
      </x:c>
      <x:c r="D593" t="str">
        <x:v>Federal-contract award screen</x:v>
      </x:c>
      <x:c r="E593" t="str">
        <x:v>Department of War / AwardTape</x:v>
      </x:c>
      <x:c r="F593" t="str">
        <x:v>Official announcement restatement with award-record analysis</x:v>
      </x:c>
      <x:c r="G593" s="44" t="str">
        <x:v>https://awardtape.com/contracts/2026-10-22/</x:v>
      </x:c>
      <x:c r="H593" s="44" t="str">
        <x:v>The October 22 release contained four actions. Longbow LLC received a $419.6M Apache radar/support IDIQ (W58RGZ-27-D-A008), one bid, no initial obligation, orders through 2032. Raytheon received a $350M ceiling-increase modification to FA8672-19-D-0001, bringing the SDB II support ceiling to $950M with no new obligation. Sigmatech's $249.2M order vehicle had no initial obligation, and Saab's $14.3M option modification was fully obligated. Decision: no new listed-equity thesis.</x:v>
      </x:c>
      <x:c r="I593" s="44" t="str">
        <x:v>No qualifying public-company catalyst</x:v>
      </x:c>
      <x:c r="J593" s="44" t="n">
        <x:v>4</x:v>
      </x:c>
      <x:c r="K593" s="44" t="str">
        <x:v>The largest public-company action was a routine ceiling modification rather than fresh obligated revenue; Longbow parent-level materiality was not established, Sigmatech is private and the Saab option is immaterial to its parent.</x:v>
      </x:c>
    </x:row>
    <x:row r="594">
      <x:c r="A594" t="str">
        <x:v>EV-2026-594</x:v>
      </x:c>
      <x:c r="B594"/>
      <x:c r="C594" s="21" t="d">
        <x:v>2026-10-23T12:19:06.000Z</x:v>
      </x:c>
      <x:c r="D594" t="str">
        <x:v>Cross-asset breadth and relative-strength screen</x:v>
      </x:c>
      <x:c r="E594" t="str">
        <x:v>Associated Press / public market data</x:v>
      </x:c>
      <x:c r="F594" t="str">
        <x:v>Independent reporting and observable market data</x:v>
      </x:c>
      <x:c r="G594" s="44" t="str">
        <x:v>https://apnews.com/article/stocks-wall-street-nasdaq-dow-1970e79d013cbddcae89c53b4b98f384</x:v>
      </x:c>
      <x:c r="H594" s="44" t="str">
        <x:v>On October 22 the S&amp;P 500 fell 1.2% and Nasdaq fell 2.6%, while the Dow was flat and Russell 2000 rose 0.1%; most U.S. stocks advanced despite the index decline. The scan also covered all major sector ETFs, broad ETFs, Treasury duration, high-yield credit, gold and crude. Defensive sectors and Treasuries led premarket while technology lagged, but premarket indications were not executable.</x:v>
      </x:c>
      <x:c r="I594" s="44" t="str">
        <x:v>Rotation context; no standalone action</x:v>
      </x:c>
      <x:c r="J594" s="44" t="n">
        <x:v>4</x:v>
      </x:c>
      <x:c r="K594" s="44" t="str">
        <x:v>The divergence may be temporary and reflects concentration in large technology stocks. No proprietary flow, consolidated order book or regular-session confirmation was available during the scan.</x:v>
      </x:c>
    </x:row>
    <x:row r="595">
      <x:c r="A595" t="str">
        <x:v>EV-2026-595</x:v>
      </x:c>
      <x:c r="B595"/>
      <x:c r="C595" s="21" t="d">
        <x:v>2026-10-23T12:19:06.000Z</x:v>
      </x:c>
      <x:c r="D595" t="str">
        <x:v>Motley Fool public-idea screen</x:v>
      </x:c>
      <x:c r="E595" t="str">
        <x:v>The Motley Fool / Harsh Chauhan</x:v>
      </x:c>
      <x:c r="F595" t="str">
        <x:v>Free editorial trigger source only</x:v>
      </x:c>
      <x:c r="G595" s="44" t="str">
        <x:v>https://www.fool.com/investing/2026/10/23/prediction-intel-stock-will-take-off-after-oct-29/</x:v>
      </x:c>
      <x:c r="H595" s="44" t="str">
        <x:v>A free October 23 editorial predicted that Intel could beat expectations on October 29 based on server demand and price increases. Other public items discussed ASML split speculation, Microsoft quantum computing, Meta and generic crash positioning. Decision: reject escalation; none supplied a new independently confirmed and economically material catalyst suitable for a paper entry today.</x:v>
      </x:c>
      <x:c r="I595" s="44" t="str">
        <x:v>Rejected trigger escalation</x:v>
      </x:c>
      <x:c r="J595" s="44" t="n">
        <x:v>3</x:v>
      </x:c>
      <x:c r="K595" s="44" t="str">
        <x:v>Intel's factual catalyst is unresolved until earnings; the article is promotional prediction content, not confirmation. The author disclosed no Intel position, while The Motley Fool disclosed that it owns and recommends Intel.</x:v>
      </x:c>
    </x:row>
  </x:sheetData>
  <x:mergeCells>
    <x:mergeCell ref="A2:K2"/>
  </x:mergeCells>
  <x:pageMargins left="0.7" right="0.7" top="0.75" bottom="0.75" header="0.3" footer="0.3"/>
  <x:tableParts count="1">
    <x:tablePart xmlns:r="http://schemas.openxmlformats.org/officeDocument/2006/relationships" r:id="R39023ef7604b4600"/>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b4e2d1a0789342dd"/>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68.91</x:v>
      </x:c>
      <x:c r="K6" s="46" t="n">
        <x:f>I6*J6</x:f>
        <x:v>1204.509701101206</x:v>
      </x:c>
      <x:c r="L6" s="46" t="n">
        <x:f>K6-H6</x:f>
        <x:v>204.50970110120602</x:v>
      </x:c>
      <x:c r="M6" s="48" t="n">
        <x:f>L6/H6</x:f>
        <x:v>0.20450970110120603</x:v>
      </x:c>
      <x:c r="N6" s="30"/>
      <x:c r="O6" s="32"/>
      <x:c r="P6" s="32" t="str">
        <x:f>IF(OR(I6="",O6=""),"",I6*O6)</x:f>
      </x:c>
      <x:c r="Q6" s="32" t="str">
        <x:f>IF(P6="","",P6-H6)</x:f>
      </x:c>
      <x:c r="R6" s="29" t="str">
        <x:v>10/22/26 close: $68.91; position value $1,204.51; +$204.51 (+20.45%). BNO rose 2.77% as Brent climbed 4.0% to $113.17. Houthi attacks on Saudi infrastructure and concern about further regional disruption strengthened the risk premium.</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162.51</x:v>
      </x:c>
      <x:c r="K7" s="46" t="n">
        <x:f>I7*J7</x:f>
        <x:v>1123.8589211618257</x:v>
      </x:c>
      <x:c r="L7" s="46" t="n">
        <x:f>K7-H7</x:f>
        <x:v>123.85892116182572</x:v>
      </x:c>
      <x:c r="M7" s="48" t="n">
        <x:f>L7/H7</x:f>
        <x:v>0.12385892116182572</x:v>
      </x:c>
      <x:c r="N7" s="30"/>
      <x:c r="O7" s="32"/>
      <x:c r="P7" s="32" t="str">
        <x:f>IF(OR(I7="",O7=""),"",I7*O7)</x:f>
      </x:c>
      <x:c r="Q7" s="32" t="str">
        <x:f>IF(P7="","",P7-H7)</x:f>
      </x:c>
      <x:c r="R7" s="29" t="str">
        <x:v>10/22/26 close: $162.51; position value $1,123.86; +$123.86 (+12.39%). USO rose 1.70% as WTI gained 2.4% to $99.47. The supply-risk mechanism strengthened, though recovered regional exports remain a counterweight.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196.87</x:v>
      </x:c>
      <x:c r="K8" s="46" t="n">
        <x:f>I8*J8</x:f>
        <x:v>1015.6314486174164</x:v>
      </x:c>
      <x:c r="L8" s="46" t="n">
        <x:f>K8-H8</x:f>
        <x:v>15.631448617416368</x:v>
      </x:c>
      <x:c r="M8" s="48" t="n">
        <x:f>L8/H8</x:f>
        <x:v>0.015631448617416367</x:v>
      </x:c>
      <x:c r="N8" s="30"/>
      <x:c r="O8" s="32"/>
      <x:c r="P8" s="32" t="str">
        <x:f>IF(OR(I8="",O8=""),"",I8*O8)</x:f>
      </x:c>
      <x:c r="Q8" s="32" t="str">
        <x:f>IF(P8="","",P8-H8)</x:f>
      </x:c>
      <x:c r="R8" s="29" t="str">
        <x:v>10/22/26 close: $196.87; position value $1,015.63; +$15.63 (+1.56%). XOP fell 1.08% despite the crude rally and remains the weakest cumulative expression, reinforcing the additional company and equity-market risks in producer shares.</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5f19af2f4dc04325"/>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t="str">
        <x:v>RUN-2026-10-20-1706</x:v>
      </x:c>
      <x:c r="B63" s="28" t="d">
        <x:v>2026-10-20T21:06:27.000Z</x:v>
      </x:c>
      <x:c r="C63" s="27" t="str">
        <x:v>Easy E Invest daily scan — audit repair</x:v>
      </x:c>
      <x:c r="D63" s="29" t="str">
        <x:v>Audit repair from contemporaneously saved October 20 evidence and official-close paper-position marks. The original Scan Runs row was missing, so broader discovery counts and candidate-review detail are left blank rather than invented.</x:v>
      </x:c>
      <x:c r="E63" s="29" t="str">
        <x:v>StockAnalysis official-close data and Reuters energy reporting retained in Evidence Log EV-2026-555 through EV-2026-559.</x:v>
      </x:c>
      <x:c r="F63" s="29"/>
      <x:c r="G63" s="29"/>
      <x:c r="H63" s="29" t="n">
        <x:v>0</x:v>
      </x:c>
      <x:c r="I63" s="29" t="str">
        <x:v>No</x:v>
      </x:c>
      <x:c r="J63" s="29" t="str">
        <x:v>Recovered record: no new thesis, paper entry or portfolio transaction was present in the authoritative workbook. BNO, USO and XOP closed at $66.87, $160.61 and $200.05; the three fixed $1,000 paper positions were worth $3,311.61, up $311.61 (+10.39%) in total. The row documents only verifiable retained state.</x:v>
      </x:c>
    </x:row>
    <x:row r="64">
      <x:c r="A64" s="27" t="str">
        <x:v>RUN-2026-10-21-0940</x:v>
      </x:c>
      <x:c r="B64" s="28" t="d">
        <x:v>2026-10-21T13:46:46.000Z</x:v>
      </x:c>
      <x:c r="C64" s="27" t="str">
        <x:v>Easy E Invest daily scan — broad discovery and live-price decision</x:v>
      </x:c>
      <x:c r="D64" s="29" t="str">
        <x:v>More than two thirds of research effort was allocated outside the existing watchlist. Public-data coverage included all major equity sectors through sector ETFs and earnings/mover screens; broad ETFs; Treasury and high-yield instruments; gold, silver, crude and energy equities; earnings revisions; valuation dislocations; corporate actions; government awards and policy; and public Motley Fool editorials. Deep comparisons focused on AT&amp;T, Super Micro, Elevance, Netflix, Abbott and L3Harris.</x:v>
      </x:c>
      <x:c r="E64" s="29" t="str">
        <x:v>AT&amp;T and Super Micro primary records; Reuters; L3Harris issuer materials; U.S. Department of War contract records; public ETF and timestamped market data; and free Motley Fool editorials. No proprietary-flow feed, consolidated order book, paid research, complete real-time insider census or portfolio-capital rule was available; coverage was broad but not exhaustive.</x:v>
      </x:c>
      <x:c r="F64" s="29" t="n">
        <x:v>38</x:v>
      </x:c>
      <x:c r="G64" s="29" t="n">
        <x:v>10</x:v>
      </x:c>
      <x:c r="H64" s="29" t="n">
        <x:v>0</x:v>
      </x:c>
      <x:c r="I64" s="29" t="str">
        <x:v>Yes</x:v>
      </x:c>
      <x:c r="J64" s="29" t="str">
        <x:v>Opened EEI-2026-022 Strong at confidence 4/5 and edge 3/5. Proposed a $300 exploratory paper entry in T at $22.01, with a $23.50 no-chase ceiling, daily-close invalidation below $21.50 and November 21 review. This is not a fill or position because capital and sizing rules are unavailable. SMCI, ELV, NFLX, ABT and LHX were rejected with explicit reasons. Actual positions remain BNO, USO and XOP only; at 9:31 a.m. ET (15-minute-delayed public feed) their verified value was $3289.53, up $289.53 (9.65%) on $3,000, versus SPY 0.22% from the September 8 open, a 9.43 percentage-point relative return. Day change versus October 20 close was -0.67%. No real trade was recommended or executed.</x:v>
      </x:c>
    </x:row>
    <x:row r="65">
      <x:c r="A65" s="27" t="str">
        <x:v>RUN-2026-10-22-0843</x:v>
      </x:c>
      <x:c r="B65" s="28" t="d">
        <x:v>2026-10-22T12:43:14.000Z</x:v>
      </x:c>
      <x:c r="C65" s="27" t="str">
        <x:v>Easy E Invest daily scan — premarket discovery and finite-decision review</x:v>
      </x:c>
      <x:c r="D65" s="29" t="str">
        <x:v>More than two thirds of research effort was allocated outside the existing watchlist. Public-data coverage included all major equity sectors through earnings, guidance and mover screens; broad and sector ETFs; Treasury duration and high-yield credit; crude, natural gas and precious metals; valuation dislocations; corporate actions; SEC and insider channels; FDA and other regulatory decisions; federal awards and policy; supply and inventory data; and public Motley Fool editorials. Deep comparisons focused on IBM, Meta, P&amp;G, Nokia, GSK and the existing AT&amp;T proposal.</x:v>
      </x:c>
      <x:c r="E65" s="29" t="str">
        <x:v>IBM, Meta, P&amp;G and FDA primary records; Reuters; EIA; USAspending and Department of Defense search results; timestamped public premarket data; and free Motley Fool editorials. The scan ended before the U.S. regular session, so premarket indications were not treated as executable quotes or portfolio marks. No proprietary-flow feed, consolidated order book, paid research, complete real-time insider census or portfolio-capital rule was available; coverage was broad but not exhaustive.</x:v>
      </x:c>
      <x:c r="F65" s="29" t="n">
        <x:v>41</x:v>
      </x:c>
      <x:c r="G65" s="29" t="n">
        <x:v>10</x:v>
      </x:c>
      <x:c r="H65" s="29" t="n">
        <x:v>0</x:v>
      </x:c>
      <x:c r="I65" s="29" t="str">
        <x:v>No</x:v>
      </x:c>
      <x:c r="J65" s="29" t="str">
        <x:v>No new paper entry or qualifying user alert was created. AT&amp;T's economic thesis remained supported, but the October 21 ACTIONABLE NOW proposal was never filled and was converted to a finite premarket watch expiring at the October 22 close: only a fresh regular-session price at or below $22.25, above the $21.50 daily-close invalidation and without new guidance deterioration could restore an actionable proposal. IBM, Meta, P&amp;G, Nokia and GSK were rejected with explicit valuation, cash-flow, balance-sheet, materiality or already-priced reasons. Government-award and Motley Fool screens produced no independently confirmed public-equity catalyst. Actual paper positions remain BNO, USO and XOP only at their October 21 official-close value of $3,304.04, up $304.04 (+10.13%) on $3,000; no current regular-session benchmark or portfolio mark was available before the scan ended. No email was sent and no real trade was recommended or executed.</x:v>
      </x:c>
    </x:row>
    <x:row r="66">
      <x:c r="A66" s="27" t="str">
        <x:v>RUN-2026-10-23-0819</x:v>
      </x:c>
      <x:c r="B66" s="28" t="d">
        <x:v>2026-10-23T12:19:06.000Z</x:v>
      </x:c>
      <x:c r="C66" s="27" t="str">
        <x:v>Easy E Invest daily scan — premarket discovery and competitive-threat review</x:v>
      </x:c>
      <x:c r="D66" s="29" t="str">
        <x:v>More than two thirds of research effort was allocated outside the existing watchlist. Public-data coverage included all major equity sectors through earnings, guidance and mover screens; broad and sector ETFs; Treasury duration and high-yield credit; crude and gold; valuation dislocations; corporate actions; regulatory and government-award channels; supply and inventory changes; and newly published public Motley Fool ideas. Deep comparisons focused on Booz Allen, SLB, American Express, the October 22 federal-award slate and the existing AT&amp;T proposal.</x:v>
      </x:c>
      <x:c r="E66" s="29" t="str">
        <x:v>Booz Allen and SLB primary results; Reuters; Associated Press; Department of War announcement data and USAspending-linked award records; timestamped public premarket data; and free Motley Fool editorials. The scan ended before the U.S. regular session, so premarket indications were not treated as executable quotes or fills. No proprietary-flow feed, consolidated order book, paid research, complete real-time insider census or portfolio-capital rule was available; coverage was broad but not exhaustive.</x:v>
      </x:c>
      <x:c r="F66" s="29" t="n">
        <x:v>43</x:v>
      </x:c>
      <x:c r="G66" s="29" t="n">
        <x:v>7</x:v>
      </x:c>
      <x:c r="H66" s="29" t="n">
        <x:v>0</x:v>
      </x:c>
      <x:c r="I66" s="29" t="str">
        <x:v>No</x:v>
      </x:c>
      <x:c r="J66" s="29" t="str">
        <x:v>No new paper entry or qualifying email was created. AT&amp;T was downgraded from Strong to Developing, confidence 3/5 and trading edge 2/5, and the expired watch became REJECT 2026-10-23 after reporting that SpaceX is seeking access to at least 80,000 U.S. sites for a possible fourth nationwide carrier. The prior $300 proposal was never filled. Booz Allen, SLB and American Express were deeply reviewed but no current paper action was taken: positive earnings evidence was offset by revenue and free-cash-flow contraction, margin and debt pressure, or insufficient valuation dislocation, and the scan lacked an executable regular-session quote. Federal awards were either zero-obligation vehicles, routine modifications, private-company awards or immaterial to public parents. Motley Fool ideas were retained only as triggers and did not clear independent-confirmation and materiality tests. Actual paper positions remain BNO, USO and XOP only, valued at the October 22 official close at $3,344.00, up $344.00 (+11.47%) on $3,000; the one-day change was +$39.96 (+1.21%), not a material portfolio event. No email was sent and no real trade was recommended or executed.</x:v>
      </x:c>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916ea2a377174ee5"/>
  </x:tableParts>
</x:worksheet>
</file>