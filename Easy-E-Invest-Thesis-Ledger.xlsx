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d2c33bc139848f3" /></Relationships>
</file>

<file path=xl/workbook.xml><?xml version="1.0" encoding="utf-8"?>
<x:workbook xmlns:x="http://schemas.openxmlformats.org/spreadsheetml/2006/main">
  <x:sheets>
    <x:sheet xmlns:r="http://schemas.openxmlformats.org/officeDocument/2006/relationships" name="Summary" sheetId="1" r:id="R05b85c856bcd4ec6"/>
    <x:sheet xmlns:r="http://schemas.openxmlformats.org/officeDocument/2006/relationships" name="Thesis Ledger" sheetId="2" r:id="R48ed1d8f1db44abd"/>
    <x:sheet xmlns:r="http://schemas.openxmlformats.org/officeDocument/2006/relationships" name="Evidence Log" sheetId="3" r:id="Re3805214a0b643bb"/>
    <x:sheet xmlns:r="http://schemas.openxmlformats.org/officeDocument/2006/relationships" name="Source Registry" sheetId="4" r:id="R0a92312222914e85"/>
    <x:sheet xmlns:r="http://schemas.openxmlformats.org/officeDocument/2006/relationships" name="Paper Trades" sheetId="5" r:id="R16d499d4666c4d62"/>
    <x:sheet xmlns:r="http://schemas.openxmlformats.org/officeDocument/2006/relationships" name="Scan Runs" sheetId="6" r:id="R1f8e73ca2eec4c53"/>
  </x:sheets>
</x:workbook>
</file>

<file path=xl/sharedStrings.xml><?xml version="1.0" encoding="utf-8"?>
<x:sst xmlns:x="http://schemas.openxmlformats.org/spreadsheetml/2006/main"/>
</file>

<file path=xl/styles.xml><?xml version="1.0" encoding="utf-8"?>
<x:styleSheet xmlns:x="http://schemas.openxmlformats.org/spreadsheetml/2006/main">
  <x:numFmts count="10">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3">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57415dd313947ae" /><Relationship Type="http://schemas.openxmlformats.org/officeDocument/2006/relationships/theme" Target="/xl/theme/theme1.xml" Id="Rcbcac0f8fbdd45a3" /><Relationship Type="http://schemas.openxmlformats.org/officeDocument/2006/relationships/sharedStrings" Target="/xl/sharedStrings.xml" Id="R88fe4ce9859d41b8" /><Relationship Type="http://schemas.openxmlformats.org/officeDocument/2006/relationships/worksheet" Target="/xl/worksheets/sheet1.xml" Id="R05b85c856bcd4ec6" /><Relationship Type="http://schemas.openxmlformats.org/officeDocument/2006/relationships/worksheet" Target="/xl/worksheets/sheet2.xml" Id="R48ed1d8f1db44abd" /><Relationship Type="http://schemas.openxmlformats.org/officeDocument/2006/relationships/worksheet" Target="/xl/worksheets/sheet3.xml" Id="Re3805214a0b643bb" /><Relationship Type="http://schemas.openxmlformats.org/officeDocument/2006/relationships/worksheet" Target="/xl/worksheets/sheet4.xml" Id="R0a92312222914e85" /><Relationship Type="http://schemas.openxmlformats.org/officeDocument/2006/relationships/worksheet" Target="/xl/worksheets/sheet5.xml" Id="R16d499d4666c4d62" /><Relationship Type="http://schemas.openxmlformats.org/officeDocument/2006/relationships/worksheet" Target="/xl/worksheets/sheet6.xml" Id="R1f8e73ca2eec4c53"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43555afa9f1435b" /></Relationships>
</file>

<file path=xl/worksheets/_rels/sheet3.xml.rels>&#65279;<?xml version="1.0" encoding="utf-8"?><Relationships xmlns="http://schemas.openxmlformats.org/package/2006/relationships"><Relationship Type="http://schemas.openxmlformats.org/officeDocument/2006/relationships/table" Target="/xl/tables/table2.xml" Id="Ra4ceb08ebb7f4302" /></Relationships>
</file>

<file path=xl/worksheets/_rels/sheet4.xml.rels>&#65279;<?xml version="1.0" encoding="utf-8"?><Relationships xmlns="http://schemas.openxmlformats.org/package/2006/relationships"><Relationship Type="http://schemas.openxmlformats.org/officeDocument/2006/relationships/table" Target="/xl/tables/table3.xml" Id="R98b49c345109465f" /></Relationships>
</file>

<file path=xl/worksheets/_rels/sheet5.xml.rels>&#65279;<?xml version="1.0" encoding="utf-8"?><Relationships xmlns="http://schemas.openxmlformats.org/package/2006/relationships"><Relationship Type="http://schemas.openxmlformats.org/officeDocument/2006/relationships/table" Target="/xl/tables/table4.xml" Id="R1bb711ec7f8742ac" /></Relationships>
</file>

<file path=xl/worksheets/_rels/sheet6.xml.rels>&#65279;<?xml version="1.0" encoding="utf-8"?><Relationships xmlns="http://schemas.openxmlformats.org/package/2006/relationships"><Relationship Type="http://schemas.openxmlformats.org/officeDocument/2006/relationships/table" Target="/xl/tables/table5.xml" Id="R406331f0fec44cda"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v>9</x:v>
      </x:c>
      <x:c r="C6" s="1"/>
      <x:c r="D6" s="1"/>
      <x:c r="E6" s="1"/>
      <x:c r="F6" s="1"/>
      <x:c r="G6" s="1"/>
      <x:c r="H6" s="1"/>
      <x:c r="I6" s="1"/>
      <x:c r="J6" s="1"/>
    </x:row>
    <x:row r="7">
      <x:c r="A7" s="1" t="str">
        <x:v>Open theses</x:v>
      </x:c>
      <x:c r="B7" s="40" t="n">
        <x:v>9</x:v>
      </x:c>
      <x:c r="C7" s="1"/>
      <x:c r="D7" s="1"/>
      <x:c r="E7" s="1"/>
      <x:c r="F7" s="1"/>
      <x:c r="G7" s="1"/>
      <x:c r="H7" s="1"/>
      <x:c r="I7" s="1"/>
      <x:c r="J7" s="1"/>
    </x:row>
    <x:row r="8">
      <x:c r="A8" s="1" t="str">
        <x:v>Evaluated theses</x:v>
      </x:c>
      <x:c r="B8" s="40" t="n">
        <x:f>COUNT('Thesis Ledger'!$AD$6:$AD$205)</x:f>
        <x:v>0</x:v>
      </x:c>
      <x:c r="C8" s="1"/>
      <x:c r="D8" s="1"/>
      <x:c r="E8" s="1"/>
      <x:c r="F8" s="1"/>
      <x:c r="G8" s="1"/>
      <x:c r="H8" s="1"/>
      <x:c r="I8" s="1"/>
      <x:c r="J8" s="1"/>
    </x:row>
    <x:row r="9">
      <x:c r="A9" s="1" t="str">
        <x:v>Average prediction score</x:v>
      </x:c>
      <x:c r="B9" s="41" t="str">
        <x:f>IFERROR(AVERAGE('Thesis Ledger'!$AD$6:$AD$205),"")</x:f>
      </x:c>
      <x:c r="C9" s="1"/>
      <x:c r="D9" s="1"/>
      <x:c r="E9" s="1"/>
      <x:c r="F9" s="1"/>
      <x:c r="G9" s="1"/>
      <x:c r="H9" s="1"/>
      <x:c r="I9" s="1"/>
      <x:c r="J9" s="1"/>
    </x:row>
    <x:row r="10">
      <x:c r="A10" s="35" t="str">
        <x:v>Preferred entry theses</x:v>
      </x:c>
      <x:c r="B10" s="42" t="n">
        <x:f>COUNTIF('Thesis Ledger'!$M$6:$M$205,"PREFERRED")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Actionable</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46283</x:v>
      </x:c>
    </x:row>
    <x:row r="14">
      <x:c r="A14" s="1" t="str">
        <x:f>'Thesis Ledger'!A7</x:f>
        <x:v>EEI-2026-002</x:v>
      </x:c>
      <x:c r="B14" s="1" t="str">
        <x:f>'Thesis Ledger'!B7</x:f>
        <x:v>Gas disruption and coal substitution</x:v>
      </x:c>
      <x:c r="C14" s="1" t="str">
        <x:f>'Thesis Ledger'!C7</x:f>
        <x:v>Energy and materials</x:v>
      </x:c>
      <x:c r="D14" s="1" t="str">
        <x:f>'Thesis Ledger'!F7</x:f>
        <x:v>Developing</x:v>
      </x:c>
      <x:c r="E14" s="1" t="n">
        <x:f>'Thesis Ledger'!K7</x:f>
        <x:v>3</x:v>
      </x:c>
      <x:c r="F14" s="1" t="n">
        <x:f>'Thesis Ledger'!L7</x:f>
        <x:v>3</x:v>
      </x:c>
      <x:c r="G14" s="1" t="str">
        <x:f>'Thesis Ledger'!M7</x:f>
        <x:v>WAIT</x:v>
      </x:c>
      <x:c r="H14" s="13" t="n">
        <x:f>'Thesis Ledger'!D7</x:f>
        <x:v>46275</x:v>
      </x:c>
      <x:c r="I14" s="1" t="str">
        <x:f>'Thesis Ledger'!H7</x:f>
        <x:v>Coal demand from fuel switching</x:v>
      </x:c>
      <x:c r="J14" s="13" t="n">
        <x:f>'Thesis Ledger'!W7</x:f>
        <x:v>46296</x:v>
      </x:c>
    </x:row>
    <x:row r="15">
      <x:c r="A15" s="1" t="str">
        <x:f>'Thesis Ledger'!A8</x:f>
        <x:v>EEI-2026-003</x:v>
      </x:c>
      <x:c r="B15" s="1" t="str">
        <x:f>'Thesis Ledger'!B8</x:f>
        <x:v>2026 midterm political shift</x:v>
      </x:c>
      <x:c r="C15" s="1" t="str">
        <x:f>'Thesis Ledger'!C8</x:f>
        <x:v>Multi-sector</x:v>
      </x:c>
      <x:c r="D15" s="1" t="str">
        <x:f>'Thesis Ledger'!F8</x:f>
        <x:v>Developing</x:v>
      </x:c>
      <x:c r="E15" s="1" t="n">
        <x:f>'Thesis Ledger'!K8</x:f>
        <x:v>3</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Actionable</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46283.5</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Actionable</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Saudi rerouting through Oman and expected East-West pipeline repair are improving adaptation. Brent and WTI extended losses on September 17, and negotiations or a verified reopening could compress the war premium quickly.</x:v>
      </x:c>
      <x:c r="R6" s="29" t="str">
        <x:v>Mr Global remains an enhancer only; no new independently logged enhancer changed the thesis.</x:v>
      </x:c>
      <x:c r="S6" s="29" t="str">
        <x:v>Mixed confirmation: physical throughput remains extremely impaired, but Brent near $104 and WTI near $101 were declining as rerouting and repair expectations increased. The thesis remains intact while the remaining edge stays limited.</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t="n">
        <x:v>46283</x:v>
      </x:c>
      <x:c r="X6" s="43"/>
      <x:c r="Y6" s="29"/>
      <x:c r="Z6" s="29"/>
      <x:c r="AA6" s="29"/>
      <x:c r="AB6" s="29"/>
      <x:c r="AC6" s="29"/>
      <x:c r="AD6" s="29" t="str">
        <x:v>Open. September 17 update: only three commercial ships transited Hormuz on September 16, but Saudi rerouting and expected pipeline repair extended crude's pullback. Status Actionable, confidence 5/5, trading edge 1/5 and Entry Window WAIT remain unchanged. Do not chase; reconsider only after an orderly consolidation or retracement while physical tightness persists.</x:v>
      </x:c>
      <x:c r="AE6" s="31" t="str">
        <x:f>IF(COUNTA(Y6:AC6)=0,"",COUNTIF(Y6:AC6,"Yes")/COUNTA(Y6:AC6))</x:f>
      </x:c>
    </x:row>
    <x:row r="7">
      <x:c r="A7" s="27" t="str">
        <x:v>EEI-2026-002</x:v>
      </x:c>
      <x:c r="B7" s="27" t="str">
        <x:v>Gas disruption and coal substitution</x:v>
      </x:c>
      <x:c r="C7" s="27" t="str">
        <x:v>Energy and materials</x:v>
      </x:c>
      <x:c r="D7" s="30" t="n">
        <x:v>46275</x:v>
      </x:c>
      <x:c r="E7" s="30" t="n">
        <x:v>46275.5</x:v>
      </x:c>
      <x:c r="F7" s="27" t="str">
        <x:v>Developing</x:v>
      </x:c>
      <x:c r="G7" s="27" t="str">
        <x:v>Supply chain</x:v>
      </x:c>
      <x:c r="H7" s="27" t="str">
        <x:v>Coal demand from fuel switching</x:v>
      </x:c>
      <x:c r="I7" s="27" t="str">
        <x:v>Up</x:v>
      </x:c>
      <x:c r="J7" s="27" t="str">
        <x:v>Weeks to months</x:v>
      </x:c>
      <x:c r="K7" s="27" t="n">
        <x:v>3</x:v>
      </x:c>
      <x:c r="L7" s="27" t="n">
        <x:v>3</x:v>
      </x:c>
      <x:c r="M7" s="27" t="str">
        <x:v>WAIT</x:v>
      </x:c>
      <x:c r="N7" s="29" t="str">
        <x:v>Gas and LNG disruption may cause utilities or industrial users to substitute coal.</x:v>
      </x:c>
      <x:c r="O7" s="29" t="str">
        <x:v>Constrained gas availability and higher gas prices improve the relative economics of coal where switching is feasible.</x:v>
      </x:c>
      <x:c r="P7" s="29" t="str">
        <x:v>IEA demand revisions and gas or LNG disruption evidence.</x:v>
      </x:c>
      <x:c r="Q7" s="29" t="str">
        <x:v>De-escalation, restored gas supply, emissions restrictions, limited switching capacity, or coal already repriced.</x:v>
      </x:c>
      <x:c r="R7" s="29" t="str"/>
      <x:c r="S7" s="29" t="str">
        <x:v>Needs continuing coal-price, producer and utility-demand confirmation.</x:v>
      </x:c>
      <x:c r="T7" s="29" t="str">
        <x:v>Direct coal exposure where available; coal producers after mapping review</x:v>
      </x:c>
      <x:c r="U7" s="29" t="str">
        <x:v>Gas normalization or demand data failing to show substitution.</x:v>
      </x:c>
      <x:c r="V7" s="43" t="n">
        <x:v>46275</x:v>
      </x:c>
      <x:c r="W7" s="43" t="n">
        <x:v>46296</x:v>
      </x:c>
      <x:c r="X7" s="43"/>
      <x:c r="Y7" s="29"/>
      <x:c r="Z7" s="29"/>
      <x:c r="AA7" s="29"/>
      <x:c r="AB7" s="29"/>
      <x:c r="AC7" s="29"/>
      <x:c r="AD7" s="29" t="str">
        <x:v>Second-order thesis; instrument mapping remains incomplete.</x:v>
      </x:c>
      <x:c r="AE7" s="31" t="str">
        <x:f>IF(COUNTA(Y7:AC7)=0,"",COUNTIF(Y7:AC7,"Yes")/COUNTA(Y7:AC7))</x:f>
      </x:c>
    </x:row>
    <x:row r="8">
      <x:c r="A8" s="27" t="str">
        <x:v>EEI-2026-003</x:v>
      </x:c>
      <x:c r="B8" s="27" t="str">
        <x:v>2026 midterm political shift</x:v>
      </x:c>
      <x:c r="C8" s="27" t="str">
        <x:v>Multi-sector</x:v>
      </x:c>
      <x:c r="D8" s="30" t="n">
        <x:v>46274</x:v>
      </x:c>
      <x:c r="E8" s="30" t="n">
        <x:v>46274.5</x:v>
      </x:c>
      <x:c r="F8" s="27" t="str">
        <x:v>Developing</x:v>
      </x:c>
      <x:c r="G8" s="27" t="str">
        <x:v>Political and policy</x:v>
      </x:c>
      <x:c r="H8" s="27" t="str">
        <x:v>Market breadth, policy expectations and sector leadership</x:v>
      </x:c>
      <x:c r="I8" s="27" t="str">
        <x:v>Mixed to up</x:v>
      </x:c>
      <x:c r="J8" s="27" t="str">
        <x:v>Weeks to months</x:v>
      </x:c>
      <x:c r="K8" s="27" t="n">
        <x:v>3</x:v>
      </x:c>
      <x:c r="L8" s="27" t="n">
        <x:v>1</x:v>
      </x:c>
      <x:c r="M8" s="27" t="str">
        <x:v>WAIT</x:v>
      </x:c>
      <x:c r="N8" s="29" t="str">
        <x:v>A September 14 Reuters/Ipsos national survey showed a wider generic congressional-ballot gap than earlier surveys. This is evidence of changing national sentiment, not confirmation of House or Senate control; district- and state-level contests remain decisive.</x:v>
      </x:c>
      <x:c r="O8" s="29" t="str">
        <x:v>Expected changes in fiscal, regulatory and sector policy could alter risk appetite and relative performance.</x:v>
      </x:c>
      <x:c r="P8" s="29" t="str">
        <x:v>Wednesday's pre-Fed tape supplied partial market confirmation: exchange breadth turned positive, IWM, XLI, XLB, XLV and XBI advanced, and lower crude prices reduced immediate inflation pressure. August retail sales also showed resilient demand. Cook Political Report published a revised assessment of the New Hampshire Senate race on September 15, confirming that the chamber outlook remains fluid rather than settled.</x:v>
      </x:c>
      <x:c r="Q8" s="29" t="str">
        <x:v>The improvement is incomplete and event-dependent. RSP still trailed SPY, XLF declined, and the Federal Reserve decision and press conference were still pending. August import prices rose 0.7% month over month and 7.0% year over year, while Brent remained near $107 and the 10-year Treasury had recently exceeded 5%. These conditions can keep financing costs and discount rates high even if political uncertainty later falls.</x:v>
      </x:c>
      <x:c r="R8" s="29"/>
      <x:c r="S8" s="29" t="str">
        <x:v>At approximately 11:24 a.m. ET on September 16, SPY was up 0.41%, RSP 0.13%, IWM 0.43%, XLI 0.76%, XLB 0.61%, XLV 0.38%, XBI 0.55% and CPER 0.98%; XLF was down 0.56%. Reuters reported advancers leading decliners by 1.44-to-one on the NYSE and 1.33-to-one on Nasdaq. This reverses Tuesday's negative breadth but does not yet show sustained equal-weight leadership.</x:v>
      </x:c>
      <x:c r="T8" s="29" t="str">
        <x:v>XLI and XLB/CPER deserve the closest conditional attention because they participated in improving breadth. IWM and XBI supplied partial confirmation but need follow-through after the Fed. SPY remains watch-only; RSP must begin outperforming SPY, while XLF requires a more favorable rate and credit response. XLV remains secondary unless leadership persists beyond defensive sessions.</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Open. September 16 brought a meaningful but incomplete improvement in market breadth as industrials, materials, small caps and biotech participated while crude eased. The signal arrived before the Federal Reserve decision, equal weight still lagged SPY and financials declined. Classification remains Developing; the existing confidence and trading-edge fields are unchanged. Entry Window remains WAIT and inactive until the thesis becomes Actionable.</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Actionable</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t="n">
        <x:v>46283.5</x:v>
      </x:c>
      <x:c r="X9" s="43"/>
      <x:c r="Y9" s="29"/>
      <x:c r="Z9" s="29"/>
      <x:c r="AA9" s="29"/>
      <x:c r="AB9" s="29"/>
      <x:c r="AC9" s="29"/>
      <x:c r="AD9" s="29" t="str">
        <x:v>Open. The September 16 Fed hike confirmed the predicted policy direction, but it was anticipated and long-duration yields did not rise. Trading edge reduced from 2/5 to 1/5; status remains Actionable, confidence 4/5 and Entry Window WAIT. Formal outcome evaluation remains scheduled for September 18.</x:v>
      </x:c>
      <x:c r="AE9" s="31" t="str">
        <x:f>IF(COUNTA(Y9:AC9)=0,"",COUNTIF(Y9:AC9,"Yes")/COUNTA(Y9:AC9))</x:f>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x:v>
      </x:c>
      <x:c r="Q10" s="29" t="str">
        <x:v>Legacy portfolio revenue still fell 4%; major exclusivity losses remain multi-year; long-term debt was about $42.1 billion at quarter-end; and one strong quarter does not prove the portfolio can offset the full patent cliff.</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Motley Fool is trigger only. SEC results independently support the economic mechanism, but patent-cliff and leverage contradictions keep the thesis Developing at 3/5 confidence and 3/5 trading edge. Entry Window WAIT.</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46283</x:v>
      </x:c>
      <x:c r="X13" s="43"/>
      <x:c r="Y13" s="29"/>
      <x:c r="Z13" s="29"/>
      <x:c r="AA13" s="29"/>
      <x:c r="AB13" s="29"/>
      <x:c r="AC13" s="29"/>
      <x:c r="AD13" s="29" t="str">
        <x:v>Open. Primary government confirmation strengthened the economic mechanism, but ELMT's roughly 33% September 14 jump reduced trading edge from 2/5 to 1/5. Entry Window remains WAIT pending consolidation or retracement, primary award indexing, full capital terms and milestone visibility. Formal first evaluation remains due September 18.</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Asian diesel refining margins exceeded $87 per barrel on September 16 while European and U.S. diesel prices remained near records, separating the refined-products shortage from the already-mature crude thesis.</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Record Asian diesel cracks and 12-year-low European inventories now have broader physical confirmation: only three ships transited Hormuz on September 16, two Russian refineries were halted after attacks, Ghana reduced regional fuel exports, and European gasoil and U.S. ULSD futures reached records.</x:v>
      </x:c>
      <x:c r="Q14" s="29" t="str">
        <x:v>Crude supply adaptation through Saudi rerouting and expected pipeline repair could ease feedstock pressure. Record product prices can destroy demand, increase refinery runs and invite subsidies, export controls or other policy intervention; Brazil's diesel subsidy shows that response is already occurring.</x:v>
      </x:c>
      <x:c r="R14" s="29"/>
      <x:c r="S14" s="29" t="str">
        <x:v>Strong cross-market confirmation: record diesel and gasoil futures, record Asian cracks, very low European inventories, refinery outages and regional export rationing all point to a product-specific shortage even as crude prices eased.</x:v>
      </x:c>
      <x:c r="T14" s="29" t="str">
        <x:v>Conditional only after an orderly consolidation or retracement while physical shortages and crack spreads remain elevated. CRAK is the diversified refining expression; VLO, MPC and PSX add company-specific execution and valuation risk. Direct diesel/gasoil futures are cleaner but introduce leverage, roll, liquidity and contract-specification risks.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n">
        <x:v>46296</x:v>
      </x:c>
      <x:c r="X14" s="43"/>
      <x:c r="Y14" s="29"/>
      <x:c r="Z14" s="29"/>
      <x:c r="AA14" s="29"/>
      <x:c r="AB14" s="29"/>
      <x:c r="AC14" s="29"/>
      <x:c r="AD14" s="29" t="str">
        <x:v>Open. Promoted from Strong to Actionable on September 17 after the shortage broadened across shipping, inventories, refinery outages, regional export rationing and record product markets. Confidence increased to 5/5; trading edge remains 1/5 and Entry Window WAIT because prices and cracks are already at records. Reassess after an orderly consolidation with tight physical balances intact or if repair, demand destruction or policy action normalizes supply.</x:v>
      </x:c>
      <x:c r="AE14" s="31" t="str">
        <x:f>IF(COUNTA(Y14:AC14)=0,"",COUNTIF(Y14:AC14,"Yes")/COUNTA(Y14:AC14))</x:f>
      </x:c>
    </x:row>
    <x:row r="15">
      <x:c r="A15" s="27"/>
      <x:c r="B15" s="27"/>
      <x:c r="C15" s="27"/>
      <x:c r="D15" s="30"/>
      <x:c r="E15" s="30"/>
      <x:c r="F15" s="27"/>
      <x:c r="G15" s="27"/>
      <x:c r="H15" s="27"/>
      <x:c r="I15" s="27"/>
      <x:c r="J15" s="27"/>
      <x:c r="K15" s="27"/>
      <x:c r="L15" s="27"/>
      <x:c r="M15" s="27"/>
      <x:c r="N15" s="29"/>
      <x:c r="O15" s="29"/>
      <x:c r="P15" s="29"/>
      <x:c r="Q15" s="29"/>
      <x:c r="R15" s="29"/>
      <x:c r="S15" s="29"/>
      <x:c r="T15" s="29"/>
      <x:c r="U15" s="29"/>
      <x:c r="V15" s="43"/>
      <x:c r="W15" s="43"/>
      <x:c r="X15" s="43"/>
      <x:c r="Y15" s="29"/>
      <x:c r="Z15" s="29"/>
      <x:c r="AA15" s="29"/>
      <x:c r="AB15" s="29"/>
      <x:c r="AC15" s="29"/>
      <x:c r="AD15" s="29"/>
      <x:c r="AE15" s="31" t="str">
        <x:f>IF(COUNTA(Y15:AC15)=0,"",COUNTIF(Y15:AC15,"Yes")/COUNTA(Y15:AC15))</x:f>
      </x:c>
    </x:row>
    <x:row r="16">
      <x:c r="A16" s="27"/>
      <x:c r="B16" s="27"/>
      <x:c r="C16" s="27"/>
      <x:c r="D16" s="30"/>
      <x:c r="E16" s="30"/>
      <x:c r="F16" s="27"/>
      <x:c r="G16" s="27"/>
      <x:c r="H16" s="27"/>
      <x:c r="I16" s="27"/>
      <x:c r="J16" s="27"/>
      <x:c r="K16" s="27"/>
      <x:c r="L16" s="27"/>
      <x:c r="M16" s="27"/>
      <x:c r="N16" s="29"/>
      <x:c r="O16" s="29"/>
      <x:c r="P16" s="29"/>
      <x:c r="Q16" s="29"/>
      <x:c r="R16" s="29"/>
      <x:c r="S16" s="29"/>
      <x:c r="T16" s="29"/>
      <x:c r="U16" s="29"/>
      <x:c r="V16" s="43"/>
      <x:c r="W16" s="43"/>
      <x:c r="X16" s="43"/>
      <x:c r="Y16" s="29"/>
      <x:c r="Z16" s="29"/>
      <x:c r="AA16" s="29"/>
      <x:c r="AB16" s="29"/>
      <x:c r="AC16" s="29"/>
      <x:c r="AD16" s="29"/>
      <x:c r="AE16" s="31" t="str">
        <x:f>IF(COUNTA(Y16:AC16)=0,"",COUNTIF(Y16:AC16,"Yes")/COUNTA(Y16:AC16))</x:f>
      </x:c>
    </x:row>
    <x:row r="17">
      <x:c r="A17" s="27"/>
      <x:c r="B17" s="27"/>
      <x:c r="C17" s="27"/>
      <x:c r="D17" s="30"/>
      <x:c r="E17" s="30"/>
      <x:c r="F17" s="27"/>
      <x:c r="G17" s="27"/>
      <x:c r="H17" s="27"/>
      <x:c r="I17" s="27"/>
      <x:c r="J17" s="27"/>
      <x:c r="K17" s="27"/>
      <x:c r="L17" s="27"/>
      <x:c r="M17" s="27"/>
      <x:c r="N17" s="29"/>
      <x:c r="O17" s="29"/>
      <x:c r="P17" s="29"/>
      <x:c r="Q17" s="29"/>
      <x:c r="R17" s="29"/>
      <x:c r="S17" s="29"/>
      <x:c r="T17" s="29"/>
      <x:c r="U17" s="29"/>
      <x:c r="V17" s="43"/>
      <x:c r="W17" s="43"/>
      <x:c r="X17" s="43"/>
      <x:c r="Y17" s="29"/>
      <x:c r="Z17" s="29"/>
      <x:c r="AA17" s="29"/>
      <x:c r="AB17" s="29"/>
      <x:c r="AC17" s="29"/>
      <x:c r="AD17" s="29"/>
      <x:c r="AE17" s="31" t="str">
        <x:f>IF(COUNTA(Y17:AC17)=0,"",COUNTIF(Y17:AC17,"Yes")/COUNTA(Y17:AC17))</x:f>
      </x:c>
    </x:row>
    <x:row r="18">
      <x:c r="A18" s="27"/>
      <x:c r="B18" s="27"/>
      <x:c r="C18" s="27"/>
      <x:c r="D18" s="30"/>
      <x:c r="E18" s="30"/>
      <x:c r="F18" s="27"/>
      <x:c r="G18" s="27"/>
      <x:c r="H18" s="27"/>
      <x:c r="I18" s="27"/>
      <x:c r="J18" s="27"/>
      <x:c r="K18" s="27"/>
      <x:c r="L18" s="27"/>
      <x:c r="M18" s="27"/>
      <x:c r="N18" s="29"/>
      <x:c r="O18" s="29"/>
      <x:c r="P18" s="29"/>
      <x:c r="Q18" s="29"/>
      <x:c r="R18" s="29"/>
      <x:c r="S18" s="29"/>
      <x:c r="T18" s="29"/>
      <x:c r="U18" s="29"/>
      <x:c r="V18" s="43"/>
      <x:c r="W18" s="43"/>
      <x:c r="X18" s="43"/>
      <x:c r="Y18" s="29"/>
      <x:c r="Z18" s="29"/>
      <x:c r="AA18" s="29"/>
      <x:c r="AB18" s="29"/>
      <x:c r="AC18" s="29"/>
      <x:c r="AD18" s="29"/>
      <x:c r="AE18" s="31" t="str">
        <x:f>IF(COUNTA(Y18:AC18)=0,"",COUNTIF(Y18:AC18,"Yes")/COUNTA(Y18:AC18))</x:f>
      </x:c>
    </x:row>
    <x:row r="19">
      <x:c r="A19" s="27"/>
      <x:c r="B19" s="27"/>
      <x:c r="C19" s="27"/>
      <x:c r="D19" s="30"/>
      <x:c r="E19" s="30"/>
      <x:c r="F19" s="27"/>
      <x:c r="G19" s="27"/>
      <x:c r="H19" s="27"/>
      <x:c r="I19" s="27"/>
      <x:c r="J19" s="27"/>
      <x:c r="K19" s="27"/>
      <x:c r="L19" s="27"/>
      <x:c r="M19" s="27"/>
      <x:c r="N19" s="29"/>
      <x:c r="O19" s="29"/>
      <x:c r="P19" s="29"/>
      <x:c r="Q19" s="29"/>
      <x:c r="R19" s="29"/>
      <x:c r="S19" s="29"/>
      <x:c r="T19" s="29"/>
      <x:c r="U19" s="29"/>
      <x:c r="V19" s="43"/>
      <x:c r="W19" s="43"/>
      <x:c r="X19" s="43"/>
      <x:c r="Y19" s="29"/>
      <x:c r="Z19" s="29"/>
      <x:c r="AA19" s="29"/>
      <x:c r="AB19" s="29"/>
      <x:c r="AC19" s="29"/>
      <x:c r="AD19" s="29"/>
      <x:c r="AE19" s="31" t="str">
        <x:f>IF(COUNTA(Y19:AC19)=0,"",COUNTIF(Y19:AC19,"Yes")/COUNTA(Y19:AC19))</x:f>
      </x:c>
    </x:row>
    <x:row r="20">
      <x:c r="A20" s="27"/>
      <x:c r="B20" s="27"/>
      <x:c r="C20" s="27"/>
      <x:c r="D20" s="30"/>
      <x:c r="E20" s="30"/>
      <x:c r="F20" s="27"/>
      <x:c r="G20" s="27"/>
      <x:c r="H20" s="27"/>
      <x:c r="I20" s="27"/>
      <x:c r="J20" s="27"/>
      <x:c r="K20" s="27"/>
      <x:c r="L20" s="27"/>
      <x:c r="M20" s="27"/>
      <x:c r="N20" s="29"/>
      <x:c r="O20" s="29"/>
      <x:c r="P20" s="29"/>
      <x:c r="Q20" s="29"/>
      <x:c r="R20" s="29"/>
      <x:c r="S20" s="29"/>
      <x:c r="T20" s="29"/>
      <x:c r="U20" s="29"/>
      <x:c r="V20" s="43"/>
      <x:c r="W20" s="43"/>
      <x:c r="X20" s="43"/>
      <x:c r="Y20" s="29"/>
      <x:c r="Z20" s="29"/>
      <x:c r="AA20" s="29"/>
      <x:c r="AB20" s="29"/>
      <x:c r="AC20" s="29"/>
      <x:c r="AD20" s="29"/>
      <x:c r="AE20" s="31" t="str">
        <x:f>IF(COUNTA(Y20:AC20)=0,"",COUNTIF(Y20:AC20,"Yes")/COUNTA(Y20:AC20))</x:f>
      </x:c>
    </x:row>
    <x:row r="21">
      <x:c r="A21" s="27"/>
      <x:c r="B21" s="27"/>
      <x:c r="C21" s="27"/>
      <x:c r="D21" s="30"/>
      <x:c r="E21" s="30"/>
      <x:c r="F21" s="27"/>
      <x:c r="G21" s="27"/>
      <x:c r="H21" s="27"/>
      <x:c r="I21" s="27"/>
      <x:c r="J21" s="27"/>
      <x:c r="K21" s="27"/>
      <x:c r="L21" s="27"/>
      <x:c r="M21" s="27"/>
      <x:c r="N21" s="29"/>
      <x:c r="O21" s="29"/>
      <x:c r="P21" s="29"/>
      <x:c r="Q21" s="29"/>
      <x:c r="R21" s="29"/>
      <x:c r="S21" s="29"/>
      <x:c r="T21" s="29"/>
      <x:c r="U21" s="29"/>
      <x:c r="V21" s="43"/>
      <x:c r="W21" s="43"/>
      <x:c r="X21" s="43"/>
      <x:c r="Y21" s="29"/>
      <x:c r="Z21" s="29"/>
      <x:c r="AA21" s="29"/>
      <x:c r="AB21" s="29"/>
      <x:c r="AC21" s="29"/>
      <x:c r="AD21" s="29"/>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f43555afa9f1435b"/>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x:c r="B92" s="27"/>
      <x:c r="C92" s="28"/>
      <x:c r="D92" s="27"/>
      <x:c r="E92" s="27"/>
      <x:c r="F92" s="27"/>
      <x:c r="G92" s="29"/>
      <x:c r="H92" s="29"/>
      <x:c r="I92" s="29"/>
      <x:c r="J92" s="29"/>
      <x:c r="K92" s="29"/>
    </x:row>
    <x:row r="93">
      <x:c r="A93" s="27"/>
      <x:c r="B93" s="27"/>
      <x:c r="C93" s="28"/>
      <x:c r="D93" s="27"/>
      <x:c r="E93" s="27"/>
      <x:c r="F93" s="27"/>
      <x:c r="G93" s="29"/>
      <x:c r="H93" s="29"/>
      <x:c r="I93" s="29"/>
      <x:c r="J93" s="29"/>
      <x:c r="K93" s="29"/>
    </x:row>
    <x:row r="94">
      <x:c r="A94" s="27"/>
      <x:c r="B94" s="27"/>
      <x:c r="C94" s="28"/>
      <x:c r="D94" s="27"/>
      <x:c r="E94" s="27"/>
      <x:c r="F94" s="27"/>
      <x:c r="G94" s="29"/>
      <x:c r="H94" s="29"/>
      <x:c r="I94" s="29"/>
      <x:c r="J94" s="29"/>
      <x:c r="K94" s="29"/>
    </x:row>
    <x:row r="95">
      <x:c r="A95" s="27"/>
      <x:c r="B95" s="27"/>
      <x:c r="C95" s="28"/>
      <x:c r="D95" s="27"/>
      <x:c r="E95" s="27"/>
      <x:c r="F95" s="27"/>
      <x:c r="G95" s="29"/>
      <x:c r="H95" s="29"/>
      <x:c r="I95" s="29"/>
      <x:c r="J95" s="29"/>
      <x:c r="K95" s="29"/>
    </x:row>
    <x:row r="96">
      <x:c r="A96" s="27"/>
      <x:c r="B96" s="27"/>
      <x:c r="C96" s="28"/>
      <x:c r="D96" s="27"/>
      <x:c r="E96" s="27"/>
      <x:c r="F96" s="27"/>
      <x:c r="G96" s="29"/>
      <x:c r="H96" s="29"/>
      <x:c r="I96" s="29"/>
      <x:c r="J96" s="29"/>
      <x:c r="K96" s="29"/>
    </x:row>
    <x:row r="97">
      <x:c r="A97" s="27"/>
      <x:c r="B97" s="27"/>
      <x:c r="C97" s="28"/>
      <x:c r="D97" s="27"/>
      <x:c r="E97" s="27"/>
      <x:c r="F97" s="27"/>
      <x:c r="G97" s="29"/>
      <x:c r="H97" s="29"/>
      <x:c r="I97" s="29"/>
      <x:c r="J97" s="29"/>
      <x:c r="K97" s="29"/>
    </x:row>
    <x:row r="98">
      <x:c r="A98" s="27"/>
      <x:c r="B98" s="27"/>
      <x:c r="C98" s="28"/>
      <x:c r="D98" s="27"/>
      <x:c r="E98" s="27"/>
      <x:c r="F98" s="27"/>
      <x:c r="G98" s="29"/>
      <x:c r="H98" s="29"/>
      <x:c r="I98" s="29"/>
      <x:c r="J98" s="29"/>
      <x:c r="K98" s="29"/>
    </x:row>
    <x:row r="99">
      <x:c r="A99" s="27"/>
      <x:c r="B99" s="27"/>
      <x:c r="C99" s="28"/>
      <x:c r="D99" s="27"/>
      <x:c r="E99" s="27"/>
      <x:c r="F99" s="27"/>
      <x:c r="G99" s="29"/>
      <x:c r="H99" s="29"/>
      <x:c r="I99" s="29"/>
      <x:c r="J99" s="29"/>
      <x:c r="K99" s="29"/>
    </x:row>
    <x:row r="100">
      <x:c r="A100" s="27"/>
      <x:c r="B100" s="27"/>
      <x:c r="C100" s="28"/>
      <x:c r="D100" s="27"/>
      <x:c r="E100" s="27"/>
      <x:c r="F100" s="27"/>
      <x:c r="G100" s="29"/>
      <x:c r="H100" s="29"/>
      <x:c r="I100" s="29"/>
      <x:c r="J100" s="29"/>
      <x:c r="K100" s="29"/>
    </x:row>
    <x:row r="101">
      <x:c r="A101"/>
      <x:c r="B101"/>
      <x:c r="C101" s="21"/>
      <x:c r="D101"/>
      <x:c r="E101"/>
      <x:c r="F101"/>
      <x:c r="G101" s="44"/>
      <x:c r="H101" s="44"/>
      <x:c r="I101" s="44"/>
      <x:c r="J101" s="44"/>
      <x:c r="K101" s="44"/>
    </x:row>
    <x:row r="102">
      <x:c r="A102"/>
      <x:c r="B102"/>
      <x:c r="C102" s="21"/>
      <x:c r="D102"/>
      <x:c r="E102"/>
      <x:c r="F102"/>
      <x:c r="G102" s="44"/>
      <x:c r="H102" s="44"/>
      <x:c r="I102" s="44"/>
      <x:c r="J102" s="44"/>
      <x:c r="K102" s="44"/>
    </x:row>
    <x:row r="103">
      <x:c r="A103"/>
      <x:c r="B103"/>
      <x:c r="C103" s="21"/>
      <x:c r="D103"/>
      <x:c r="E103"/>
      <x:c r="F103"/>
      <x:c r="G103" s="44"/>
      <x:c r="H103" s="44"/>
      <x:c r="I103" s="44"/>
      <x:c r="J103" s="44"/>
      <x:c r="K103" s="44"/>
    </x:row>
    <x:row r="104">
      <x:c r="A104"/>
      <x:c r="B104"/>
      <x:c r="C104" s="21"/>
      <x:c r="D104"/>
      <x:c r="E104"/>
      <x:c r="F104"/>
      <x:c r="G104" s="44"/>
      <x:c r="H104" s="44"/>
      <x:c r="I104" s="44"/>
      <x:c r="J104" s="44"/>
      <x:c r="K104" s="44"/>
    </x:row>
    <x:row r="105">
      <x:c r="C105" s="21"/>
      <x:c r="G105" s="44"/>
      <x:c r="H105" s="44"/>
      <x:c r="I105" s="44"/>
      <x:c r="J105" s="44"/>
      <x:c r="K105" s="44"/>
    </x:row>
    <x:row r="106">
      <x:c r="C106" s="21"/>
      <x:c r="G106" s="44"/>
      <x:c r="H106" s="44"/>
      <x:c r="I106" s="44"/>
      <x:c r="J106" s="44"/>
      <x:c r="K106" s="44"/>
    </x:row>
    <x:row r="107">
      <x:c r="C107" s="21"/>
      <x:c r="G107" s="44"/>
      <x:c r="H107" s="44"/>
      <x:c r="I107" s="44"/>
      <x:c r="J107" s="44"/>
      <x:c r="K107" s="44"/>
    </x:row>
    <x:row r="108">
      <x:c r="C108" s="21"/>
      <x:c r="G108" s="44"/>
      <x:c r="H108" s="44"/>
      <x:c r="I108" s="44"/>
      <x:c r="J108" s="44"/>
      <x:c r="K108" s="44"/>
    </x:row>
    <x:row r="109">
      <x:c r="C109" s="21"/>
      <x:c r="G109" s="44"/>
      <x:c r="H109" s="44"/>
      <x:c r="I109" s="44"/>
      <x:c r="J109" s="44"/>
      <x:c r="K109" s="44"/>
    </x:row>
    <x:row r="110">
      <x:c r="C110" s="21"/>
      <x:c r="G110" s="44"/>
      <x:c r="H110" s="44"/>
      <x:c r="I110" s="44"/>
      <x:c r="J110" s="44"/>
      <x:c r="K110" s="44"/>
    </x:row>
    <x:row r="111">
      <x:c r="C111" s="21"/>
      <x:c r="G111" s="44"/>
      <x:c r="H111" s="44"/>
      <x:c r="I111" s="44"/>
      <x:c r="J111" s="44"/>
      <x:c r="K111" s="44"/>
    </x:row>
    <x:row r="112">
      <x:c r="C112" s="21"/>
      <x:c r="G112" s="44"/>
      <x:c r="H112" s="44"/>
      <x:c r="I112" s="44"/>
      <x:c r="J112" s="44"/>
      <x:c r="K112" s="44"/>
    </x:row>
    <x:row r="113">
      <x:c r="C113" s="21"/>
      <x:c r="G113" s="44"/>
      <x:c r="H113" s="44"/>
      <x:c r="I113" s="44"/>
      <x:c r="J113" s="44"/>
      <x:c r="K113" s="44"/>
    </x:row>
    <x:row r="114">
      <x:c r="C114" s="21"/>
      <x:c r="G114" s="44"/>
      <x:c r="H114" s="44"/>
      <x:c r="I114" s="44"/>
      <x:c r="J114" s="44"/>
      <x:c r="K114" s="44"/>
    </x:row>
    <x:row r="115">
      <x:c r="C115" s="21"/>
      <x:c r="G115" s="44"/>
      <x:c r="H115" s="44"/>
      <x:c r="I115" s="44"/>
      <x:c r="J115" s="44"/>
      <x:c r="K115" s="44"/>
    </x:row>
    <x:row r="116">
      <x:c r="C116" s="21"/>
      <x:c r="G116" s="44"/>
      <x:c r="H116" s="44"/>
      <x:c r="I116" s="44"/>
      <x:c r="J116" s="44"/>
      <x:c r="K116" s="44"/>
    </x:row>
    <x:row r="117">
      <x:c r="C117" s="21"/>
      <x:c r="G117" s="44"/>
      <x:c r="H117" s="44"/>
      <x:c r="I117" s="44"/>
      <x:c r="J117" s="44"/>
      <x:c r="K117" s="44"/>
    </x:row>
    <x:row r="118">
      <x:c r="C118" s="21"/>
      <x:c r="G118" s="44"/>
      <x:c r="H118" s="44"/>
      <x:c r="I118" s="44"/>
      <x:c r="J118" s="44"/>
      <x:c r="K118" s="44"/>
    </x:row>
    <x:row r="119">
      <x:c r="C119" s="21"/>
      <x:c r="G119" s="44"/>
      <x:c r="H119" s="44"/>
      <x:c r="I119" s="44"/>
      <x:c r="J119" s="44"/>
      <x:c r="K119" s="44"/>
    </x:row>
    <x:row r="120">
      <x:c r="C120" s="21"/>
      <x:c r="G120" s="44"/>
      <x:c r="H120" s="44"/>
      <x:c r="I120" s="44"/>
      <x:c r="J120" s="44"/>
      <x:c r="K120" s="44"/>
    </x:row>
    <x:row r="121">
      <x:c r="C121" s="21"/>
      <x:c r="G121" s="44"/>
      <x:c r="H121" s="44"/>
      <x:c r="I121" s="44"/>
      <x:c r="J121" s="44"/>
      <x:c r="K121" s="44"/>
    </x:row>
    <x:row r="122">
      <x:c r="C122" s="21"/>
      <x:c r="G122" s="44"/>
      <x:c r="H122" s="44"/>
      <x:c r="I122" s="44"/>
      <x:c r="J122" s="44"/>
      <x:c r="K122" s="44"/>
    </x:row>
    <x:row r="123">
      <x:c r="C123" s="21"/>
      <x:c r="G123" s="44"/>
      <x:c r="H123" s="44"/>
      <x:c r="I123" s="44"/>
      <x:c r="J123" s="44"/>
      <x:c r="K123" s="44"/>
    </x:row>
    <x:row r="124">
      <x:c r="C124" s="21"/>
      <x:c r="G124" s="44"/>
      <x:c r="H124" s="44"/>
      <x:c r="I124" s="44"/>
      <x:c r="J124" s="44"/>
      <x:c r="K124" s="44"/>
    </x:row>
    <x:row r="125">
      <x:c r="C125" s="21"/>
      <x:c r="G125" s="44"/>
      <x:c r="H125" s="44"/>
      <x:c r="I125" s="44"/>
      <x:c r="J125" s="44"/>
      <x:c r="K125" s="44"/>
    </x:row>
    <x:row r="126">
      <x:c r="C126" s="21"/>
      <x:c r="G126" s="44"/>
      <x:c r="H126" s="44"/>
      <x:c r="I126" s="44"/>
      <x:c r="J126" s="44"/>
      <x:c r="K126" s="44"/>
    </x:row>
    <x:row r="127">
      <x:c r="C127" s="21"/>
      <x:c r="G127" s="44"/>
      <x:c r="H127" s="44"/>
      <x:c r="I127" s="44"/>
      <x:c r="J127" s="44"/>
      <x:c r="K127" s="44"/>
    </x:row>
    <x:row r="128">
      <x:c r="C128" s="21"/>
      <x:c r="G128" s="44"/>
      <x:c r="H128" s="44"/>
      <x:c r="I128" s="44"/>
      <x:c r="J128" s="44"/>
      <x:c r="K128" s="44"/>
    </x:row>
    <x:row r="129">
      <x:c r="C129" s="21"/>
      <x:c r="G129" s="44"/>
      <x:c r="H129" s="44"/>
      <x:c r="I129" s="44"/>
      <x:c r="J129" s="44"/>
      <x:c r="K129" s="44"/>
    </x:row>
    <x:row r="130">
      <x:c r="C130" s="21"/>
      <x:c r="G130" s="44"/>
      <x:c r="H130" s="44"/>
      <x:c r="I130" s="44"/>
      <x:c r="J130" s="44"/>
      <x:c r="K130" s="44"/>
    </x:row>
    <x:row r="131">
      <x:c r="C131" s="21"/>
      <x:c r="G131" s="44"/>
      <x:c r="H131" s="44"/>
      <x:c r="I131" s="44"/>
      <x:c r="J131" s="44"/>
      <x:c r="K131" s="44"/>
    </x:row>
    <x:row r="132">
      <x:c r="C132" s="21"/>
      <x:c r="G132" s="44"/>
      <x:c r="H132" s="44"/>
      <x:c r="I132" s="44"/>
      <x:c r="J132" s="44"/>
      <x:c r="K132" s="44"/>
    </x:row>
    <x:row r="133">
      <x:c r="C133" s="21"/>
      <x:c r="G133" s="44"/>
      <x:c r="H133" s="44"/>
      <x:c r="I133" s="44"/>
      <x:c r="J133" s="44"/>
      <x:c r="K133" s="44"/>
    </x:row>
    <x:row r="134">
      <x:c r="C134" s="21"/>
      <x:c r="G134" s="44"/>
      <x:c r="H134" s="44"/>
      <x:c r="I134" s="44"/>
      <x:c r="J134" s="44"/>
      <x:c r="K134" s="44"/>
    </x:row>
    <x:row r="135">
      <x:c r="C135" s="21"/>
      <x:c r="G135" s="44"/>
      <x:c r="H135" s="44"/>
      <x:c r="I135" s="44"/>
      <x:c r="J135" s="44"/>
      <x:c r="K135" s="44"/>
    </x:row>
    <x:row r="136">
      <x:c r="C136" s="21"/>
      <x:c r="G136" s="44"/>
      <x:c r="H136" s="44"/>
      <x:c r="I136" s="44"/>
      <x:c r="J136" s="44"/>
      <x:c r="K136" s="44"/>
    </x:row>
    <x:row r="137">
      <x:c r="C137" s="21"/>
      <x:c r="G137" s="44"/>
      <x:c r="H137" s="44"/>
      <x:c r="I137" s="44"/>
      <x:c r="J137" s="44"/>
      <x:c r="K137" s="44"/>
    </x:row>
    <x:row r="138">
      <x:c r="C138" s="21"/>
      <x:c r="G138" s="44"/>
      <x:c r="H138" s="44"/>
      <x:c r="I138" s="44"/>
      <x:c r="J138" s="44"/>
      <x:c r="K138" s="44"/>
    </x:row>
    <x:row r="139">
      <x:c r="C139" s="21"/>
      <x:c r="G139" s="44"/>
      <x:c r="H139" s="44"/>
      <x:c r="I139" s="44"/>
      <x:c r="J139" s="44"/>
      <x:c r="K139" s="44"/>
    </x:row>
    <x:row r="140">
      <x:c r="C140" s="21"/>
      <x:c r="G140" s="44"/>
      <x:c r="H140" s="44"/>
      <x:c r="I140" s="44"/>
      <x:c r="J140" s="44"/>
      <x:c r="K140" s="44"/>
    </x:row>
    <x:row r="141">
      <x:c r="C141" s="21"/>
      <x:c r="G141" s="44"/>
      <x:c r="H141" s="44"/>
      <x:c r="I141" s="44"/>
      <x:c r="J141" s="44"/>
      <x:c r="K141" s="44"/>
    </x:row>
    <x:row r="142">
      <x:c r="C142" s="21"/>
      <x:c r="G142" s="44"/>
      <x:c r="H142" s="44"/>
      <x:c r="I142" s="44"/>
      <x:c r="J142" s="44"/>
      <x:c r="K142" s="44"/>
    </x:row>
    <x:row r="143">
      <x:c r="C143" s="21"/>
      <x:c r="G143" s="44"/>
      <x:c r="H143" s="44"/>
      <x:c r="I143" s="44"/>
      <x:c r="J143" s="44"/>
      <x:c r="K143" s="44"/>
    </x:row>
    <x:row r="144">
      <x:c r="C144" s="21"/>
      <x:c r="G144" s="44"/>
      <x:c r="H144" s="44"/>
      <x:c r="I144" s="44"/>
      <x:c r="J144" s="44"/>
      <x:c r="K144" s="44"/>
    </x:row>
    <x:row r="145">
      <x:c r="C145" s="21"/>
      <x:c r="G145" s="44"/>
      <x:c r="H145" s="44"/>
      <x:c r="I145" s="44"/>
      <x:c r="J145" s="44"/>
      <x:c r="K145" s="44"/>
    </x:row>
    <x:row r="146">
      <x:c r="C146" s="21"/>
      <x:c r="G146" s="44"/>
      <x:c r="H146" s="44"/>
      <x:c r="I146" s="44"/>
      <x:c r="J146" s="44"/>
      <x:c r="K146" s="44"/>
    </x:row>
    <x:row r="147">
      <x:c r="C147" s="21"/>
      <x:c r="G147" s="44"/>
      <x:c r="H147" s="44"/>
      <x:c r="I147" s="44"/>
      <x:c r="J147" s="44"/>
      <x:c r="K147" s="44"/>
    </x:row>
    <x:row r="148">
      <x:c r="C148" s="21"/>
      <x:c r="G148" s="44"/>
      <x:c r="H148" s="44"/>
      <x:c r="I148" s="44"/>
      <x:c r="J148" s="44"/>
      <x:c r="K148" s="44"/>
    </x:row>
    <x:row r="149">
      <x:c r="C149" s="21"/>
      <x:c r="G149" s="44"/>
      <x:c r="H149" s="44"/>
      <x:c r="I149" s="44"/>
      <x:c r="J149" s="44"/>
      <x:c r="K149" s="44"/>
    </x:row>
    <x:row r="150">
      <x:c r="C150" s="21"/>
      <x:c r="G150" s="44"/>
      <x:c r="H150" s="44"/>
      <x:c r="I150" s="44"/>
      <x:c r="J150" s="44"/>
      <x:c r="K150" s="44"/>
    </x:row>
    <x:row r="151">
      <x:c r="C151" s="21"/>
      <x:c r="G151" s="44"/>
      <x:c r="H151" s="44"/>
      <x:c r="I151" s="44"/>
      <x:c r="J151" s="44"/>
      <x:c r="K151" s="44"/>
    </x:row>
    <x:row r="152">
      <x:c r="C152" s="21"/>
      <x:c r="G152" s="44"/>
      <x:c r="H152" s="44"/>
      <x:c r="I152" s="44"/>
      <x:c r="J152" s="44"/>
      <x:c r="K152" s="44"/>
    </x:row>
    <x:row r="153">
      <x:c r="C153" s="21"/>
      <x:c r="G153" s="44"/>
      <x:c r="H153" s="44"/>
      <x:c r="I153" s="44"/>
      <x:c r="J153" s="44"/>
      <x:c r="K153" s="44"/>
    </x:row>
    <x:row r="154">
      <x:c r="C154" s="21"/>
      <x:c r="G154" s="44"/>
      <x:c r="H154" s="44"/>
      <x:c r="I154" s="44"/>
      <x:c r="J154" s="44"/>
      <x:c r="K154" s="44"/>
    </x:row>
    <x:row r="155">
      <x:c r="C155" s="21"/>
      <x:c r="G155" s="44"/>
      <x:c r="H155" s="44"/>
      <x:c r="I155" s="44"/>
      <x:c r="J155" s="44"/>
      <x:c r="K155" s="44"/>
    </x:row>
    <x:row r="156">
      <x:c r="C156" s="21"/>
      <x:c r="G156" s="44"/>
      <x:c r="H156" s="44"/>
      <x:c r="I156" s="44"/>
      <x:c r="J156" s="44"/>
      <x:c r="K156" s="44"/>
    </x:row>
    <x:row r="157">
      <x:c r="C157" s="21"/>
      <x:c r="G157" s="44"/>
      <x:c r="H157" s="44"/>
      <x:c r="I157" s="44"/>
      <x:c r="J157" s="44"/>
      <x:c r="K157" s="44"/>
    </x:row>
    <x:row r="158">
      <x:c r="C158" s="21"/>
      <x:c r="G158" s="44"/>
      <x:c r="H158" s="44"/>
      <x:c r="I158" s="44"/>
      <x:c r="J158" s="44"/>
      <x:c r="K158" s="44"/>
    </x:row>
    <x:row r="159">
      <x:c r="C159" s="21"/>
      <x:c r="G159" s="44"/>
      <x:c r="H159" s="44"/>
      <x:c r="I159" s="44"/>
      <x:c r="J159" s="44"/>
      <x:c r="K159" s="44"/>
    </x:row>
    <x:row r="160">
      <x:c r="C160" s="21"/>
      <x:c r="G160" s="44"/>
      <x:c r="H160" s="44"/>
      <x:c r="I160" s="44"/>
      <x:c r="J160" s="44"/>
      <x:c r="K160" s="44"/>
    </x:row>
    <x:row r="161">
      <x:c r="C161" s="21"/>
      <x:c r="G161" s="44"/>
      <x:c r="H161" s="44"/>
      <x:c r="I161" s="44"/>
      <x:c r="J161" s="44"/>
      <x:c r="K161" s="44"/>
    </x:row>
    <x:row r="162">
      <x:c r="C162" s="21"/>
      <x:c r="G162" s="44"/>
      <x:c r="H162" s="44"/>
      <x:c r="I162" s="44"/>
      <x:c r="J162" s="44"/>
      <x:c r="K162" s="44"/>
    </x:row>
    <x:row r="163">
      <x:c r="C163" s="21"/>
      <x:c r="G163" s="44"/>
      <x:c r="H163" s="44"/>
      <x:c r="I163" s="44"/>
      <x:c r="J163" s="44"/>
      <x:c r="K163" s="44"/>
    </x:row>
    <x:row r="164">
      <x:c r="C164" s="21"/>
      <x:c r="G164" s="44"/>
      <x:c r="H164" s="44"/>
      <x:c r="I164" s="44"/>
      <x:c r="J164" s="44"/>
      <x:c r="K164" s="44"/>
    </x:row>
    <x:row r="165">
      <x:c r="C165" s="21"/>
      <x:c r="G165" s="44"/>
      <x:c r="H165" s="44"/>
      <x:c r="I165" s="44"/>
      <x:c r="J165" s="44"/>
      <x:c r="K165" s="44"/>
    </x:row>
    <x:row r="166">
      <x:c r="C166" s="21"/>
      <x:c r="G166" s="44"/>
      <x:c r="H166" s="44"/>
      <x:c r="I166" s="44"/>
      <x:c r="J166" s="44"/>
      <x:c r="K166" s="44"/>
    </x:row>
    <x:row r="167">
      <x:c r="C167" s="21"/>
      <x:c r="G167" s="44"/>
      <x:c r="H167" s="44"/>
      <x:c r="I167" s="44"/>
      <x:c r="J167" s="44"/>
      <x:c r="K167" s="44"/>
    </x:row>
    <x:row r="168">
      <x:c r="C168" s="21"/>
      <x:c r="G168" s="44"/>
      <x:c r="H168" s="44"/>
      <x:c r="I168" s="44"/>
      <x:c r="J168" s="44"/>
      <x:c r="K168" s="44"/>
    </x:row>
    <x:row r="169">
      <x:c r="C169" s="21"/>
      <x:c r="G169" s="44"/>
      <x:c r="H169" s="44"/>
      <x:c r="I169" s="44"/>
      <x:c r="J169" s="44"/>
      <x:c r="K169" s="44"/>
    </x:row>
    <x:row r="170">
      <x:c r="C170" s="21"/>
      <x:c r="G170" s="44"/>
      <x:c r="H170" s="44"/>
      <x:c r="I170" s="44"/>
      <x:c r="J170" s="44"/>
      <x:c r="K170" s="44"/>
    </x:row>
    <x:row r="171">
      <x:c r="C171" s="21"/>
      <x:c r="G171" s="44"/>
      <x:c r="H171" s="44"/>
      <x:c r="I171" s="44"/>
      <x:c r="J171" s="44"/>
      <x:c r="K171" s="44"/>
    </x:row>
    <x:row r="172">
      <x:c r="C172" s="21"/>
      <x:c r="G172" s="44"/>
      <x:c r="H172" s="44"/>
      <x:c r="I172" s="44"/>
      <x:c r="J172" s="44"/>
      <x:c r="K172" s="44"/>
    </x:row>
    <x:row r="173">
      <x:c r="C173" s="21"/>
      <x:c r="G173" s="44"/>
      <x:c r="H173" s="44"/>
      <x:c r="I173" s="44"/>
      <x:c r="J173" s="44"/>
      <x:c r="K173" s="44"/>
    </x:row>
    <x:row r="174">
      <x:c r="C174" s="21"/>
      <x:c r="G174" s="44"/>
      <x:c r="H174" s="44"/>
      <x:c r="I174" s="44"/>
      <x:c r="J174" s="44"/>
      <x:c r="K174" s="44"/>
    </x:row>
    <x:row r="175">
      <x:c r="C175" s="21"/>
      <x:c r="G175" s="44"/>
      <x:c r="H175" s="44"/>
      <x:c r="I175" s="44"/>
      <x:c r="J175" s="44"/>
      <x:c r="K175" s="44"/>
    </x:row>
    <x:row r="176">
      <x:c r="C176" s="21"/>
      <x:c r="G176" s="44"/>
      <x:c r="H176" s="44"/>
      <x:c r="I176" s="44"/>
      <x:c r="J176" s="44"/>
      <x:c r="K176" s="44"/>
    </x:row>
    <x:row r="177">
      <x:c r="C177" s="21"/>
      <x:c r="G177" s="44"/>
      <x:c r="H177" s="44"/>
      <x:c r="I177" s="44"/>
      <x:c r="J177" s="44"/>
      <x:c r="K177" s="44"/>
    </x:row>
    <x:row r="178">
      <x:c r="C178" s="21"/>
      <x:c r="G178" s="44"/>
      <x:c r="H178" s="44"/>
      <x:c r="I178" s="44"/>
      <x:c r="J178" s="44"/>
      <x:c r="K178" s="44"/>
    </x:row>
    <x:row r="179">
      <x:c r="C179" s="21"/>
      <x:c r="G179" s="44"/>
      <x:c r="H179" s="44"/>
      <x:c r="I179" s="44"/>
      <x:c r="J179" s="44"/>
      <x:c r="K179" s="44"/>
    </x:row>
    <x:row r="180">
      <x:c r="C180" s="21"/>
      <x:c r="G180" s="44"/>
      <x:c r="H180" s="44"/>
      <x:c r="I180" s="44"/>
      <x:c r="J180" s="44"/>
      <x:c r="K180" s="44"/>
    </x:row>
    <x:row r="181">
      <x:c r="C181" s="21"/>
      <x:c r="G181" s="44"/>
      <x:c r="H181" s="44"/>
      <x:c r="I181" s="44"/>
      <x:c r="J181" s="44"/>
      <x:c r="K181" s="44"/>
    </x:row>
    <x:row r="182">
      <x:c r="C182" s="21"/>
      <x:c r="G182" s="44"/>
      <x:c r="H182" s="44"/>
      <x:c r="I182" s="44"/>
      <x:c r="J182" s="44"/>
      <x:c r="K182" s="44"/>
    </x:row>
    <x:row r="183">
      <x:c r="C183" s="21"/>
      <x:c r="G183" s="44"/>
      <x:c r="H183" s="44"/>
      <x:c r="I183" s="44"/>
      <x:c r="J183" s="44"/>
      <x:c r="K183" s="44"/>
    </x:row>
    <x:row r="184">
      <x:c r="C184" s="21"/>
      <x:c r="G184" s="44"/>
      <x:c r="H184" s="44"/>
      <x:c r="I184" s="44"/>
      <x:c r="J184" s="44"/>
      <x:c r="K184" s="44"/>
    </x:row>
    <x:row r="185">
      <x:c r="C185" s="21"/>
      <x:c r="G185" s="44"/>
      <x:c r="H185" s="44"/>
      <x:c r="I185" s="44"/>
      <x:c r="J185" s="44"/>
      <x:c r="K185" s="44"/>
    </x:row>
    <x:row r="186">
      <x:c r="C186" s="21"/>
      <x:c r="G186" s="44"/>
      <x:c r="H186" s="44"/>
      <x:c r="I186" s="44"/>
      <x:c r="J186" s="44"/>
      <x:c r="K186" s="44"/>
    </x:row>
    <x:row r="187">
      <x:c r="C187" s="21"/>
      <x:c r="G187" s="44"/>
      <x:c r="H187" s="44"/>
      <x:c r="I187" s="44"/>
      <x:c r="J187" s="44"/>
      <x:c r="K187" s="44"/>
    </x:row>
    <x:row r="188">
      <x:c r="C188" s="21"/>
      <x:c r="G188" s="44"/>
      <x:c r="H188" s="44"/>
      <x:c r="I188" s="44"/>
      <x:c r="J188" s="44"/>
      <x:c r="K188" s="44"/>
    </x:row>
    <x:row r="189">
      <x:c r="C189" s="21"/>
      <x:c r="G189" s="44"/>
      <x:c r="H189" s="44"/>
      <x:c r="I189" s="44"/>
      <x:c r="J189" s="44"/>
      <x:c r="K189" s="44"/>
    </x:row>
    <x:row r="190">
      <x:c r="C190" s="21"/>
      <x:c r="G190" s="44"/>
      <x:c r="H190" s="44"/>
      <x:c r="I190" s="44"/>
      <x:c r="J190" s="44"/>
      <x:c r="K190" s="44"/>
    </x:row>
    <x:row r="191">
      <x:c r="C191" s="21"/>
      <x:c r="G191" s="44"/>
      <x:c r="H191" s="44"/>
      <x:c r="I191" s="44"/>
      <x:c r="J191" s="44"/>
      <x:c r="K191" s="44"/>
    </x:row>
    <x:row r="192">
      <x:c r="C192" s="21"/>
      <x:c r="G192" s="44"/>
      <x:c r="H192" s="44"/>
      <x:c r="I192" s="44"/>
      <x:c r="J192" s="44"/>
      <x:c r="K192" s="44"/>
    </x:row>
    <x:row r="193">
      <x:c r="C193" s="21"/>
      <x:c r="G193" s="44"/>
      <x:c r="H193" s="44"/>
      <x:c r="I193" s="44"/>
      <x:c r="J193" s="44"/>
      <x:c r="K193" s="44"/>
    </x:row>
    <x:row r="194">
      <x:c r="C194" s="21"/>
      <x:c r="G194" s="44"/>
      <x:c r="H194" s="44"/>
      <x:c r="I194" s="44"/>
      <x:c r="J194" s="44"/>
      <x:c r="K194" s="44"/>
    </x:row>
    <x:row r="195">
      <x:c r="C195" s="21"/>
      <x:c r="G195" s="44"/>
      <x:c r="H195" s="44"/>
      <x:c r="I195" s="44"/>
      <x:c r="J195" s="44"/>
      <x:c r="K195" s="44"/>
    </x:row>
    <x:row r="196">
      <x:c r="C196" s="21"/>
      <x:c r="G196" s="44"/>
      <x:c r="H196" s="44"/>
      <x:c r="I196" s="44"/>
      <x:c r="J196" s="44"/>
      <x:c r="K196" s="44"/>
    </x:row>
    <x:row r="197">
      <x:c r="C197" s="21"/>
      <x:c r="G197" s="44"/>
      <x:c r="H197" s="44"/>
      <x:c r="I197" s="44"/>
      <x:c r="J197" s="44"/>
      <x:c r="K197" s="44"/>
    </x:row>
    <x:row r="198">
      <x:c r="C198" s="21"/>
      <x:c r="G198" s="44"/>
      <x:c r="H198" s="44"/>
      <x:c r="I198" s="44"/>
      <x:c r="J198" s="44"/>
      <x:c r="K198" s="44"/>
    </x:row>
    <x:row r="199">
      <x:c r="C199" s="21"/>
      <x:c r="G199" s="44"/>
      <x:c r="H199" s="44"/>
      <x:c r="I199" s="44"/>
      <x:c r="J199" s="44"/>
      <x:c r="K199" s="44"/>
    </x:row>
    <x:row r="200">
      <x:c r="C200" s="21"/>
      <x:c r="G200" s="44"/>
      <x:c r="H200" s="44"/>
      <x:c r="I200" s="44"/>
      <x:c r="J200" s="44"/>
      <x:c r="K200" s="44"/>
    </x:row>
    <x:row r="201">
      <x:c r="C201" s="21"/>
      <x:c r="G201" s="44"/>
      <x:c r="H201" s="44"/>
      <x:c r="I201" s="44"/>
      <x:c r="J201" s="44"/>
      <x:c r="K201" s="44"/>
    </x:row>
    <x:row r="202">
      <x:c r="C202" s="21"/>
      <x:c r="G202" s="44"/>
      <x:c r="H202" s="44"/>
      <x:c r="I202" s="44"/>
      <x:c r="J202" s="44"/>
      <x:c r="K202" s="44"/>
    </x:row>
    <x:row r="203">
      <x:c r="C203" s="21"/>
      <x:c r="G203" s="44"/>
      <x:c r="H203" s="44"/>
      <x:c r="I203" s="44"/>
      <x:c r="J203" s="44"/>
      <x:c r="K203" s="44"/>
    </x:row>
    <x:row r="204">
      <x:c r="C204" s="21"/>
      <x:c r="G204" s="44"/>
      <x:c r="H204" s="44"/>
      <x:c r="I204" s="44"/>
      <x:c r="J204" s="44"/>
      <x:c r="K204" s="44"/>
    </x:row>
    <x:row r="205">
      <x:c r="C205" s="21"/>
      <x:c r="G205" s="44"/>
      <x:c r="H205" s="44"/>
      <x:c r="I205" s="44"/>
      <x:c r="J205" s="44"/>
      <x:c r="K205" s="44"/>
    </x:row>
    <x:row r="206">
      <x:c r="C206" s="21"/>
      <x:c r="G206" s="44"/>
      <x:c r="H206" s="44"/>
      <x:c r="I206" s="44"/>
      <x:c r="J206" s="44"/>
      <x:c r="K206" s="44"/>
    </x:row>
    <x:row r="207">
      <x:c r="C207" s="21"/>
      <x:c r="G207" s="44"/>
      <x:c r="H207" s="44"/>
      <x:c r="I207" s="44"/>
      <x:c r="J207" s="44"/>
      <x:c r="K207" s="44"/>
    </x:row>
    <x:row r="208">
      <x:c r="C208" s="21"/>
      <x:c r="G208" s="44"/>
      <x:c r="H208" s="44"/>
      <x:c r="I208" s="44"/>
      <x:c r="J208" s="44"/>
      <x:c r="K208" s="44"/>
    </x:row>
    <x:row r="209">
      <x:c r="C209" s="21"/>
      <x:c r="G209" s="44"/>
      <x:c r="H209" s="44"/>
      <x:c r="I209" s="44"/>
      <x:c r="J209" s="44"/>
      <x:c r="K209" s="44"/>
    </x:row>
    <x:row r="210">
      <x:c r="C210" s="21"/>
      <x:c r="G210" s="44"/>
      <x:c r="H210" s="44"/>
      <x:c r="I210" s="44"/>
      <x:c r="J210" s="44"/>
      <x:c r="K210" s="44"/>
    </x:row>
    <x:row r="211">
      <x:c r="C211" s="21"/>
      <x:c r="G211" s="44"/>
      <x:c r="H211" s="44"/>
      <x:c r="I211" s="44"/>
      <x:c r="J211" s="44"/>
      <x:c r="K211" s="44"/>
    </x:row>
    <x:row r="212">
      <x:c r="C212" s="21"/>
      <x:c r="G212" s="44"/>
      <x:c r="H212" s="44"/>
      <x:c r="I212" s="44"/>
      <x:c r="J212" s="44"/>
      <x:c r="K212" s="44"/>
    </x:row>
    <x:row r="213">
      <x:c r="C213" s="21"/>
      <x:c r="G213" s="44"/>
      <x:c r="H213" s="44"/>
      <x:c r="I213" s="44"/>
      <x:c r="J213" s="44"/>
      <x:c r="K213" s="44"/>
    </x:row>
    <x:row r="214">
      <x:c r="C214" s="21"/>
      <x:c r="G214" s="44"/>
      <x:c r="H214" s="44"/>
      <x:c r="I214" s="44"/>
      <x:c r="J214" s="44"/>
      <x:c r="K214" s="44"/>
    </x:row>
    <x:row r="215">
      <x:c r="C215" s="21"/>
      <x:c r="G215" s="44"/>
      <x:c r="H215" s="44"/>
      <x:c r="I215" s="44"/>
      <x:c r="J215" s="44"/>
      <x:c r="K215" s="44"/>
    </x:row>
    <x:row r="216">
      <x:c r="C216" s="21"/>
      <x:c r="G216" s="44"/>
      <x:c r="H216" s="44"/>
      <x:c r="I216" s="44"/>
      <x:c r="J216" s="44"/>
      <x:c r="K216" s="44"/>
    </x:row>
    <x:row r="217">
      <x:c r="C217" s="21"/>
      <x:c r="G217" s="44"/>
      <x:c r="H217" s="44"/>
      <x:c r="I217" s="44"/>
      <x:c r="J217" s="44"/>
      <x:c r="K217" s="44"/>
    </x:row>
    <x:row r="218">
      <x:c r="C218" s="21"/>
      <x:c r="G218" s="44"/>
      <x:c r="H218" s="44"/>
      <x:c r="I218" s="44"/>
      <x:c r="J218" s="44"/>
      <x:c r="K218" s="44"/>
    </x:row>
    <x:row r="219">
      <x:c r="C219" s="21"/>
      <x:c r="G219" s="44"/>
      <x:c r="H219" s="44"/>
      <x:c r="I219" s="44"/>
      <x:c r="J219" s="44"/>
      <x:c r="K219" s="44"/>
    </x:row>
    <x:row r="220">
      <x:c r="C220" s="21"/>
      <x:c r="G220" s="44"/>
      <x:c r="H220" s="44"/>
      <x:c r="I220" s="44"/>
      <x:c r="J220" s="44"/>
      <x:c r="K220" s="44"/>
    </x:row>
    <x:row r="221">
      <x:c r="C221" s="21"/>
      <x:c r="G221" s="44"/>
      <x:c r="H221" s="44"/>
      <x:c r="I221" s="44"/>
      <x:c r="J221" s="44"/>
      <x:c r="K221" s="44"/>
    </x:row>
    <x:row r="222">
      <x:c r="C222" s="21"/>
      <x:c r="G222" s="44"/>
      <x:c r="H222" s="44"/>
      <x:c r="I222" s="44"/>
      <x:c r="J222" s="44"/>
      <x:c r="K222" s="44"/>
    </x:row>
    <x:row r="223">
      <x:c r="C223" s="21"/>
      <x:c r="G223" s="44"/>
      <x:c r="H223" s="44"/>
      <x:c r="I223" s="44"/>
      <x:c r="J223" s="44"/>
      <x:c r="K223" s="44"/>
    </x:row>
    <x:row r="224">
      <x:c r="C224" s="21"/>
      <x:c r="G224" s="44"/>
      <x:c r="H224" s="44"/>
      <x:c r="I224" s="44"/>
      <x:c r="J224" s="44"/>
      <x:c r="K224" s="44"/>
    </x:row>
    <x:row r="225">
      <x:c r="C225" s="21"/>
      <x:c r="G225" s="44"/>
      <x:c r="H225" s="44"/>
      <x:c r="I225" s="44"/>
      <x:c r="J225" s="44"/>
      <x:c r="K225" s="44"/>
    </x:row>
    <x:row r="226">
      <x:c r="C226" s="21"/>
      <x:c r="G226" s="44"/>
      <x:c r="H226" s="44"/>
      <x:c r="I226" s="44"/>
      <x:c r="J226" s="44"/>
      <x:c r="K226" s="44"/>
    </x:row>
    <x:row r="227">
      <x:c r="C227" s="21"/>
      <x:c r="G227" s="44"/>
      <x:c r="H227" s="44"/>
      <x:c r="I227" s="44"/>
      <x:c r="J227" s="44"/>
      <x:c r="K227" s="44"/>
    </x:row>
    <x:row r="228">
      <x:c r="C228" s="21"/>
      <x:c r="G228" s="44"/>
      <x:c r="H228" s="44"/>
      <x:c r="I228" s="44"/>
      <x:c r="J228" s="44"/>
      <x:c r="K228" s="44"/>
    </x:row>
    <x:row r="229">
      <x:c r="C229" s="21"/>
      <x:c r="G229" s="44"/>
      <x:c r="H229" s="44"/>
      <x:c r="I229" s="44"/>
      <x:c r="J229" s="44"/>
      <x:c r="K229" s="44"/>
    </x:row>
    <x:row r="230">
      <x:c r="C230" s="21"/>
      <x:c r="G230" s="44"/>
      <x:c r="H230" s="44"/>
      <x:c r="I230" s="44"/>
      <x:c r="J230" s="44"/>
      <x:c r="K230" s="44"/>
    </x:row>
    <x:row r="231">
      <x:c r="C231" s="21"/>
      <x:c r="G231" s="44"/>
      <x:c r="H231" s="44"/>
      <x:c r="I231" s="44"/>
      <x:c r="J231" s="44"/>
      <x:c r="K231" s="44"/>
    </x:row>
    <x:row r="232">
      <x:c r="C232" s="21"/>
      <x:c r="G232" s="44"/>
      <x:c r="H232" s="44"/>
      <x:c r="I232" s="44"/>
      <x:c r="J232" s="44"/>
      <x:c r="K232" s="44"/>
    </x:row>
    <x:row r="233">
      <x:c r="C233" s="21"/>
      <x:c r="G233" s="44"/>
      <x:c r="H233" s="44"/>
      <x:c r="I233" s="44"/>
      <x:c r="J233" s="44"/>
      <x:c r="K233" s="44"/>
    </x:row>
    <x:row r="234">
      <x:c r="C234" s="21"/>
      <x:c r="G234" s="44"/>
      <x:c r="H234" s="44"/>
      <x:c r="I234" s="44"/>
      <x:c r="J234" s="44"/>
      <x:c r="K234" s="44"/>
    </x:row>
    <x:row r="235">
      <x:c r="C235" s="21"/>
      <x:c r="G235" s="44"/>
      <x:c r="H235" s="44"/>
      <x:c r="I235" s="44"/>
      <x:c r="J235" s="44"/>
      <x:c r="K235" s="44"/>
    </x:row>
    <x:row r="236">
      <x:c r="C236" s="21"/>
      <x:c r="G236" s="44"/>
      <x:c r="H236" s="44"/>
      <x:c r="I236" s="44"/>
      <x:c r="J236" s="44"/>
      <x:c r="K236" s="44"/>
    </x:row>
    <x:row r="237">
      <x:c r="C237" s="21"/>
      <x:c r="G237" s="44"/>
      <x:c r="H237" s="44"/>
      <x:c r="I237" s="44"/>
      <x:c r="J237" s="44"/>
      <x:c r="K237" s="44"/>
    </x:row>
    <x:row r="238">
      <x:c r="C238" s="21"/>
      <x:c r="G238" s="44"/>
      <x:c r="H238" s="44"/>
      <x:c r="I238" s="44"/>
      <x:c r="J238" s="44"/>
      <x:c r="K238" s="44"/>
    </x:row>
    <x:row r="239">
      <x:c r="C239" s="21"/>
      <x:c r="G239" s="44"/>
      <x:c r="H239" s="44"/>
      <x:c r="I239" s="44"/>
      <x:c r="J239" s="44"/>
      <x:c r="K239" s="44"/>
    </x:row>
    <x:row r="240">
      <x:c r="C240" s="21"/>
      <x:c r="G240" s="44"/>
      <x:c r="H240" s="44"/>
      <x:c r="I240" s="44"/>
      <x:c r="J240" s="44"/>
      <x:c r="K240" s="44"/>
    </x:row>
    <x:row r="241">
      <x:c r="C241" s="21"/>
      <x:c r="G241" s="44"/>
      <x:c r="H241" s="44"/>
      <x:c r="I241" s="44"/>
      <x:c r="J241" s="44"/>
      <x:c r="K241" s="44"/>
    </x:row>
    <x:row r="242">
      <x:c r="C242" s="21"/>
      <x:c r="G242" s="44"/>
      <x:c r="H242" s="44"/>
      <x:c r="I242" s="44"/>
      <x:c r="J242" s="44"/>
      <x:c r="K242" s="44"/>
    </x:row>
    <x:row r="243">
      <x:c r="C243" s="21"/>
      <x:c r="G243" s="44"/>
      <x:c r="H243" s="44"/>
      <x:c r="I243" s="44"/>
      <x:c r="J243" s="44"/>
      <x:c r="K243" s="44"/>
    </x:row>
    <x:row r="244">
      <x:c r="C244" s="21"/>
      <x:c r="G244" s="44"/>
      <x:c r="H244" s="44"/>
      <x:c r="I244" s="44"/>
      <x:c r="J244" s="44"/>
      <x:c r="K244" s="44"/>
    </x:row>
    <x:row r="245">
      <x:c r="C245" s="21"/>
      <x:c r="G245" s="44"/>
      <x:c r="H245" s="44"/>
      <x:c r="I245" s="44"/>
      <x:c r="J245" s="44"/>
      <x:c r="K245" s="44"/>
    </x:row>
    <x:row r="246">
      <x:c r="C246" s="21"/>
      <x:c r="G246" s="44"/>
      <x:c r="H246" s="44"/>
      <x:c r="I246" s="44"/>
      <x:c r="J246" s="44"/>
      <x:c r="K246" s="44"/>
    </x:row>
    <x:row r="247">
      <x:c r="C247" s="21"/>
      <x:c r="G247" s="44"/>
      <x:c r="H247" s="44"/>
      <x:c r="I247" s="44"/>
      <x:c r="J247" s="44"/>
      <x:c r="K247" s="44"/>
    </x:row>
    <x:row r="248">
      <x:c r="C248" s="21"/>
      <x:c r="G248" s="44"/>
      <x:c r="H248" s="44"/>
      <x:c r="I248" s="44"/>
      <x:c r="J248" s="44"/>
      <x:c r="K248" s="44"/>
    </x:row>
    <x:row r="249">
      <x:c r="C249" s="21"/>
      <x:c r="G249" s="44"/>
      <x:c r="H249" s="44"/>
      <x:c r="I249" s="44"/>
      <x:c r="J249" s="44"/>
      <x:c r="K249" s="44"/>
    </x:row>
    <x:row r="250">
      <x:c r="C250" s="21"/>
      <x:c r="G250" s="44"/>
      <x:c r="H250" s="44"/>
      <x:c r="I250" s="44"/>
      <x:c r="J250" s="44"/>
      <x:c r="K250" s="44"/>
    </x:row>
    <x:row r="251">
      <x:c r="C251" s="21"/>
      <x:c r="G251" s="44"/>
      <x:c r="H251" s="44"/>
      <x:c r="I251" s="44"/>
      <x:c r="J251" s="44"/>
      <x:c r="K251" s="44"/>
    </x:row>
    <x:row r="252">
      <x:c r="C252" s="21"/>
      <x:c r="G252" s="44"/>
      <x:c r="H252" s="44"/>
      <x:c r="I252" s="44"/>
      <x:c r="J252" s="44"/>
      <x:c r="K252" s="44"/>
    </x:row>
    <x:row r="253">
      <x:c r="C253" s="21"/>
      <x:c r="G253" s="44"/>
      <x:c r="H253" s="44"/>
      <x:c r="I253" s="44"/>
      <x:c r="J253" s="44"/>
      <x:c r="K253" s="44"/>
    </x:row>
    <x:row r="254">
      <x:c r="C254" s="21"/>
      <x:c r="G254" s="44"/>
      <x:c r="H254" s="44"/>
      <x:c r="I254" s="44"/>
      <x:c r="J254" s="44"/>
      <x:c r="K254" s="44"/>
    </x:row>
    <x:row r="255">
      <x:c r="C255" s="21"/>
      <x:c r="G255" s="44"/>
      <x:c r="H255" s="44"/>
      <x:c r="I255" s="44"/>
      <x:c r="J255" s="44"/>
      <x:c r="K255" s="44"/>
    </x:row>
    <x:row r="256">
      <x:c r="C256" s="21"/>
      <x:c r="G256" s="44"/>
      <x:c r="H256" s="44"/>
      <x:c r="I256" s="44"/>
      <x:c r="J256" s="44"/>
      <x:c r="K256" s="44"/>
    </x:row>
    <x:row r="257">
      <x:c r="C257" s="21"/>
      <x:c r="G257" s="44"/>
      <x:c r="H257" s="44"/>
      <x:c r="I257" s="44"/>
      <x:c r="J257" s="44"/>
      <x:c r="K257" s="44"/>
    </x:row>
    <x:row r="258">
      <x:c r="C258" s="21"/>
      <x:c r="G258" s="44"/>
      <x:c r="H258" s="44"/>
      <x:c r="I258" s="44"/>
      <x:c r="J258" s="44"/>
      <x:c r="K258" s="44"/>
    </x:row>
    <x:row r="259">
      <x:c r="C259" s="21"/>
      <x:c r="G259" s="44"/>
      <x:c r="H259" s="44"/>
      <x:c r="I259" s="44"/>
      <x:c r="J259" s="44"/>
      <x:c r="K259" s="44"/>
    </x:row>
    <x:row r="260">
      <x:c r="C260" s="21"/>
      <x:c r="G260" s="44"/>
      <x:c r="H260" s="44"/>
      <x:c r="I260" s="44"/>
      <x:c r="J260" s="44"/>
      <x:c r="K260" s="44"/>
    </x:row>
    <x:row r="261">
      <x:c r="C261" s="21"/>
      <x:c r="G261" s="44"/>
      <x:c r="H261" s="44"/>
      <x:c r="I261" s="44"/>
      <x:c r="J261" s="44"/>
      <x:c r="K261" s="44"/>
    </x:row>
    <x:row r="262">
      <x:c r="C262" s="21"/>
      <x:c r="G262" s="44"/>
      <x:c r="H262" s="44"/>
      <x:c r="I262" s="44"/>
      <x:c r="J262" s="44"/>
      <x:c r="K262" s="44"/>
    </x:row>
    <x:row r="263">
      <x:c r="C263" s="21"/>
      <x:c r="G263" s="44"/>
      <x:c r="H263" s="44"/>
      <x:c r="I263" s="44"/>
      <x:c r="J263" s="44"/>
      <x:c r="K263" s="44"/>
    </x:row>
    <x:row r="264">
      <x:c r="C264" s="21"/>
      <x:c r="G264" s="44"/>
      <x:c r="H264" s="44"/>
      <x:c r="I264" s="44"/>
      <x:c r="J264" s="44"/>
      <x:c r="K264" s="44"/>
    </x:row>
    <x:row r="265">
      <x:c r="C265" s="21"/>
      <x:c r="G265" s="44"/>
      <x:c r="H265" s="44"/>
      <x:c r="I265" s="44"/>
      <x:c r="J265" s="44"/>
      <x:c r="K265" s="44"/>
    </x:row>
    <x:row r="266">
      <x:c r="C266" s="21"/>
      <x:c r="G266" s="44"/>
      <x:c r="H266" s="44"/>
      <x:c r="I266" s="44"/>
      <x:c r="J266" s="44"/>
      <x:c r="K266" s="44"/>
    </x:row>
    <x:row r="267">
      <x:c r="C267" s="21"/>
      <x:c r="G267" s="44"/>
      <x:c r="H267" s="44"/>
      <x:c r="I267" s="44"/>
      <x:c r="J267" s="44"/>
      <x:c r="K267" s="44"/>
    </x:row>
    <x:row r="268">
      <x:c r="C268" s="21"/>
      <x:c r="G268" s="44"/>
      <x:c r="H268" s="44"/>
      <x:c r="I268" s="44"/>
      <x:c r="J268" s="44"/>
      <x:c r="K268" s="44"/>
    </x:row>
    <x:row r="269">
      <x:c r="C269" s="21"/>
      <x:c r="G269" s="44"/>
      <x:c r="H269" s="44"/>
      <x:c r="I269" s="44"/>
      <x:c r="J269" s="44"/>
      <x:c r="K269" s="44"/>
    </x:row>
    <x:row r="270">
      <x:c r="C270" s="21"/>
      <x:c r="G270" s="44"/>
      <x:c r="H270" s="44"/>
      <x:c r="I270" s="44"/>
      <x:c r="J270" s="44"/>
      <x:c r="K270" s="44"/>
    </x:row>
    <x:row r="271">
      <x:c r="C271" s="21"/>
      <x:c r="G271" s="44"/>
      <x:c r="H271" s="44"/>
      <x:c r="I271" s="44"/>
      <x:c r="J271" s="44"/>
      <x:c r="K271" s="44"/>
    </x:row>
    <x:row r="272">
      <x:c r="C272" s="21"/>
      <x:c r="G272" s="44"/>
      <x:c r="H272" s="44"/>
      <x:c r="I272" s="44"/>
      <x:c r="J272" s="44"/>
      <x:c r="K272" s="44"/>
    </x:row>
    <x:row r="273">
      <x:c r="C273" s="21"/>
      <x:c r="G273" s="44"/>
      <x:c r="H273" s="44"/>
      <x:c r="I273" s="44"/>
      <x:c r="J273" s="44"/>
      <x:c r="K273" s="44"/>
    </x:row>
    <x:row r="274">
      <x:c r="C274" s="21"/>
      <x:c r="G274" s="44"/>
      <x:c r="H274" s="44"/>
      <x:c r="I274" s="44"/>
      <x:c r="J274" s="44"/>
      <x:c r="K274" s="44"/>
    </x:row>
    <x:row r="275">
      <x:c r="C275" s="21"/>
      <x:c r="G275" s="44"/>
      <x:c r="H275" s="44"/>
      <x:c r="I275" s="44"/>
      <x:c r="J275" s="44"/>
      <x:c r="K275" s="44"/>
    </x:row>
    <x:row r="276">
      <x:c r="C276" s="21"/>
      <x:c r="G276" s="44"/>
      <x:c r="H276" s="44"/>
      <x:c r="I276" s="44"/>
      <x:c r="J276" s="44"/>
      <x:c r="K276" s="44"/>
    </x:row>
    <x:row r="277">
      <x:c r="C277" s="21"/>
      <x:c r="G277" s="44"/>
      <x:c r="H277" s="44"/>
      <x:c r="I277" s="44"/>
      <x:c r="J277" s="44"/>
      <x:c r="K277" s="44"/>
    </x:row>
    <x:row r="278">
      <x:c r="C278" s="21"/>
      <x:c r="G278" s="44"/>
      <x:c r="H278" s="44"/>
      <x:c r="I278" s="44"/>
      <x:c r="J278" s="44"/>
      <x:c r="K278" s="44"/>
    </x:row>
    <x:row r="279">
      <x:c r="C279" s="21"/>
      <x:c r="G279" s="44"/>
      <x:c r="H279" s="44"/>
      <x:c r="I279" s="44"/>
      <x:c r="J279" s="44"/>
      <x:c r="K279" s="44"/>
    </x:row>
    <x:row r="280">
      <x:c r="C280" s="21"/>
      <x:c r="G280" s="44"/>
      <x:c r="H280" s="44"/>
      <x:c r="I280" s="44"/>
      <x:c r="J280" s="44"/>
      <x:c r="K280" s="44"/>
    </x:row>
    <x:row r="281">
      <x:c r="C281" s="21"/>
      <x:c r="G281" s="44"/>
      <x:c r="H281" s="44"/>
      <x:c r="I281" s="44"/>
      <x:c r="J281" s="44"/>
      <x:c r="K281" s="44"/>
    </x:row>
    <x:row r="282">
      <x:c r="C282" s="21"/>
      <x:c r="G282" s="44"/>
      <x:c r="H282" s="44"/>
      <x:c r="I282" s="44"/>
      <x:c r="J282" s="44"/>
      <x:c r="K282" s="44"/>
    </x:row>
    <x:row r="283">
      <x:c r="C283" s="21"/>
      <x:c r="G283" s="44"/>
      <x:c r="H283" s="44"/>
      <x:c r="I283" s="44"/>
      <x:c r="J283" s="44"/>
      <x:c r="K283" s="44"/>
    </x:row>
    <x:row r="284">
      <x:c r="C284" s="21"/>
      <x:c r="G284" s="44"/>
      <x:c r="H284" s="44"/>
      <x:c r="I284" s="44"/>
      <x:c r="J284" s="44"/>
      <x:c r="K284" s="44"/>
    </x:row>
    <x:row r="285">
      <x:c r="C285" s="21"/>
      <x:c r="G285" s="44"/>
      <x:c r="H285" s="44"/>
      <x:c r="I285" s="44"/>
      <x:c r="J285" s="44"/>
      <x:c r="K285" s="44"/>
    </x:row>
    <x:row r="286">
      <x:c r="C286" s="21"/>
      <x:c r="G286" s="44"/>
      <x:c r="H286" s="44"/>
      <x:c r="I286" s="44"/>
      <x:c r="J286" s="44"/>
      <x:c r="K286" s="44"/>
    </x:row>
    <x:row r="287">
      <x:c r="C287" s="21"/>
      <x:c r="G287" s="44"/>
      <x:c r="H287" s="44"/>
      <x:c r="I287" s="44"/>
      <x:c r="J287" s="44"/>
      <x:c r="K287" s="44"/>
    </x:row>
    <x:row r="288">
      <x:c r="C288" s="21"/>
      <x:c r="G288" s="44"/>
      <x:c r="H288" s="44"/>
      <x:c r="I288" s="44"/>
      <x:c r="J288" s="44"/>
      <x:c r="K288" s="44"/>
    </x:row>
    <x:row r="289">
      <x:c r="C289" s="21"/>
      <x:c r="G289" s="44"/>
      <x:c r="H289" s="44"/>
      <x:c r="I289" s="44"/>
      <x:c r="J289" s="44"/>
      <x:c r="K289" s="44"/>
    </x:row>
    <x:row r="290">
      <x:c r="C290" s="21"/>
      <x:c r="G290" s="44"/>
      <x:c r="H290" s="44"/>
      <x:c r="I290" s="44"/>
      <x:c r="J290" s="44"/>
      <x:c r="K290" s="44"/>
    </x:row>
    <x:row r="291">
      <x:c r="C291" s="21"/>
      <x:c r="G291" s="44"/>
      <x:c r="H291" s="44"/>
      <x:c r="I291" s="44"/>
      <x:c r="J291" s="44"/>
      <x:c r="K291" s="44"/>
    </x:row>
    <x:row r="292">
      <x:c r="C292" s="21"/>
      <x:c r="G292" s="44"/>
      <x:c r="H292" s="44"/>
      <x:c r="I292" s="44"/>
      <x:c r="J292" s="44"/>
      <x:c r="K292" s="44"/>
    </x:row>
    <x:row r="293">
      <x:c r="C293" s="21"/>
      <x:c r="G293" s="44"/>
      <x:c r="H293" s="44"/>
      <x:c r="I293" s="44"/>
      <x:c r="J293" s="44"/>
      <x:c r="K293" s="44"/>
    </x:row>
    <x:row r="294">
      <x:c r="C294" s="21"/>
      <x:c r="G294" s="44"/>
      <x:c r="H294" s="44"/>
      <x:c r="I294" s="44"/>
      <x:c r="J294" s="44"/>
      <x:c r="K294" s="44"/>
    </x:row>
    <x:row r="295">
      <x:c r="C295" s="21"/>
      <x:c r="G295" s="44"/>
      <x:c r="H295" s="44"/>
      <x:c r="I295" s="44"/>
      <x:c r="J295" s="44"/>
      <x:c r="K295" s="44"/>
    </x:row>
    <x:row r="296">
      <x:c r="C296" s="21"/>
      <x:c r="G296" s="44"/>
      <x:c r="H296" s="44"/>
      <x:c r="I296" s="44"/>
      <x:c r="J296" s="44"/>
      <x:c r="K296" s="44"/>
    </x:row>
    <x:row r="297">
      <x:c r="C297" s="21"/>
      <x:c r="G297" s="44"/>
      <x:c r="H297" s="44"/>
      <x:c r="I297" s="44"/>
      <x:c r="J297" s="44"/>
      <x:c r="K297" s="44"/>
    </x:row>
    <x:row r="298">
      <x:c r="C298" s="21"/>
      <x:c r="G298" s="44"/>
      <x:c r="H298" s="44"/>
      <x:c r="I298" s="44"/>
      <x:c r="J298" s="44"/>
      <x:c r="K298" s="44"/>
    </x:row>
    <x:row r="299">
      <x:c r="C299" s="21"/>
      <x:c r="G299" s="44"/>
      <x:c r="H299" s="44"/>
      <x:c r="I299" s="44"/>
      <x:c r="J299" s="44"/>
      <x:c r="K299" s="44"/>
    </x:row>
    <x:row r="300">
      <x:c r="C300" s="21"/>
      <x:c r="G300" s="44"/>
      <x:c r="H300" s="44"/>
      <x:c r="I300" s="44"/>
      <x:c r="J300" s="44"/>
      <x:c r="K300" s="44"/>
    </x:row>
    <x:row r="301">
      <x:c r="C301" s="21"/>
      <x:c r="G301" s="44"/>
      <x:c r="H301" s="44"/>
      <x:c r="I301" s="44"/>
      <x:c r="J301" s="44"/>
      <x:c r="K301" s="44"/>
    </x:row>
    <x:row r="302">
      <x:c r="C302" s="21"/>
      <x:c r="G302" s="44"/>
      <x:c r="H302" s="44"/>
      <x:c r="I302" s="44"/>
      <x:c r="J302" s="44"/>
      <x:c r="K302" s="44"/>
    </x:row>
    <x:row r="303">
      <x:c r="C303" s="21"/>
      <x:c r="G303" s="44"/>
      <x:c r="H303" s="44"/>
      <x:c r="I303" s="44"/>
      <x:c r="J303" s="44"/>
      <x:c r="K303" s="44"/>
    </x:row>
    <x:row r="304">
      <x:c r="C304" s="21"/>
      <x:c r="G304" s="44"/>
      <x:c r="H304" s="44"/>
      <x:c r="I304" s="44"/>
      <x:c r="J304" s="44"/>
      <x:c r="K304" s="44"/>
    </x:row>
    <x:row r="305">
      <x:c r="C305" s="21"/>
      <x:c r="G305" s="44"/>
      <x:c r="H305" s="44"/>
      <x:c r="I305" s="44"/>
      <x:c r="J305" s="44"/>
      <x:c r="K305" s="44"/>
    </x:row>
    <x:row r="306">
      <x:c r="C306" s="21"/>
      <x:c r="G306" s="44"/>
      <x:c r="H306" s="44"/>
      <x:c r="I306" s="44"/>
      <x:c r="J306" s="44"/>
      <x:c r="K306" s="44"/>
    </x:row>
    <x:row r="307">
      <x:c r="C307" s="21"/>
      <x:c r="G307" s="44"/>
      <x:c r="H307" s="44"/>
      <x:c r="I307" s="44"/>
      <x:c r="J307" s="44"/>
      <x:c r="K307" s="44"/>
    </x:row>
    <x:row r="308">
      <x:c r="C308" s="21"/>
      <x:c r="G308" s="44"/>
      <x:c r="H308" s="44"/>
      <x:c r="I308" s="44"/>
      <x:c r="J308" s="44"/>
      <x:c r="K308" s="44"/>
    </x:row>
    <x:row r="309">
      <x:c r="C309" s="21"/>
      <x:c r="G309" s="44"/>
      <x:c r="H309" s="44"/>
      <x:c r="I309" s="44"/>
      <x:c r="J309" s="44"/>
      <x:c r="K309" s="44"/>
    </x:row>
    <x:row r="310">
      <x:c r="C310" s="21"/>
      <x:c r="G310" s="44"/>
      <x:c r="H310" s="44"/>
      <x:c r="I310" s="44"/>
      <x:c r="J310" s="44"/>
      <x:c r="K310" s="44"/>
    </x:row>
    <x:row r="311">
      <x:c r="C311" s="21"/>
      <x:c r="G311" s="44"/>
      <x:c r="H311" s="44"/>
      <x:c r="I311" s="44"/>
      <x:c r="J311" s="44"/>
      <x:c r="K311" s="44"/>
    </x:row>
    <x:row r="312">
      <x:c r="C312" s="21"/>
      <x:c r="G312" s="44"/>
      <x:c r="H312" s="44"/>
      <x:c r="I312" s="44"/>
      <x:c r="J312" s="44"/>
      <x:c r="K312" s="44"/>
    </x:row>
    <x:row r="313">
      <x:c r="C313" s="21"/>
      <x:c r="G313" s="44"/>
      <x:c r="H313" s="44"/>
      <x:c r="I313" s="44"/>
      <x:c r="J313" s="44"/>
      <x:c r="K313" s="44"/>
    </x:row>
    <x:row r="314">
      <x:c r="C314" s="21"/>
      <x:c r="G314" s="44"/>
      <x:c r="H314" s="44"/>
      <x:c r="I314" s="44"/>
      <x:c r="J314" s="44"/>
      <x:c r="K314" s="44"/>
    </x:row>
    <x:row r="315">
      <x:c r="C315" s="21"/>
      <x:c r="G315" s="44"/>
      <x:c r="H315" s="44"/>
      <x:c r="I315" s="44"/>
      <x:c r="J315" s="44"/>
      <x:c r="K315" s="44"/>
    </x:row>
    <x:row r="316">
      <x:c r="C316" s="21"/>
      <x:c r="G316" s="44"/>
      <x:c r="H316" s="44"/>
      <x:c r="I316" s="44"/>
      <x:c r="J316" s="44"/>
      <x:c r="K316" s="44"/>
    </x:row>
    <x:row r="317">
      <x:c r="C317" s="21"/>
      <x:c r="G317" s="44"/>
      <x:c r="H317" s="44"/>
      <x:c r="I317" s="44"/>
      <x:c r="J317" s="44"/>
      <x:c r="K317" s="44"/>
    </x:row>
    <x:row r="318">
      <x:c r="C318" s="21"/>
      <x:c r="G318" s="44"/>
      <x:c r="H318" s="44"/>
      <x:c r="I318" s="44"/>
      <x:c r="J318" s="44"/>
      <x:c r="K318" s="44"/>
    </x:row>
    <x:row r="319">
      <x:c r="C319" s="21"/>
      <x:c r="G319" s="44"/>
      <x:c r="H319" s="44"/>
      <x:c r="I319" s="44"/>
      <x:c r="J319" s="44"/>
      <x:c r="K319" s="44"/>
    </x:row>
    <x:row r="320">
      <x:c r="C320" s="21"/>
      <x:c r="G320" s="44"/>
      <x:c r="H320" s="44"/>
      <x:c r="I320" s="44"/>
      <x:c r="J320" s="44"/>
      <x:c r="K320" s="44"/>
    </x:row>
    <x:row r="321">
      <x:c r="C321" s="21"/>
      <x:c r="G321" s="44"/>
      <x:c r="H321" s="44"/>
      <x:c r="I321" s="44"/>
      <x:c r="J321" s="44"/>
      <x:c r="K321" s="44"/>
    </x:row>
    <x:row r="322">
      <x:c r="C322" s="21"/>
      <x:c r="G322" s="44"/>
      <x:c r="H322" s="44"/>
      <x:c r="I322" s="44"/>
      <x:c r="J322" s="44"/>
      <x:c r="K322" s="44"/>
    </x:row>
    <x:row r="323">
      <x:c r="C323" s="21"/>
      <x:c r="G323" s="44"/>
      <x:c r="H323" s="44"/>
      <x:c r="I323" s="44"/>
      <x:c r="J323" s="44"/>
      <x:c r="K323" s="44"/>
    </x:row>
    <x:row r="324">
      <x:c r="C324" s="21"/>
      <x:c r="G324" s="44"/>
      <x:c r="H324" s="44"/>
      <x:c r="I324" s="44"/>
      <x:c r="J324" s="44"/>
      <x:c r="K324" s="44"/>
    </x:row>
    <x:row r="325">
      <x:c r="C325" s="21"/>
      <x:c r="G325" s="44"/>
      <x:c r="H325" s="44"/>
      <x:c r="I325" s="44"/>
      <x:c r="J325" s="44"/>
      <x:c r="K325" s="44"/>
    </x:row>
    <x:row r="326">
      <x:c r="C326" s="21"/>
      <x:c r="G326" s="44"/>
      <x:c r="H326" s="44"/>
      <x:c r="I326" s="44"/>
      <x:c r="J326" s="44"/>
      <x:c r="K326" s="44"/>
    </x:row>
    <x:row r="327">
      <x:c r="C327" s="21"/>
      <x:c r="G327" s="44"/>
      <x:c r="H327" s="44"/>
      <x:c r="I327" s="44"/>
      <x:c r="J327" s="44"/>
      <x:c r="K327" s="44"/>
    </x:row>
    <x:row r="328">
      <x:c r="C328" s="21"/>
      <x:c r="G328" s="44"/>
      <x:c r="H328" s="44"/>
      <x:c r="I328" s="44"/>
      <x:c r="J328" s="44"/>
      <x:c r="K328" s="44"/>
    </x:row>
    <x:row r="329">
      <x:c r="C329" s="21"/>
      <x:c r="G329" s="44"/>
      <x:c r="H329" s="44"/>
      <x:c r="I329" s="44"/>
      <x:c r="J329" s="44"/>
      <x:c r="K329" s="44"/>
    </x:row>
    <x:row r="330">
      <x:c r="C330" s="21"/>
      <x:c r="G330" s="44"/>
      <x:c r="H330" s="44"/>
      <x:c r="I330" s="44"/>
      <x:c r="J330" s="44"/>
      <x:c r="K330" s="44"/>
    </x:row>
    <x:row r="331">
      <x:c r="C331" s="21"/>
      <x:c r="G331" s="44"/>
      <x:c r="H331" s="44"/>
      <x:c r="I331" s="44"/>
      <x:c r="J331" s="44"/>
      <x:c r="K331" s="44"/>
    </x:row>
    <x:row r="332">
      <x:c r="C332" s="21"/>
      <x:c r="G332" s="44"/>
      <x:c r="H332" s="44"/>
      <x:c r="I332" s="44"/>
      <x:c r="J332" s="44"/>
      <x:c r="K332" s="44"/>
    </x:row>
    <x:row r="333">
      <x:c r="C333" s="21"/>
      <x:c r="G333" s="44"/>
      <x:c r="H333" s="44"/>
      <x:c r="I333" s="44"/>
      <x:c r="J333" s="44"/>
      <x:c r="K333" s="44"/>
    </x:row>
    <x:row r="334">
      <x:c r="C334" s="21"/>
      <x:c r="G334" s="44"/>
      <x:c r="H334" s="44"/>
      <x:c r="I334" s="44"/>
      <x:c r="J334" s="44"/>
      <x:c r="K334" s="44"/>
    </x:row>
    <x:row r="335">
      <x:c r="C335" s="21"/>
      <x:c r="G335" s="44"/>
      <x:c r="H335" s="44"/>
      <x:c r="I335" s="44"/>
      <x:c r="J335" s="44"/>
      <x:c r="K335" s="44"/>
    </x:row>
    <x:row r="336">
      <x:c r="C336" s="21"/>
      <x:c r="G336" s="44"/>
      <x:c r="H336" s="44"/>
      <x:c r="I336" s="44"/>
      <x:c r="J336" s="44"/>
      <x:c r="K336" s="44"/>
    </x:row>
    <x:row r="337">
      <x:c r="C337" s="21"/>
      <x:c r="G337" s="44"/>
      <x:c r="H337" s="44"/>
      <x:c r="I337" s="44"/>
      <x:c r="J337" s="44"/>
      <x:c r="K337" s="44"/>
    </x:row>
    <x:row r="338">
      <x:c r="C338" s="21"/>
      <x:c r="G338" s="44"/>
      <x:c r="H338" s="44"/>
      <x:c r="I338" s="44"/>
      <x:c r="J338" s="44"/>
      <x:c r="K338" s="44"/>
    </x:row>
    <x:row r="339">
      <x:c r="C339" s="21"/>
      <x:c r="G339" s="44"/>
      <x:c r="H339" s="44"/>
      <x:c r="I339" s="44"/>
      <x:c r="J339" s="44"/>
      <x:c r="K339" s="44"/>
    </x:row>
    <x:row r="340">
      <x:c r="C340" s="21"/>
      <x:c r="G340" s="44"/>
      <x:c r="H340" s="44"/>
      <x:c r="I340" s="44"/>
      <x:c r="J340" s="44"/>
      <x:c r="K340" s="44"/>
    </x:row>
    <x:row r="341">
      <x:c r="C341" s="21"/>
      <x:c r="G341" s="44"/>
      <x:c r="H341" s="44"/>
      <x:c r="I341" s="44"/>
      <x:c r="J341" s="44"/>
      <x:c r="K341" s="44"/>
    </x:row>
    <x:row r="342">
      <x:c r="C342" s="21"/>
      <x:c r="G342" s="44"/>
      <x:c r="H342" s="44"/>
      <x:c r="I342" s="44"/>
      <x:c r="J342" s="44"/>
      <x:c r="K342" s="44"/>
    </x:row>
    <x:row r="343">
      <x:c r="C343" s="21"/>
      <x:c r="G343" s="44"/>
      <x:c r="H343" s="44"/>
      <x:c r="I343" s="44"/>
      <x:c r="J343" s="44"/>
      <x:c r="K343" s="44"/>
    </x:row>
    <x:row r="344">
      <x:c r="C344" s="21"/>
      <x:c r="G344" s="44"/>
      <x:c r="H344" s="44"/>
      <x:c r="I344" s="44"/>
      <x:c r="J344" s="44"/>
      <x:c r="K344" s="44"/>
    </x:row>
    <x:row r="345">
      <x:c r="C345" s="21"/>
      <x:c r="G345" s="44"/>
      <x:c r="H345" s="44"/>
      <x:c r="I345" s="44"/>
      <x:c r="J345" s="44"/>
      <x:c r="K345" s="44"/>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a4ceb08ebb7f4302"/>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0</x:v>
      </x:c>
      <x:c r="J14" s="27" t="n">
        <x:v>0</x:v>
      </x:c>
      <x:c r="K14" s="27" t="n">
        <x:f>I14+J14</x:f>
        <x:v>0</x:v>
      </x:c>
      <x:c r="L14" s="31" t="str">
        <x:f>IF(K14=0,"",I14/K14)</x:f>
      </x:c>
      <x:c r="M14" s="29" t="str">
        <x:v>Expert enhancer only; never originating proof.</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98b49c345109465f"/>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61.71</x:v>
      </x:c>
      <x:c r="K6" s="46" t="n">
        <x:f>I6*J6</x:f>
        <x:v>1078.6575773466177</x:v>
      </x:c>
      <x:c r="L6" s="46" t="n">
        <x:f>K6-H6</x:f>
        <x:v>78.6575773466177</x:v>
      </x:c>
      <x:c r="M6" s="48" t="n">
        <x:f>L6/H6</x:f>
        <x:v>0.0786575773466177</x:v>
      </x:c>
      <x:c r="N6" s="30"/>
      <x:c r="O6" s="32"/>
      <x:c r="P6" s="32" t="str">
        <x:f>IF(OR(I6="",O6=""),"",I6*O6)</x:f>
      </x:c>
      <x:c r="Q6" s="32" t="str">
        <x:f>IF(P6="","",P6-H6)</x:f>
      </x:c>
      <x:c r="R6" s="29" t="str">
        <x:v>09/16/26 close: $61.71; position value $1,078.66; +$78.66 (+7.87%). BNO remains the cleanest Brent-linked expression, although it fell 2.91% today as Saudi rerouting through Oman reduced immediate scarcity fears. Entry Window remains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156.17</x:v>
      </x:c>
      <x:c r="K7" s="46" t="n">
        <x:f>I7*J7</x:f>
        <x:v>1080.0138312586446</x:v>
      </x:c>
      <x:c r="L7" s="46" t="n">
        <x:f>K7-H7</x:f>
        <x:v>80.01383125864459</x:v>
      </x:c>
      <x:c r="M7" s="48" t="n">
        <x:f>L7/H7</x:f>
        <x:v>0.08001383125864459</x:v>
      </x:c>
      <x:c r="N7" s="30"/>
      <x:c r="O7" s="32"/>
      <x:c r="P7" s="32" t="str">
        <x:f>IF(OR(I7="",O7=""),"",I7*O7)</x:f>
      </x:c>
      <x:c r="Q7" s="32" t="str">
        <x:f>IF(P7="","",P7-H7)</x:f>
      </x:c>
      <x:c r="R7" s="29" t="str">
        <x:v>09/16/26 close: $156.17; position value $1,080.01; +$80.01 (+8.00%). USO remains profitable and confirms the crude-price direction, despite a 3.52% daily pullback. Entry Window remains WAIT because the original entry followed a large headline move and reversal risk has increased.</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191.8</x:v>
      </x:c>
      <x:c r="K8" s="46" t="n">
        <x:f>I8*J8</x:f>
        <x:v>989.4758563763929</x:v>
      </x:c>
      <x:c r="L8" s="46" t="n">
        <x:f>K8-H8</x:f>
        <x:v>-10.524143623607074</x:v>
      </x:c>
      <x:c r="M8" s="48" t="n">
        <x:f>L8/H8</x:f>
        <x:v>-0.010524143623607074</x:v>
      </x:c>
      <x:c r="N8" s="30"/>
      <x:c r="O8" s="32"/>
      <x:c r="P8" s="32" t="str">
        <x:f>IF(OR(I8="",O8=""),"",I8*O8)</x:f>
      </x:c>
      <x:c r="Q8" s="32" t="str">
        <x:f>IF(P8="","",P8-H8)</x:f>
      </x:c>
      <x:c r="R8" s="29" t="str">
        <x:v>09/16/26 close: $191.80; position value $989.48; -$10.52 (-1.05%). XOP is now below entry and materially trails the direct crude funds, confirming the risk of using producer equities as an indirect expression of a crude-supply thesis.</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1bb711ec7f8742ac"/>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x:c r="B19" s="28"/>
      <x:c r="C19" s="27"/>
      <x:c r="D19" s="29"/>
      <x:c r="E19" s="29"/>
      <x:c r="F19" s="29"/>
      <x:c r="G19" s="29"/>
      <x:c r="H19" s="29"/>
      <x:c r="I19" s="29"/>
      <x:c r="J19" s="29"/>
    </x:row>
    <x:row r="20">
      <x:c r="A20" s="27"/>
      <x:c r="B20" s="28"/>
      <x:c r="C20" s="27"/>
      <x:c r="D20" s="29"/>
      <x:c r="E20" s="29"/>
      <x:c r="F20" s="29"/>
      <x:c r="G20" s="29"/>
      <x:c r="H20" s="29"/>
      <x:c r="I20" s="29"/>
      <x:c r="J20" s="29"/>
    </x:row>
    <x:row r="21">
      <x:c r="A21" s="27"/>
      <x:c r="B21" s="28"/>
      <x:c r="C21" s="27"/>
      <x:c r="D21" s="29"/>
      <x:c r="E21" s="29"/>
      <x:c r="F21" s="29"/>
      <x:c r="G21" s="29"/>
      <x:c r="H21" s="29"/>
      <x:c r="I21" s="29"/>
      <x:c r="J21" s="29"/>
    </x:row>
    <x:row r="22">
      <x:c r="A22" s="27"/>
      <x:c r="B22" s="28"/>
      <x:c r="C22" s="27"/>
      <x:c r="D22" s="29"/>
      <x:c r="E22" s="29"/>
      <x:c r="F22" s="29"/>
      <x:c r="G22" s="29"/>
      <x:c r="H22" s="29"/>
      <x:c r="I22" s="29"/>
      <x:c r="J22" s="29"/>
    </x:row>
    <x:row r="23">
      <x:c r="A23" s="27"/>
      <x:c r="B23" s="28"/>
      <x:c r="C23" s="27"/>
      <x:c r="D23" s="29"/>
      <x:c r="E23" s="29"/>
      <x:c r="F23" s="29"/>
      <x:c r="G23" s="29"/>
      <x:c r="H23" s="29"/>
      <x:c r="I23" s="29"/>
      <x:c r="J23" s="29"/>
    </x:row>
    <x:row r="24">
      <x:c r="A24" s="27"/>
      <x:c r="B24" s="28"/>
      <x:c r="C24" s="27"/>
      <x:c r="D24" s="29"/>
      <x:c r="E24" s="29"/>
      <x:c r="F24" s="29"/>
      <x:c r="G24" s="29"/>
      <x:c r="H24" s="29"/>
      <x:c r="I24" s="29"/>
      <x:c r="J24" s="29"/>
    </x:row>
    <x:row r="25">
      <x:c r="A25" s="27"/>
      <x:c r="B25" s="28"/>
      <x:c r="C25" s="27"/>
      <x:c r="D25" s="29"/>
      <x:c r="E25" s="29"/>
      <x:c r="F25" s="29"/>
      <x:c r="G25" s="29"/>
      <x:c r="H25" s="29"/>
      <x:c r="I25" s="29"/>
      <x:c r="J25" s="29"/>
    </x:row>
    <x:row r="26">
      <x:c r="A26" s="27"/>
      <x:c r="B26" s="28"/>
      <x:c r="C26" s="27"/>
      <x:c r="D26" s="29"/>
      <x:c r="E26" s="29"/>
      <x:c r="F26" s="29"/>
      <x:c r="G26" s="29"/>
      <x:c r="H26" s="29"/>
      <x:c r="I26" s="29"/>
      <x:c r="J26" s="29"/>
    </x:row>
    <x:row r="27">
      <x:c r="A27" s="27"/>
      <x:c r="B27" s="28"/>
      <x:c r="C27" s="27"/>
      <x:c r="D27" s="29"/>
      <x:c r="E27" s="29"/>
      <x:c r="F27" s="29"/>
      <x:c r="G27" s="29"/>
      <x:c r="H27" s="29"/>
      <x:c r="I27" s="29"/>
      <x:c r="J27" s="29"/>
    </x:row>
    <x:row r="28">
      <x:c r="A28" s="27"/>
      <x:c r="B28" s="28"/>
      <x:c r="C28" s="27"/>
      <x:c r="D28" s="29"/>
      <x:c r="E28" s="29"/>
      <x:c r="F28" s="29"/>
      <x:c r="G28" s="29"/>
      <x:c r="H28" s="29"/>
      <x:c r="I28" s="29"/>
      <x:c r="J28" s="29"/>
    </x:row>
    <x:row r="29">
      <x:c r="A29" s="27"/>
      <x:c r="B29" s="28"/>
      <x:c r="C29" s="27"/>
      <x:c r="D29" s="29"/>
      <x:c r="E29" s="29"/>
      <x:c r="F29" s="29"/>
      <x:c r="G29" s="29"/>
      <x:c r="H29" s="29"/>
      <x:c r="I29" s="29"/>
      <x:c r="J29" s="29"/>
    </x:row>
    <x:row r="30">
      <x:c r="A30" s="27"/>
      <x:c r="B30" s="28"/>
      <x:c r="C30" s="27"/>
      <x:c r="D30" s="29"/>
      <x:c r="E30" s="29"/>
      <x:c r="F30" s="29"/>
      <x:c r="G30" s="29"/>
      <x:c r="H30" s="29"/>
      <x:c r="I30" s="29"/>
      <x:c r="J30" s="29"/>
    </x:row>
    <x:row r="31">
      <x:c r="A31" s="27"/>
      <x:c r="B31" s="28"/>
      <x:c r="C31" s="27"/>
      <x:c r="D31" s="29"/>
      <x:c r="E31" s="29"/>
      <x:c r="F31" s="29"/>
      <x:c r="G31" s="29"/>
      <x:c r="H31" s="29"/>
      <x:c r="I31" s="29"/>
      <x:c r="J31" s="29"/>
    </x:row>
    <x:row r="32">
      <x:c r="A32" s="27"/>
      <x:c r="B32" s="28"/>
      <x:c r="C32" s="27"/>
      <x:c r="D32" s="29"/>
      <x:c r="E32" s="29"/>
      <x:c r="F32" s="29"/>
      <x:c r="G32" s="29"/>
      <x:c r="H32" s="29"/>
      <x:c r="I32" s="29"/>
      <x:c r="J32" s="29"/>
    </x:row>
    <x:row r="33">
      <x:c r="A33" s="27"/>
      <x:c r="B33" s="28"/>
      <x:c r="C33" s="27"/>
      <x:c r="D33" s="29"/>
      <x:c r="E33" s="29"/>
      <x:c r="F33" s="29"/>
      <x:c r="G33" s="29"/>
      <x:c r="H33" s="29"/>
      <x:c r="I33" s="29"/>
      <x:c r="J33" s="29"/>
    </x:row>
    <x:row r="34">
      <x:c r="A34" s="27"/>
      <x:c r="B34" s="28"/>
      <x:c r="C34" s="27"/>
      <x:c r="D34" s="29"/>
      <x:c r="E34" s="29"/>
      <x:c r="F34" s="29"/>
      <x:c r="G34" s="29"/>
      <x:c r="H34" s="29"/>
      <x:c r="I34" s="29"/>
      <x:c r="J34" s="29"/>
    </x:row>
    <x:row r="35">
      <x:c r="A35" s="27"/>
      <x:c r="B35" s="28"/>
      <x:c r="C35" s="27"/>
      <x:c r="D35" s="29"/>
      <x:c r="E35" s="29"/>
      <x:c r="F35" s="29"/>
      <x:c r="G35" s="29"/>
      <x:c r="H35" s="29"/>
      <x:c r="I35" s="29"/>
      <x:c r="J35" s="29"/>
    </x:row>
    <x:row r="36">
      <x:c r="A36" s="27"/>
      <x:c r="B36" s="28"/>
      <x:c r="C36" s="27"/>
      <x:c r="D36" s="29"/>
      <x:c r="E36" s="29"/>
      <x:c r="F36" s="29"/>
      <x:c r="G36" s="29"/>
      <x:c r="H36" s="29"/>
      <x:c r="I36" s="29"/>
      <x:c r="J36" s="29"/>
    </x:row>
    <x:row r="37">
      <x:c r="A37" s="27"/>
      <x:c r="B37" s="28"/>
      <x:c r="C37" s="27"/>
      <x:c r="D37" s="29"/>
      <x:c r="E37" s="29"/>
      <x:c r="F37" s="29"/>
      <x:c r="G37" s="29"/>
      <x:c r="H37" s="29"/>
      <x:c r="I37" s="29"/>
      <x:c r="J37" s="29"/>
    </x:row>
    <x:row r="38">
      <x:c r="A38" s="27"/>
      <x:c r="B38" s="28"/>
      <x:c r="C38" s="27"/>
      <x:c r="D38" s="29"/>
      <x:c r="E38" s="29"/>
      <x:c r="F38" s="29"/>
      <x:c r="G38" s="29"/>
      <x:c r="H38" s="29"/>
      <x:c r="I38" s="29"/>
      <x:c r="J38" s="29"/>
    </x:row>
    <x:row r="39">
      <x:c r="A39" s="27"/>
      <x:c r="B39" s="28"/>
      <x:c r="C39" s="27"/>
      <x:c r="D39" s="29"/>
      <x:c r="E39" s="29"/>
      <x:c r="F39" s="29"/>
      <x:c r="G39" s="29"/>
      <x:c r="H39" s="29"/>
      <x:c r="I39" s="29"/>
      <x:c r="J39" s="29"/>
    </x:row>
    <x:row r="40">
      <x:c r="A40" s="27"/>
      <x:c r="B40" s="28"/>
      <x:c r="C40" s="27"/>
      <x:c r="D40" s="29"/>
      <x:c r="E40" s="29"/>
      <x:c r="F40" s="29"/>
      <x:c r="G40" s="29"/>
      <x:c r="H40" s="29"/>
      <x:c r="I40" s="29"/>
      <x:c r="J40" s="29"/>
    </x:row>
    <x:row r="41">
      <x:c r="A41" s="27"/>
      <x:c r="B41" s="28"/>
      <x:c r="C41" s="27"/>
      <x:c r="D41" s="29"/>
      <x:c r="E41" s="29"/>
      <x:c r="F41" s="29"/>
      <x:c r="G41" s="29"/>
      <x:c r="H41" s="29"/>
      <x:c r="I41" s="29"/>
      <x:c r="J41" s="29"/>
    </x:row>
    <x:row r="42">
      <x:c r="A42" s="27"/>
      <x:c r="B42" s="28"/>
      <x:c r="C42" s="27"/>
      <x:c r="D42" s="29"/>
      <x:c r="E42" s="29"/>
      <x:c r="F42" s="29"/>
      <x:c r="G42" s="29"/>
      <x:c r="H42" s="29"/>
      <x:c r="I42" s="29"/>
      <x:c r="J42" s="29"/>
    </x:row>
    <x:row r="43">
      <x:c r="A43" s="27"/>
      <x:c r="B43" s="28"/>
      <x:c r="C43" s="27"/>
      <x:c r="D43" s="29"/>
      <x:c r="E43" s="29"/>
      <x:c r="F43" s="29"/>
      <x:c r="G43" s="29"/>
      <x:c r="H43" s="29"/>
      <x:c r="I43" s="29"/>
      <x:c r="J43" s="29"/>
    </x:row>
    <x:row r="44">
      <x:c r="A44" s="27"/>
      <x:c r="B44" s="28"/>
      <x:c r="C44" s="27"/>
      <x:c r="D44" s="29"/>
      <x:c r="E44" s="29"/>
      <x:c r="F44" s="29"/>
      <x:c r="G44" s="29"/>
      <x:c r="H44" s="29"/>
      <x:c r="I44" s="29"/>
      <x:c r="J44" s="29"/>
    </x:row>
    <x:row r="45">
      <x:c r="A45" s="27"/>
      <x:c r="B45" s="28"/>
      <x:c r="C45" s="27"/>
      <x:c r="D45" s="29"/>
      <x:c r="E45" s="29"/>
      <x:c r="F45" s="29"/>
      <x:c r="G45" s="29"/>
      <x:c r="H45" s="29"/>
      <x:c r="I45" s="29"/>
      <x:c r="J45" s="29"/>
    </x:row>
    <x:row r="46">
      <x:c r="A46" s="27"/>
      <x:c r="B46" s="28"/>
      <x:c r="C46" s="27"/>
      <x:c r="D46" s="29"/>
      <x:c r="E46" s="29"/>
      <x:c r="F46" s="29"/>
      <x:c r="G46" s="29"/>
      <x:c r="H46" s="29"/>
      <x:c r="I46" s="29"/>
      <x:c r="J46" s="29"/>
    </x:row>
    <x:row r="47">
      <x:c r="A47" s="27"/>
      <x:c r="B47" s="28"/>
      <x:c r="C47" s="27"/>
      <x:c r="D47" s="29"/>
      <x:c r="E47" s="29"/>
      <x:c r="F47" s="29"/>
      <x:c r="G47" s="29"/>
      <x:c r="H47" s="29"/>
      <x:c r="I47" s="29"/>
      <x:c r="J47" s="29"/>
    </x:row>
    <x:row r="48">
      <x:c r="A48" s="27"/>
      <x:c r="B48" s="28"/>
      <x:c r="C48" s="27"/>
      <x:c r="D48" s="29"/>
      <x:c r="E48" s="29"/>
      <x:c r="F48" s="29"/>
      <x:c r="G48" s="29"/>
      <x:c r="H48" s="29"/>
      <x:c r="I48" s="29"/>
      <x:c r="J48" s="29"/>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406331f0fec44cda"/>
  </x:tableParts>
</x:worksheet>
</file>