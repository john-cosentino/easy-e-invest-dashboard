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01428fec29b4a90" /></Relationships>
</file>

<file path=xl/workbook.xml><?xml version="1.0" encoding="utf-8"?>
<x:workbook xmlns:x="http://schemas.openxmlformats.org/spreadsheetml/2006/main">
  <x:sheets>
    <x:sheet xmlns:r="http://schemas.openxmlformats.org/officeDocument/2006/relationships" name="Summary" sheetId="1" r:id="Racf069ee318647f2"/>
    <x:sheet xmlns:r="http://schemas.openxmlformats.org/officeDocument/2006/relationships" name="Thesis Ledger" sheetId="2" r:id="R1ffabd7965a64d47"/>
    <x:sheet xmlns:r="http://schemas.openxmlformats.org/officeDocument/2006/relationships" name="Evidence Log" sheetId="3" r:id="R03a5ebbe37604ca6"/>
    <x:sheet xmlns:r="http://schemas.openxmlformats.org/officeDocument/2006/relationships" name="Source Registry" sheetId="4" r:id="Rc43e7d3868064536"/>
    <x:sheet xmlns:r="http://schemas.openxmlformats.org/officeDocument/2006/relationships" name="Paper Trades" sheetId="5" r:id="R052836abe8694717"/>
    <x:sheet xmlns:r="http://schemas.openxmlformats.org/officeDocument/2006/relationships" name="Scan Runs" sheetId="6" r:id="R2851728b83744926"/>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77022f4218d4dda" /><Relationship Type="http://schemas.openxmlformats.org/officeDocument/2006/relationships/theme" Target="/xl/theme/theme1.xml" Id="Rfe65f7ee13e74318" /><Relationship Type="http://schemas.openxmlformats.org/officeDocument/2006/relationships/sharedStrings" Target="/xl/sharedStrings.xml" Id="R1acfac1fe0154c9e" /><Relationship Type="http://schemas.openxmlformats.org/officeDocument/2006/relationships/worksheet" Target="/xl/worksheets/sheet1.xml" Id="Racf069ee318647f2" /><Relationship Type="http://schemas.openxmlformats.org/officeDocument/2006/relationships/worksheet" Target="/xl/worksheets/sheet2.xml" Id="R1ffabd7965a64d47" /><Relationship Type="http://schemas.openxmlformats.org/officeDocument/2006/relationships/worksheet" Target="/xl/worksheets/sheet3.xml" Id="R03a5ebbe37604ca6" /><Relationship Type="http://schemas.openxmlformats.org/officeDocument/2006/relationships/worksheet" Target="/xl/worksheets/sheet4.xml" Id="Rc43e7d3868064536" /><Relationship Type="http://schemas.openxmlformats.org/officeDocument/2006/relationships/worksheet" Target="/xl/worksheets/sheet5.xml" Id="R052836abe8694717" /><Relationship Type="http://schemas.openxmlformats.org/officeDocument/2006/relationships/worksheet" Target="/xl/worksheets/sheet6.xml" Id="R2851728b83744926"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7f589d6fa984a4c" /></Relationships>
</file>

<file path=xl/worksheets/_rels/sheet3.xml.rels>&#65279;<?xml version="1.0" encoding="utf-8"?><Relationships xmlns="http://schemas.openxmlformats.org/package/2006/relationships"><Relationship Type="http://schemas.openxmlformats.org/officeDocument/2006/relationships/table" Target="/xl/tables/table2.xml" Id="Rb133c01ae38b4dbd" /></Relationships>
</file>

<file path=xl/worksheets/_rels/sheet4.xml.rels>&#65279;<?xml version="1.0" encoding="utf-8"?><Relationships xmlns="http://schemas.openxmlformats.org/package/2006/relationships"><Relationship Type="http://schemas.openxmlformats.org/officeDocument/2006/relationships/table" Target="/xl/tables/table3.xml" Id="R2fd3544cc628415c" /></Relationships>
</file>

<file path=xl/worksheets/_rels/sheet5.xml.rels>&#65279;<?xml version="1.0" encoding="utf-8"?><Relationships xmlns="http://schemas.openxmlformats.org/package/2006/relationships"><Relationship Type="http://schemas.openxmlformats.org/officeDocument/2006/relationships/table" Target="/xl/tables/table4.xml" Id="Rcb038969f98b4e99" /></Relationships>
</file>

<file path=xl/worksheets/_rels/sheet6.xml.rels>&#65279;<?xml version="1.0" encoding="utf-8"?><Relationships xmlns="http://schemas.openxmlformats.org/package/2006/relationships"><Relationship Type="http://schemas.openxmlformats.org/officeDocument/2006/relationships/table" Target="/xl/tables/table5.xml" Id="R6d790effd6654d74"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10</x:v>
      </x:c>
      <x:c r="C6" s="1"/>
      <x:c r="D6" s="1"/>
      <x:c r="E6" s="1"/>
      <x:c r="F6" s="1"/>
      <x:c r="G6" s="1"/>
      <x:c r="H6" s="1"/>
      <x:c r="I6" s="1"/>
      <x:c r="J6" s="1"/>
    </x:row>
    <x:row r="7">
      <x:c r="A7" s="1" t="str">
        <x:v>Open theses</x:v>
      </x:c>
      <x:c r="B7" s="40" t="n">
        <x:f>COUNTIFS('Thesis Ledger'!A6:A200,"&lt;&gt;",'Thesis Ledger'!F6:F200,"&lt;&gt;Closed",'Thesis Ledger'!F6:F200,"&lt;&gt;Invalidated")</x:f>
        <x:v>8</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Congressional control remains unsettled. September 19 reporting identified unresolved party-coordination issues in several competitive states and a growing data-center policy backlash in Ohio. These developments may affect campaign themes and sector policy, but neither establishes House or Senate control.</x:v>
      </x:c>
      <x:c r="O8" s="29" t="str">
        <x:v>Expected changes in fiscal, regulatory and sector policy could alter risk appetite and relative performance.</x:v>
      </x:c>
      <x:c r="P8" s="29" t="str">
        <x:v>Aggregate earnings estimates remain supportive, and XLI closed 0.43% higher on September 18 while SPY and most breadth-sensitive candidates fell. That relative resilience keeps industrials on the conditional watch list, but it is one session rather than broad confirmation.</x:v>
      </x:c>
      <x:c r="Q8" s="29" t="str">
        <x:v>Friday's final tape confirmed that Thursday's broadening did not persist: declining issues led 1.78-to-1 on the NYSE and 1.42-to-1 on Nasdaq, while technology lifted the indexes and the 10-year Treasury yield topped 5%. RSP, IWM and XBI lagged SPY. Ohio's pause in new data-center tax-exemption applications and local moratorium activity also weaken a blanket data-center-led industrials/materials expression.</x:v>
      </x:c>
      <x:c r="R8" s="29"/>
      <x:c r="S8" s="29" t="str">
        <x:v>September 18 final closes: SPY -0.13%, RSP -0.49%, IWM -0.52%, XLI +0.43%, XLB -1.44%, XLV -0.25%, XBI -0.97%, XLF -0.02% and CPER +1.45%. Reuters reported negative exchange breadth, 346 NYSE new lows versus 92 new highs, technology leadership and unusually high volume. The final close confirms narrow leadership, not durable election-related broadening.</x:v>
      </x:c>
      <x:c r="T8" s="29" t="str">
        <x:v>XLI deserves the closest conditional attention after relative strength at Friday's close, but it still needs multi-session follow-through and stable rates. RSP versus SPY remains the core breadth test. CPER strength alongside XLB weakness favors watching copper directly rather than chasing broad materials, subject to price-structure risk. IWM and XBI failed follow-through; XLV and XLF remain unconfirmed. No automatic entry.</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Friday's final close confirmed that Thursday's breadth improvement was not durable: technology led, equal weight lagged, small caps and biotech fell, and the 10-year yield topped 5%. New political reporting adds campaign uncertainty and a sector-specific data-center policy modifier but no congressional-control trigger. Classification remains Developing; the existing confidence and trading-edge fields are unchanged. Entry Window remains WAIT and inactive until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ExxonMobil's 275,000-bpd Joliet refinery remained offline after flooding and a power outage. On September 18, Saudi Aramco also halted October term crude deliveries to at least two European refiners after the East-West pipeline attack, forcing replacement-barrel searches and adding feedstock uncertainty to an already tight refined-products market. On September 20, a large Ukrainian drone attack damaged a unit at Moscow's Gazprom Neft refinery, adding another refinery outage to an already constrained diesel system; independent reporting also identified refineries as the principal global energy chokepoint.</x:v>
      </x:c>
      <x:c r="Q14" s="29" t="str">
        <x:v>Crude-supply adaptation through Saudi rerouting and expected pipeline repair could normalize feedstock availability. Aramco plans to restore roughly 1.0-1.5 million bpd of Gulf exports through ship-to-ship transfers near Oman, while Chinese refined-product exports rose 12.7% year over year in August. France also called for a G7 energy meeting that may consider additional strategic-reserve releases or restriction relief. Demand destruction, subsidies, policy intervention, exports and refinery restarts can compress cracks quickly. Marine biodiesel fell below conventional marine gasoil in Europe, creating an economically viable substitution route that could cap fossil-diesel demand and crack spreads even while physical shortages persist.</x:v>
      </x:c>
      <x:c r="R14" s="29"/>
      <x:c r="S14" s="29" t="str">
        <x:v>Strong cross-market confirmation remained in place through Friday: record diesel and gasoil futures, record Asian cracks, very low European inventories, refinery outages and regional export rationing all point to a product-specific shortage even as crude eased. Weekend delivery-cancellation and policy headlines have not yet received a new market session. Sunday Gulf trading remained risk-off but modest: Saudi Arabia's TASI fell 0.5%, Aramco 0.6% and Qatar 0.9% after claimed attacks on Riyadh sites. U.S. diesel-linked instruments had not reopened, so no new entry confirmation exists.</x:v>
      </x:c>
      <x:c r="T14" s="29" t="str">
        <x:v>Conditional only after an orderly consolidation or retracement while physical shortages and crack spreads remain elevated. CRAK is the diversified refining expression; VLO, MPC and PSX add company-specific execution and valuation risk. Direct diesel/gasoil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19 strengthened the physical mechanism but not the entry: Aramco halted October term deliveries to at least two European refiners after the East-West pipeline attack, while North Sea replacement sourcing underscored feedstock scarcity. Countervailing evidence also strengthened because a planned G7 energy meeting may consider reserve releases or restriction relief. The thesis remains Actionable at confidence 5/5, trading edge 1/5 and Entry Window WAIT. No weekend market session has confirmed a better reward-to-invalidation setup.</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37f589d6fa984a4c"/>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b133c01ae38b4dbd"/>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fd3544cc628415c"/>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60.55</x:v>
      </x:c>
      <x:c r="K6" s="46" t="n">
        <x:f>I6*J6</x:f>
        <x:v>1058.381401852823</x:v>
      </x:c>
      <x:c r="L6" s="46" t="n">
        <x:f>K6-H6</x:f>
        <x:v>58.381401852823046</x:v>
      </x:c>
      <x:c r="M6" s="48" t="n">
        <x:f>L6/H6</x:f>
        <x:v>0.05838140185282305</x:v>
      </x:c>
      <x:c r="N6" s="30"/>
      <x:c r="O6" s="32"/>
      <x:c r="P6" s="32" t="str">
        <x:f>IF(OR(I6="",O6=""),"",I6*O6)</x:f>
      </x:c>
      <x:c r="Q6" s="32" t="str">
        <x:f>IF(P6="","",P6-H6)</x:f>
      </x:c>
      <x:c r="R6" s="29" t="str">
        <x:v>09/18/26 close: $60.55; position value $1,058.38; +$58.38 (+5.84%). BNO remained the cleanest Brent-linked expression and finished the evaluation horizon profitably. It declined 0.59% today as China pressed Iran to curb Houthi attacks and Saudi Arabia pursued partial pipeline restoration, while Hormuz traffic remained severely restricted.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153.87</x:v>
      </x:c>
      <x:c r="K7" s="46" t="n">
        <x:f>I7*J7</x:f>
        <x:v>1064.1078838174274</x:v>
      </x:c>
      <x:c r="L7" s="46" t="n">
        <x:f>K7-H7</x:f>
        <x:v>64.10788381742736</x:v>
      </x:c>
      <x:c r="M7" s="48" t="n">
        <x:f>L7/H7</x:f>
        <x:v>0.06410788381742737</x:v>
      </x:c>
      <x:c r="N7" s="30"/>
      <x:c r="O7" s="32"/>
      <x:c r="P7" s="32" t="str">
        <x:f>IF(OR(I7="",O7=""),"",I7*O7)</x:f>
      </x:c>
      <x:c r="Q7" s="32" t="str">
        <x:f>IF(P7="","",P7-H7)</x:f>
      </x:c>
      <x:c r="R7" s="29" t="str">
        <x:v>09/18/26 close: $153.87; position value $1,064.11; +$64.11 (+6.41%). USO confirmed the predicted crude-price direction over the evaluation horizon. It declined 0.93% today as repair and diplomatic developments reduced part of the immediate scarcity premium.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190.65</x:v>
      </x:c>
      <x:c r="K8" s="46" t="n">
        <x:f>I8*J8</x:f>
        <x:v>983.5431283532811</x:v>
      </x:c>
      <x:c r="L8" s="46" t="n">
        <x:f>K8-H8</x:f>
        <x:v>-16.456871646718923</x:v>
      </x:c>
      <x:c r="M8" s="48" t="n">
        <x:f>L8/H8</x:f>
        <x:v>-0.016456871646718923</x:v>
      </x:c>
      <x:c r="N8" s="30"/>
      <x:c r="O8" s="32"/>
      <x:c r="P8" s="32" t="str">
        <x:f>IF(OR(I8="",O8=""),"",I8*O8)</x:f>
      </x:c>
      <x:c r="Q8" s="32" t="str">
        <x:f>IF(P8="","",P8-H8)</x:f>
      </x:c>
      <x:c r="R8" s="29" t="str">
        <x:v>09/18/26 close: $190.65; position value $983.54; -$16.46 (-1.65%). XOP failed to confirm the thesis as an indirect producer-equity expression and materially trailed BNO and USO, reinforcing the clean-expression rule.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cb038969f98b4e99"/>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6d790effd6654d74"/>
  </x:tableParts>
</x:worksheet>
</file>